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DD97A8EA-9A9A-E61F-A557-7D5A7D7259CE}" lastEdited="7" lowestEdited="7" rupBuild="29426"/>
  <workbookPr autoCompressPictures="0" codeName="ThisWorkbook"/>
  <mc:AlternateContent>
    <mc:Choice Requires="x15">
      <x15ac:absPath xmlns:x15ac="http://schemas.microsoft.com/office/spreadsheetml/2010/11/ac" url="C:\code\trunk\config\employer\template\"/>
    </mc:Choice>
  </mc:AlternateContent>
  <xr:revisionPtr documentId="13_ncr:1_{F62586F4-8BEA-4E22-B2CE-0B857FEF82E5}" revIDLastSave="0" xr10:uidLastSave="{00000000-0000-0000-0000-000000000000}" xr6:coauthVersionLast="47" xr6:coauthVersionMax="47"/>
  <bookViews>
    <workbookView activeTab="1" tabRatio="500" windowHeight="10300" windowWidth="19420" xWindow="-110" xr2:uid="{00000000-000D-0000-FFFF-FFFF00000000}" yWindow="-110"/>
  </bookViews>
  <sheets>
    <sheet name="Instructions" r:id="rId1" sheetId="12"/>
    <sheet name="Employee Details" r:id="rId2" sheetId="11"/>
    <sheet name="Setting" r:id="rId3" sheetId="3" state="hidden"/>
    <sheet name="Data specs" r:id="rId4" sheetId="2" state="hidden"/>
  </sheets>
  <functionGroups builtInGroupCount="19"/>
  <definedNames>
    <definedName hidden="1" localSheetId="1" name="_xlnm._FilterDatabase">'Employee Details'!$A$4:$AP$4</definedName>
    <definedName hidden="1" localSheetId="2" name="_xlnm._FilterDatabase">Setting!$E$1:$F$10000</definedName>
    <definedName name="aci">'Employee Details'!#REF!</definedName>
    <definedName name="City_Unique">Setting!$N$2:$N$5</definedName>
    <definedName name="City_Unique_Val">Setting!$N$2</definedName>
    <definedName name="Col_Heading">Setting!$AU$3</definedName>
    <definedName name="Col_No_Insert">Setting!$AU$1</definedName>
    <definedName name="Conversion_Range">OFFSET(Setting!$CA$2,0,0,COUNTA(Setting!$CA$2:$CA$200),6)</definedName>
    <definedName localSheetId="2" name="_xlnm.Criteria">Setting!$K$1:$K$2</definedName>
    <definedName name="Custom_Add_Row">Setting!$AU$4</definedName>
    <definedName name="Custom_CopyPaste">Setting!$BU$1</definedName>
    <definedName name="Custom_CopyPaste_Validation">Setting!$BU$2</definedName>
    <definedName name="Data_Starts">Setting!$AU$2</definedName>
    <definedName name="Dep_FirstCol_Search">Setting!$AU$18</definedName>
    <definedName name="Depen_Conversion_Range">Setting!$CK$1:$CM$1</definedName>
    <definedName name="Depen_FirstPrefixColNo">Setting!$CL$3</definedName>
    <definedName name="Dependent_Format">Setting!$AF$1:$AO$2</definedName>
    <definedName name="Dependent_Format_Alter">Setting!$AF$2:$AO$2</definedName>
    <definedName name="Dependent_Val">Setting!$AF$3:$AO$3</definedName>
    <definedName name="employee">'Employee Details'!$O$5</definedName>
    <definedName name="Employee_SSN">Setting!$AU$19</definedName>
    <definedName name="Employment_Status_ColNo">Setting!$AU$10</definedName>
    <definedName name="Employment_Type">Setting!$AU$7</definedName>
    <definedName name="Error_Sheet_Format_Copy">Setting!$X$1:$Y$10407</definedName>
    <definedName comment="${employee.terminationType}" name="ett">'Employee Details'!$O$5</definedName>
    <definedName localSheetId="2" name="_xlnm.Extract">Setting!$N$1</definedName>
    <definedName name="Format_Heading_Copy_Paste">Setting!$AY$1</definedName>
    <definedName name="HourlyPayRate">Setting!$AU$20</definedName>
    <definedName name="Oth_Employement_Type">Setting!$AU$9</definedName>
    <definedName name="Pay_Frequency_ColNo">Setting!$AU$17</definedName>
    <definedName name="Pay_Type_ColNo">Setting!$AU$16</definedName>
    <definedName name="State_City_Data">Setting!$E$1:$F$10000</definedName>
    <definedName name="State_Codes">OFFSET(Setting!$A$1,0,0,COUNTA(Setting!$A$1:$A$10000),1)</definedName>
    <definedName name="State_County">Setting!$AU$15</definedName>
    <definedName name="State_Criteria">Setting!$K$1:$K$2</definedName>
    <definedName name="State_Val_Col_Num">Setting!$AU$5</definedName>
    <definedName name="SystemCustomFields">Setting!$AU$21</definedName>
    <definedName name="Termination_Date_Col_No">Setting!$AU$11</definedName>
    <definedName name="Termination_Reason">Setting!$AU$13</definedName>
    <definedName name="Termination_Type_Col_No">Setting!$AU$12</definedName>
    <definedName name="Unique_County_Copy">Setting!$N$1</definedName>
    <definedName name="Validation_Fill_Range">Setting!$AU$8</definedName>
    <definedName name="VBA_SH_Password">Setting!$DE$2</definedName>
    <definedName name="Working_Hours_per_Week">Setting!$AU$14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i="3" l="1" r="AU20"/>
  <c i="3" r="AU14"/>
  <c i="3" l="1" r="AU19"/>
  <c i="3" r="AU17"/>
  <c i="3" r="AU16"/>
  <c i="3" r="AU15"/>
  <c i="3" r="AU13"/>
  <c i="3" r="AU11"/>
  <c i="3" r="AU10"/>
  <c i="3" r="AU9"/>
  <c i="3" r="AU7"/>
  <c i="3" r="AU5"/>
  <c i="3" r="AU1"/>
  <c i="3" l="1" r="CL3"/>
  <c i="3" r="CL1"/>
  <c i="3" r="CB8"/>
  <c i="3" r="CB7"/>
  <c i="3" r="CB6"/>
  <c i="3" r="CB4"/>
  <c i="3" r="CB3"/>
  <c i="3" r="CB2"/>
  <c i="3" r="AU2"/>
  <c i="3" r="AU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Anurag Tomar</author>
  </authors>
  <commentList>
    <comment authorId="0" ref="A1" shapeId="0" xr:uid="{00000000-0006-0000-0100-000001000000}">
      <text>
        <r>
          <rPr>
            <sz val="11"/>
            <color indexed="8"/>
            <rFont val="Calibri"/>
            <family val="2"/>
          </rPr>
          <t>This is the template version.</t>
        </r>
      </text>
    </comment>
    <comment ref="AW4" authorId="0">
      <text>
        <t xml:space="preserve">Acceptable Values:
1. Armed Forces Service Medal Veteran
2. Disabled Veteran
3. Active Duty Wartime or Campaign Badge Veteran
4. Recently Separated Veteran
5. Decline To Answer
6. Not a Protected Veteran
</t>
      </text>
    </comment>
    <comment ref="AX4" authorId="0">
      <text>
        <t xml:space="preserve">Acceptable Values:
1. Yes
2. No
3. Decline To Answer
</t>
      </text>
    </comment>
    <comment ref="AY4" authorId="0">
      <text>
        <t xml:space="preserve">Acceptable Values:
1. ExecutiveSenior Level Officials and Managers
2. FirstMid-Level Officials and Managers
3. Professionals
4. Technicians
5. Sales Workers
6. Administrative Support Workers
7. Craft Workers
8. Operatives
9. Laborers and Helpers
10. Service Workers
</t>
      </text>
    </comment>
    <comment ref="AZ4" authorId="0">
      <text>
        <t xml:space="preserve">Acceptable Values:
1. Hispanic or Latino
2. White
3. Black or African American
4. Native Hawaiian or Other Pacific Islander
5. American Indian or Alaska Native
6. Asian
7. Two or more races
</t>
      </text>
    </comment>
    <comment ref="BD4" authorId="0">
      <text>
        <t>Acceptable Values: Single Line text up to 256 chars</t>
      </text>
    </comment>
    <comment ref="BE4" authorId="0">
      <text>
        <t>Acceptable Values: Single Line text up to 256 chars</t>
      </text>
    </comment>
    <comment ref="BF4" authorId="0">
      <text>
        <t xml:space="preserve">Acceptable Values: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
</t>
      </text>
    </comment>
    <comment ref="BG4" authorId="0">
      <text>
        <t>Acceptable values: Date with format MM/DD/YYYY</t>
      </text>
    </comment>
  </commentList>
</comments>
</file>

<file path=xl/sharedStrings.xml><?xml version="1.0" encoding="utf-8"?>
<sst xmlns="http://schemas.openxmlformats.org/spreadsheetml/2006/main" count="23576" uniqueCount="3417">
  <si>
    <t>Employee FirstName</t>
  </si>
  <si>
    <t>Employee Middle Initial</t>
  </si>
  <si>
    <t>Employee LastName</t>
  </si>
  <si>
    <t>Employee Suffix</t>
  </si>
  <si>
    <t>Employee DOB(mm/dd/yyyy)</t>
  </si>
  <si>
    <t>Employee Gender(Male/Female)</t>
  </si>
  <si>
    <t>Employee SSN(XXX-XX-XXXX)</t>
  </si>
  <si>
    <t>Employee ID</t>
  </si>
  <si>
    <t>Status</t>
  </si>
  <si>
    <t>Date of Hire(mm/dd/yyyy)</t>
  </si>
  <si>
    <t>Re-Hired Employee</t>
  </si>
  <si>
    <t>Employment Type</t>
  </si>
  <si>
    <t>Others(Employement-Type)</t>
  </si>
  <si>
    <t>Annual Salary(Digits)</t>
  </si>
  <si>
    <t>Employee Class</t>
  </si>
  <si>
    <t>Preferred Communication Mode</t>
  </si>
  <si>
    <t>Pay Frequency</t>
  </si>
  <si>
    <t>Pay Type</t>
  </si>
  <si>
    <t>Designation</t>
  </si>
  <si>
    <t>Department</t>
  </si>
  <si>
    <t>Personal Email</t>
  </si>
  <si>
    <t>Official Email</t>
  </si>
  <si>
    <t>Phone Number(Digits)</t>
  </si>
  <si>
    <t>Employee Address Line 1</t>
  </si>
  <si>
    <t>Employee Address Line 2</t>
  </si>
  <si>
    <t>City</t>
  </si>
  <si>
    <t>ZIPCODE</t>
  </si>
  <si>
    <t>State(Abbreviation)</t>
  </si>
  <si>
    <t>COUNTY</t>
  </si>
  <si>
    <t>Dependent 1 Prefix</t>
  </si>
  <si>
    <t>Dependent 1 First Name</t>
  </si>
  <si>
    <t>Dependent 1 Middle Initial</t>
  </si>
  <si>
    <t>Dependent 1 Last Name</t>
  </si>
  <si>
    <t>Dependent 1 Suffix</t>
  </si>
  <si>
    <t>Dependent 1 DOB</t>
  </si>
  <si>
    <t>Dependent 1 Gender</t>
  </si>
  <si>
    <t>Dependent 1 tobacco_usage in last 12 months (Y/N)</t>
  </si>
  <si>
    <t>Dependent 1 Relationship</t>
  </si>
  <si>
    <t>Dependent 1 isDisabled (Y/N)</t>
  </si>
  <si>
    <t>Dependent 1 IsMarried(Y/N)</t>
  </si>
  <si>
    <t>Dependent 2 Prefix</t>
  </si>
  <si>
    <t>Dependent 2 First Name</t>
  </si>
  <si>
    <t>Dependent 2 Middle Initial</t>
  </si>
  <si>
    <t>Dependent 2 Last Name</t>
  </si>
  <si>
    <t>Dependent 2 Suffix</t>
  </si>
  <si>
    <t>Dependent 2 DOB</t>
  </si>
  <si>
    <t>Dependent 2 Gender</t>
  </si>
  <si>
    <t>Dependent 2 tobacco_usage in last 12 months (Y/N)</t>
  </si>
  <si>
    <t>Dependent 2 Relationship</t>
  </si>
  <si>
    <t>Dependent 2 isDisabled (Y/N)</t>
  </si>
  <si>
    <t>Dependent 2 IsMarried(Y/N)</t>
  </si>
  <si>
    <t>Dependent 3 Prefix</t>
  </si>
  <si>
    <t>Dependent 3 First Name</t>
  </si>
  <si>
    <t>Dependent 3 Middle Initial</t>
  </si>
  <si>
    <t>Dependent 3 Last Name</t>
  </si>
  <si>
    <t>Dependent 3 Suffix</t>
  </si>
  <si>
    <t>Dependent 3 DOB</t>
  </si>
  <si>
    <t>Dependent 3 Gender</t>
  </si>
  <si>
    <t>Dependent 3 tobacco_usage in last 12 months (Y/N)</t>
  </si>
  <si>
    <t>Dependent 3 Relationship</t>
  </si>
  <si>
    <t>Dependent 3 isDisabled (Y/N)</t>
  </si>
  <si>
    <t>Dependent 3 IsMarried(Y/N)</t>
  </si>
  <si>
    <t>Custom Field</t>
  </si>
  <si>
    <t>Prefix</t>
  </si>
  <si>
    <t>O</t>
  </si>
  <si>
    <t>Drop down</t>
  </si>
  <si>
    <t>Mr., Miss, Mrs., Ms., Dr.</t>
  </si>
  <si>
    <t>NA</t>
  </si>
  <si>
    <t>Field Name</t>
  </si>
  <si>
    <t>Mandatory/ Optional</t>
  </si>
  <si>
    <t>Field Type</t>
  </si>
  <si>
    <t>Data Type</t>
  </si>
  <si>
    <t>Business Rules</t>
  </si>
  <si>
    <t>Minimum Length</t>
  </si>
  <si>
    <t>Maximum Length</t>
  </si>
  <si>
    <t>Messages</t>
  </si>
  <si>
    <t>M</t>
  </si>
  <si>
    <t>Should be mandatory during registration and e-app</t>
  </si>
  <si>
    <t>Please enter your First Name upto 35 characters</t>
  </si>
  <si>
    <t>Text box</t>
  </si>
  <si>
    <t>Should be a single charecter in capital letters. Eg. M</t>
  </si>
  <si>
    <t>Should be non-mandatory at all places</t>
  </si>
  <si>
    <t>Free text including special characters</t>
  </si>
  <si>
    <t>Please enter your Last Name upto 60 characters</t>
  </si>
  <si>
    <t>Jr., Sr., I, II, III</t>
  </si>
  <si>
    <t>Calender</t>
  </si>
  <si>
    <t>Upto 120 years of age (MM-DD-YYYY)</t>
  </si>
  <si>
    <t>Please enter a valid Date of Birth</t>
  </si>
  <si>
    <t>Radio button</t>
  </si>
  <si>
    <t>M/ F</t>
  </si>
  <si>
    <t>Please select a Gender</t>
  </si>
  <si>
    <t>NNN-NN-NNNN</t>
  </si>
  <si>
    <t>Please enter a valid 9 digit SSN</t>
  </si>
  <si>
    <t>Yes/ No</t>
  </si>
  <si>
    <t>Please Select a valid Option</t>
  </si>
  <si>
    <t>Please Enter a valid Employee ID</t>
  </si>
  <si>
    <t>Active/ Terminated</t>
  </si>
  <si>
    <t>Please Select a valid Employee Status</t>
  </si>
  <si>
    <t>MM-DD-YYYY</t>
  </si>
  <si>
    <t>Date of Hire cannot be prior to Employer's year of Incorporation.</t>
  </si>
  <si>
    <t>Please Select a valid Date</t>
  </si>
  <si>
    <t>Radio Button</t>
  </si>
  <si>
    <t>Indicates if an employee is a new hire.</t>
  </si>
  <si>
    <t>Full Time/ Part Time/ Others</t>
  </si>
  <si>
    <t>C</t>
  </si>
  <si>
    <t>Numeric</t>
  </si>
  <si>
    <t>M and appears if Paytype is hourly. Value between 0.25 and 40.</t>
  </si>
  <si>
    <t>Please Enter valid Working hours per week</t>
  </si>
  <si>
    <t>M and appears if Employment Type is Others.</t>
  </si>
  <si>
    <t>Please Enter a valid Employment Type</t>
  </si>
  <si>
    <t>M and appears if Paytype Type is Salaried.</t>
  </si>
  <si>
    <t>Please Enter a valid Annual Salary</t>
  </si>
  <si>
    <t>Values appear based on the created classes by the employer. In no value is selected, default class is assigned.</t>
  </si>
  <si>
    <t>Weekly/ Monthly/ Bi-Weekly/ Semi-Weekly</t>
  </si>
  <si>
    <t>Dropdown with Multiple selection allowed. Atleast one criteria is required.</t>
  </si>
  <si>
    <t>Please select all applicable Pay Schedule</t>
  </si>
  <si>
    <t>Salaried/ Hourly</t>
  </si>
  <si>
    <t>Please select all applicable Pay Type</t>
  </si>
  <si>
    <t>Values appear based on the Designation values in the existing roster. At least one value is required.</t>
  </si>
  <si>
    <t>Please select all applicable Designations</t>
  </si>
  <si>
    <t>Email ID should contain "@" and "."</t>
  </si>
  <si>
    <t>Please Enter a Valid email</t>
  </si>
  <si>
    <t>Please enter Phone number in 10 digits</t>
  </si>
  <si>
    <t>Please enter Address 1 upto 55 characters</t>
  </si>
  <si>
    <t>Should not be similar to Address Line 1</t>
  </si>
  <si>
    <t>Please enter Address 2 upto 55 characters and should be different from Address 1</t>
  </si>
  <si>
    <t>Please provide City</t>
  </si>
  <si>
    <t>5-digits only, leading zeros is allowed</t>
  </si>
  <si>
    <t>Please provide 5-digits valid ZipCode</t>
  </si>
  <si>
    <t>Should be populated as per ZipCode selection by user</t>
  </si>
  <si>
    <t>Should be populated as per ZipCode entered by user</t>
  </si>
  <si>
    <t>Please provide County</t>
  </si>
  <si>
    <t>M and appears if Paytype is hourly.</t>
  </si>
  <si>
    <t>Any custom field that can be added/ deleted</t>
  </si>
  <si>
    <t>Spouse
Child
Domestic Partner 
Other dependent</t>
  </si>
  <si>
    <t>Note: 1. User can add more than one custom fields/ delete those custom fields.
2. User can add more than one complete set of dependents/ delete those.</t>
  </si>
  <si>
    <t>Middle Initial</t>
  </si>
  <si>
    <t>Suffix</t>
  </si>
  <si>
    <t>Dependent_Format</t>
  </si>
  <si>
    <t>Dependent_Val</t>
  </si>
  <si>
    <r>
      <t>Pay Type</t>
    </r>
    <r>
      <rPr>
        <b/>
        <sz val="10"/>
        <color rgb="FFFF0000"/>
        <rFont val="Calibri"/>
        <family val="2"/>
      </rPr>
      <t>*</t>
    </r>
  </si>
  <si>
    <r>
      <t>Official Email</t>
    </r>
    <r>
      <rPr>
        <b/>
        <sz val="10"/>
        <color rgb="FFFF0000"/>
        <rFont val="Calibri"/>
        <family val="2"/>
      </rPr>
      <t>*</t>
    </r>
  </si>
  <si>
    <r>
      <t>City</t>
    </r>
    <r>
      <rPr>
        <b/>
        <sz val="10"/>
        <color rgb="FFFF0000"/>
        <rFont val="Calibri"/>
        <family val="2"/>
      </rPr>
      <t>*</t>
    </r>
  </si>
  <si>
    <r>
      <t>State(Abbreviation)</t>
    </r>
    <r>
      <rPr>
        <b/>
        <sz val="10"/>
        <color rgb="FFFF0000"/>
        <rFont val="Calibri"/>
        <family val="2"/>
      </rPr>
      <t>*</t>
    </r>
  </si>
  <si>
    <t>Data Starts From</t>
  </si>
  <si>
    <t>Column Heading Row No.</t>
  </si>
  <si>
    <t>Insert Custom Column From Column No.</t>
  </si>
  <si>
    <t>Col_No_Insert</t>
  </si>
  <si>
    <t>Data_Starts</t>
  </si>
  <si>
    <t>Col_Heading</t>
  </si>
  <si>
    <t>Custom_Add_Row</t>
  </si>
  <si>
    <t>Custom Benefits Add Row No.</t>
  </si>
  <si>
    <t>hcentivephix</t>
  </si>
  <si>
    <t>Protection Password</t>
  </si>
  <si>
    <t>Format_Heading_Copy_Paste</t>
  </si>
  <si>
    <r>
      <t>Date of Hire</t>
    </r>
    <r>
      <rPr>
        <b/>
        <sz val="10"/>
        <color rgb="FFFF0000"/>
        <rFont val="Calibri"/>
        <family val="2"/>
      </rPr>
      <t>*</t>
    </r>
  </si>
  <si>
    <r>
      <t>First Name</t>
    </r>
    <r>
      <rPr>
        <b/>
        <sz val="10"/>
        <color rgb="FFFF0000"/>
        <rFont val="Calibri"/>
        <family val="2"/>
      </rPr>
      <t>*</t>
    </r>
  </si>
  <si>
    <r>
      <t>Last Name</t>
    </r>
    <r>
      <rPr>
        <b/>
        <sz val="10"/>
        <color rgb="FFFF0000"/>
        <rFont val="Calibri"/>
        <family val="2"/>
      </rPr>
      <t>*</t>
    </r>
  </si>
  <si>
    <r>
      <t>DOB</t>
    </r>
    <r>
      <rPr>
        <b/>
        <sz val="10"/>
        <color rgb="FFFF0000"/>
        <rFont val="Calibri"/>
        <family val="2"/>
      </rPr>
      <t>*</t>
    </r>
  </si>
  <si>
    <r>
      <t>Gender</t>
    </r>
    <r>
      <rPr>
        <b/>
        <sz val="10"/>
        <color rgb="FFFF0000"/>
        <rFont val="Calibri"/>
        <family val="2"/>
      </rPr>
      <t>*</t>
    </r>
  </si>
  <si>
    <r>
      <t>Relationship</t>
    </r>
    <r>
      <rPr>
        <b/>
        <sz val="10"/>
        <color rgb="FFFF0000"/>
        <rFont val="Calibri"/>
        <family val="2"/>
      </rPr>
      <t>*</t>
    </r>
  </si>
  <si>
    <t>Is Disabled</t>
  </si>
  <si>
    <t>State_Codes</t>
  </si>
  <si>
    <t>State</t>
  </si>
  <si>
    <t>County</t>
  </si>
  <si>
    <t>State_City_Data</t>
  </si>
  <si>
    <t>State_Criteria</t>
  </si>
  <si>
    <t>City_Unique</t>
  </si>
  <si>
    <t>Cell Address</t>
  </si>
  <si>
    <t>Error Description</t>
  </si>
  <si>
    <t>Error_Sheet_Format_Copy</t>
  </si>
  <si>
    <t>AK</t>
  </si>
  <si>
    <t>City_Unique_Val</t>
  </si>
  <si>
    <t>AL</t>
  </si>
  <si>
    <t>Unique_County_Copy</t>
  </si>
  <si>
    <t>AR</t>
  </si>
  <si>
    <t>lrow_lcol_search_range</t>
  </si>
  <si>
    <t>AZ</t>
  </si>
  <si>
    <t>CA</t>
  </si>
  <si>
    <t>CO</t>
  </si>
  <si>
    <t>CT</t>
  </si>
  <si>
    <t>DC</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</si>
  <si>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</si>
  <si>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</si>
  <si>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</si>
  <si>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</si>
  <si>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</si>
  <si>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</si>
  <si>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</si>
  <si>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</si>
  <si>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</si>
  <si>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</si>
  <si>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</si>
  <si>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</si>
  <si>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</si>
  <si>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</si>
  <si>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</si>
  <si>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</si>
  <si>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</si>
  <si>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</si>
  <si>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</si>
  <si>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</si>
  <si>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</si>
  <si>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</si>
  <si>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</si>
  <si>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</si>
  <si>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</si>
  <si>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</si>
  <si>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</si>
  <si>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</si>
  <si>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</si>
  <si>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</si>
  <si>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</si>
  <si>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</si>
  <si>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</si>
  <si>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</si>
  <si>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</si>
  <si>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</si>
  <si>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</si>
  <si>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</si>
  <si>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</si>
  <si>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</si>
  <si>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</si>
  <si>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</si>
  <si>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</si>
  <si>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State Validation Column Number</t>
  </si>
  <si>
    <t>State_Val_Col_Num</t>
  </si>
  <si>
    <t>L_Row and L_Col Search Range</t>
  </si>
  <si>
    <r>
      <t xml:space="preserve"> Employee ID</t>
    </r>
    <r>
      <rPr>
        <b/>
        <sz val="10"/>
        <color rgb="FFFF0000"/>
        <rFont val="Calibri"/>
        <family val="2"/>
      </rPr>
      <t>*</t>
    </r>
  </si>
  <si>
    <r>
      <t>Zipcode</t>
    </r>
    <r>
      <rPr>
        <b/>
        <sz val="10"/>
        <color rgb="FFFF0000"/>
        <rFont val="Calibri"/>
        <family val="2"/>
      </rPr>
      <t>*</t>
    </r>
  </si>
  <si>
    <t>Employee Prefix</t>
  </si>
  <si>
    <t>Is Married</t>
  </si>
  <si>
    <r>
      <t>Employment
Status</t>
    </r>
    <r>
      <rPr>
        <b/>
        <sz val="10"/>
        <color rgb="FFFF0000"/>
        <rFont val="Calibri"/>
        <family val="2"/>
      </rPr>
      <t>*</t>
    </r>
  </si>
  <si>
    <t>Employment_Type</t>
  </si>
  <si>
    <t>Employment Type Column Number</t>
  </si>
  <si>
    <t>Validation Fill Range</t>
  </si>
  <si>
    <t>Validation_Fill_Range</t>
  </si>
  <si>
    <t>Dependent_3</t>
  </si>
  <si>
    <t>Others (Employement-Type)* (Col No.)</t>
  </si>
  <si>
    <t>Oth_Employement_Type</t>
  </si>
  <si>
    <t>Termination Date</t>
  </si>
  <si>
    <t>Termination Reason</t>
  </si>
  <si>
    <t>Employment Status* Col No</t>
  </si>
  <si>
    <t>Termination Date Col No</t>
  </si>
  <si>
    <t>Termination Type Col No</t>
  </si>
  <si>
    <t>Employment_Status_ColNo</t>
  </si>
  <si>
    <t>Termination_Date_Col_No</t>
  </si>
  <si>
    <t>Termination_Type_Col_No</t>
  </si>
  <si>
    <t>Termination_Reason</t>
  </si>
  <si>
    <t>Working_Hours_per_Week</t>
  </si>
  <si>
    <t>COUNTY* Col No</t>
  </si>
  <si>
    <t>State_County</t>
  </si>
  <si>
    <t>How to use this template.</t>
  </si>
  <si>
    <t>Pay Type* Column Number</t>
  </si>
  <si>
    <t>Pay Frequency* Column Number</t>
  </si>
  <si>
    <t>Pay_Frequency_ColNo</t>
  </si>
  <si>
    <t>Pay_Type_ColNo</t>
  </si>
  <si>
    <t>Dependent_5</t>
  </si>
  <si>
    <t>Dependent_Format_Alter</t>
  </si>
  <si>
    <t>Job Title</t>
  </si>
  <si>
    <t>Dependent*Prefix</t>
  </si>
  <si>
    <t>Search Column</t>
  </si>
  <si>
    <t>Dep_FirstCol_Search</t>
  </si>
  <si>
    <t>Instructions</t>
  </si>
  <si>
    <r>
      <t>Employee Last Name</t>
    </r>
    <r>
      <rPr>
        <b/>
        <sz val="10"/>
        <color rgb="FFFF0000"/>
        <rFont val="Calibri"/>
        <family val="2"/>
      </rPr>
      <t>*</t>
    </r>
  </si>
  <si>
    <r>
      <t>Employee First Name</t>
    </r>
    <r>
      <rPr>
        <b/>
        <sz val="10"/>
        <color rgb="FFFF0000"/>
        <rFont val="Calibri"/>
        <family val="2"/>
      </rPr>
      <t>*</t>
    </r>
  </si>
  <si>
    <r>
      <t>Employee Date of Birth</t>
    </r>
    <r>
      <rPr>
        <b/>
        <sz val="10"/>
        <color rgb="FFFF0000"/>
        <rFont val="Calibri"/>
        <family val="2"/>
      </rPr>
      <t>*</t>
    </r>
  </si>
  <si>
    <t>Employee SSN</t>
  </si>
  <si>
    <t xml:space="preserve"> Employee Gender</t>
  </si>
  <si>
    <t xml:space="preserve"> =MATCH("Termination Type",'Employee Details'!$A$4:$AG$4,0)</t>
  </si>
  <si>
    <t>Custom_CopyPaste</t>
  </si>
  <si>
    <t>Custom_CopyPaste_Validation</t>
  </si>
  <si>
    <t>Column Name</t>
  </si>
  <si>
    <t>Column Number</t>
  </si>
  <si>
    <t>Custom Formatting</t>
  </si>
  <si>
    <t>Check Formula</t>
  </si>
  <si>
    <t>Condition Symbel</t>
  </si>
  <si>
    <t>Condition Value</t>
  </si>
  <si>
    <t>Conversion_Range</t>
  </si>
  <si>
    <t>Employee Date of Birth*</t>
  </si>
  <si>
    <t>mm\/dd\/yyyy</t>
  </si>
  <si>
    <t>Isdate</t>
  </si>
  <si>
    <t>Date of Hire*</t>
  </si>
  <si>
    <t>0.00</t>
  </si>
  <si>
    <t>Isnumber</t>
  </si>
  <si>
    <t>&lt;=</t>
  </si>
  <si>
    <t>General</t>
  </si>
  <si>
    <t>Dependent*DOB*</t>
  </si>
  <si>
    <t>Depen_Conversion_Range</t>
  </si>
  <si>
    <t>Employee SSN (Col No)</t>
  </si>
  <si>
    <t>Employee_SSN</t>
  </si>
  <si>
    <t>HourlyPayRate</t>
  </si>
  <si>
    <t>Depen_FirstPrefixColNo</t>
  </si>
  <si>
    <t>AS</t>
  </si>
  <si>
    <t>FM</t>
  </si>
  <si>
    <t>GU</t>
  </si>
  <si>
    <t>MH</t>
  </si>
  <si>
    <t>MP</t>
  </si>
  <si>
    <t>PR</t>
  </si>
  <si>
    <t>PW</t>
  </si>
  <si>
    <t>VI</t>
  </si>
  <si>
    <t>ALEUTIANS EAST</t>
  </si>
  <si>
    <t>ALEUTIANS WEST</t>
  </si>
  <si>
    <t>ANCHORAGE</t>
  </si>
  <si>
    <t>BETHEL</t>
  </si>
  <si>
    <t>BRISTOL BAY</t>
  </si>
  <si>
    <t>DENALI</t>
  </si>
  <si>
    <t>DILLINGHAM</t>
  </si>
  <si>
    <t>FAIRBANKS NORTH STAR</t>
  </si>
  <si>
    <t>HAINES</t>
  </si>
  <si>
    <t>HOONAH ANGOON</t>
  </si>
  <si>
    <t>JUNEAU</t>
  </si>
  <si>
    <t>KENAI PENINSULA</t>
  </si>
  <si>
    <t>KETCHIKAN GATEWAY</t>
  </si>
  <si>
    <t>KODIAK ISLAND</t>
  </si>
  <si>
    <t>LAKE AND PENINSULA</t>
  </si>
  <si>
    <t>MATANUSKA SUSITNA</t>
  </si>
  <si>
    <t>NOME</t>
  </si>
  <si>
    <t>NORTH SLOPE</t>
  </si>
  <si>
    <t>NORTHWEST ARCTIC</t>
  </si>
  <si>
    <t>PETERSBURG</t>
  </si>
  <si>
    <t>PRINCE OF WALES HYDER</t>
  </si>
  <si>
    <t>SITKA</t>
  </si>
  <si>
    <t>SKAGWAY</t>
  </si>
  <si>
    <t>SOUTHEAST FAIRBANKS</t>
  </si>
  <si>
    <t>VALDEZ CORDOVA</t>
  </si>
  <si>
    <t>WADE HAMPTON</t>
  </si>
  <si>
    <t>WRANGELL</t>
  </si>
  <si>
    <t>YAKUTAT</t>
  </si>
  <si>
    <t>YUKON KOYUKUK</t>
  </si>
  <si>
    <t>AUTAUGA</t>
  </si>
  <si>
    <t>BALDWIN</t>
  </si>
  <si>
    <t>BARBOUR</t>
  </si>
  <si>
    <t>BIBB</t>
  </si>
  <si>
    <t>BLOUNT</t>
  </si>
  <si>
    <t>BULLOCK</t>
  </si>
  <si>
    <t>BUTLER</t>
  </si>
  <si>
    <t>CALHOUN</t>
  </si>
  <si>
    <t>CHAMBERS</t>
  </si>
  <si>
    <t>CHEROKEE</t>
  </si>
  <si>
    <t>CHILTON</t>
  </si>
  <si>
    <t>CHOCTAW</t>
  </si>
  <si>
    <t>CLARKE</t>
  </si>
  <si>
    <t>CLAY</t>
  </si>
  <si>
    <t>CLEBURNE</t>
  </si>
  <si>
    <t>COFFEE</t>
  </si>
  <si>
    <t>COLBERT</t>
  </si>
  <si>
    <t>CONECUH</t>
  </si>
  <si>
    <t>COOSA</t>
  </si>
  <si>
    <t>COVINGTON</t>
  </si>
  <si>
    <t>CRENSHAW</t>
  </si>
  <si>
    <t>CULLMAN</t>
  </si>
  <si>
    <t>DALE</t>
  </si>
  <si>
    <t>DALLAS</t>
  </si>
  <si>
    <t>DE KALB</t>
  </si>
  <si>
    <t>ELMORE</t>
  </si>
  <si>
    <t>ESCAMBIA</t>
  </si>
  <si>
    <t>ETOWAH</t>
  </si>
  <si>
    <t>FAYETTE</t>
  </si>
  <si>
    <t>FRANKLIN</t>
  </si>
  <si>
    <t>GENEVA</t>
  </si>
  <si>
    <t>GREENE</t>
  </si>
  <si>
    <t>HALE</t>
  </si>
  <si>
    <t>HENRY</t>
  </si>
  <si>
    <t>HOUSTON</t>
  </si>
  <si>
    <t>JACKSON</t>
  </si>
  <si>
    <t>JEFFERSON</t>
  </si>
  <si>
    <t>LAMAR</t>
  </si>
  <si>
    <t>LAUDERDALE</t>
  </si>
  <si>
    <t>LAWRENCE</t>
  </si>
  <si>
    <t>LEE</t>
  </si>
  <si>
    <t>LIMESTONE</t>
  </si>
  <si>
    <t>LOWNDES</t>
  </si>
  <si>
    <t>MACON</t>
  </si>
  <si>
    <t>MADISON</t>
  </si>
  <si>
    <t>MARENGO</t>
  </si>
  <si>
    <t>MARION</t>
  </si>
  <si>
    <t>MARSHALL</t>
  </si>
  <si>
    <t>MOBILE</t>
  </si>
  <si>
    <t>MONROE</t>
  </si>
  <si>
    <t>MONTGOMERY</t>
  </si>
  <si>
    <t>MORGAN</t>
  </si>
  <si>
    <t>PERRY</t>
  </si>
  <si>
    <t>PICKENS</t>
  </si>
  <si>
    <t>PIKE</t>
  </si>
  <si>
    <t>RANDOLPH</t>
  </si>
  <si>
    <t>RUSSELL</t>
  </si>
  <si>
    <t>SAINT CLAIR</t>
  </si>
  <si>
    <t>SHELBY</t>
  </si>
  <si>
    <t>SUMTER</t>
  </si>
  <si>
    <t>TALLADEGA</t>
  </si>
  <si>
    <t>TALLAPOOSA</t>
  </si>
  <si>
    <t>TUSCALOOSA</t>
  </si>
  <si>
    <t>WALKER</t>
  </si>
  <si>
    <t>WASHINGTON</t>
  </si>
  <si>
    <t>WILCOX</t>
  </si>
  <si>
    <t>WINSTON</t>
  </si>
  <si>
    <t>ARKANSAS</t>
  </si>
  <si>
    <t>ASHLEY</t>
  </si>
  <si>
    <t>BAXTER</t>
  </si>
  <si>
    <t>BENTON</t>
  </si>
  <si>
    <t>BOONE</t>
  </si>
  <si>
    <t>BRADLEY</t>
  </si>
  <si>
    <t>CARROLL</t>
  </si>
  <si>
    <t>CHICOT</t>
  </si>
  <si>
    <t>CLARK</t>
  </si>
  <si>
    <t>CLEVELAND</t>
  </si>
  <si>
    <t>COLUMBIA</t>
  </si>
  <si>
    <t>CONWAY</t>
  </si>
  <si>
    <t>CRAIGHEAD</t>
  </si>
  <si>
    <t>CRAWFORD</t>
  </si>
  <si>
    <t>CRITTENDEN</t>
  </si>
  <si>
    <t>CROSS</t>
  </si>
  <si>
    <t>DESHA</t>
  </si>
  <si>
    <t>DREW</t>
  </si>
  <si>
    <t>FAULKNER</t>
  </si>
  <si>
    <t>FULTON</t>
  </si>
  <si>
    <t>GARLAND</t>
  </si>
  <si>
    <t>GRANT</t>
  </si>
  <si>
    <t>HEMPSTEAD</t>
  </si>
  <si>
    <t>HOT SPRING</t>
  </si>
  <si>
    <t>HOWARD</t>
  </si>
  <si>
    <t>INDEPENDENCE</t>
  </si>
  <si>
    <t>IZARD</t>
  </si>
  <si>
    <t>JOHNSON</t>
  </si>
  <si>
    <t>LAFAYETTE</t>
  </si>
  <si>
    <t>LINCOLN</t>
  </si>
  <si>
    <t>LITTLE RIVER</t>
  </si>
  <si>
    <t>LOGAN</t>
  </si>
  <si>
    <t>LONOKE</t>
  </si>
  <si>
    <t>MILLER</t>
  </si>
  <si>
    <t>MISSISSIPPI</t>
  </si>
  <si>
    <t>NEVADA</t>
  </si>
  <si>
    <t>NEWTON</t>
  </si>
  <si>
    <t>OUACHITA</t>
  </si>
  <si>
    <t>PHILLIPS</t>
  </si>
  <si>
    <t>POINSETT</t>
  </si>
  <si>
    <t>POLK</t>
  </si>
  <si>
    <t>POPE</t>
  </si>
  <si>
    <t>PRAIRIE</t>
  </si>
  <si>
    <t>PULASKI</t>
  </si>
  <si>
    <t>SAINT FRANCIS</t>
  </si>
  <si>
    <t>SALINE</t>
  </si>
  <si>
    <t>SCOTT</t>
  </si>
  <si>
    <t>SEARCY</t>
  </si>
  <si>
    <t>SEBASTIAN</t>
  </si>
  <si>
    <t>SEVIER</t>
  </si>
  <si>
    <t>SHARP</t>
  </si>
  <si>
    <t>STONE</t>
  </si>
  <si>
    <t>UNION</t>
  </si>
  <si>
    <t>VAN BUREN</t>
  </si>
  <si>
    <t>WHITE</t>
  </si>
  <si>
    <t>WOODRUFF</t>
  </si>
  <si>
    <t>YELL</t>
  </si>
  <si>
    <t>HAWAII</t>
  </si>
  <si>
    <t>APACHE</t>
  </si>
  <si>
    <t>COCHISE</t>
  </si>
  <si>
    <t>COCONINO</t>
  </si>
  <si>
    <t>GILA</t>
  </si>
  <si>
    <t>GRAHAM</t>
  </si>
  <si>
    <t>GREENLEE</t>
  </si>
  <si>
    <t>LA PAZ</t>
  </si>
  <si>
    <t>MARICOPA</t>
  </si>
  <si>
    <t>MOHAVE</t>
  </si>
  <si>
    <t>NAVAJO</t>
  </si>
  <si>
    <t>PIMA</t>
  </si>
  <si>
    <t>PINAL</t>
  </si>
  <si>
    <t>SANTA CRUZ</t>
  </si>
  <si>
    <t>YAVAPAI</t>
  </si>
  <si>
    <t>YUMA</t>
  </si>
  <si>
    <t>ALAMEDA</t>
  </si>
  <si>
    <t>ALPINE</t>
  </si>
  <si>
    <t>AMADOR</t>
  </si>
  <si>
    <t>BUTTE</t>
  </si>
  <si>
    <t>CALAVERAS</t>
  </si>
  <si>
    <t>COLUSA</t>
  </si>
  <si>
    <t>CONTRA COSTA</t>
  </si>
  <si>
    <t>DEL NORTE</t>
  </si>
  <si>
    <t>EL DORADO</t>
  </si>
  <si>
    <t>FRESNO</t>
  </si>
  <si>
    <t>GLENN</t>
  </si>
  <si>
    <t>HUMBOLDT</t>
  </si>
  <si>
    <t>IMPERIAL</t>
  </si>
  <si>
    <t>INYO</t>
  </si>
  <si>
    <t>KERN</t>
  </si>
  <si>
    <t>KINGS</t>
  </si>
  <si>
    <t>LAKE</t>
  </si>
  <si>
    <t>LASSEN</t>
  </si>
  <si>
    <t>LOS ANGELES</t>
  </si>
  <si>
    <t>MADERA</t>
  </si>
  <si>
    <t>MARIN</t>
  </si>
  <si>
    <t>MARIPOSA</t>
  </si>
  <si>
    <t>MENDOCINO</t>
  </si>
  <si>
    <t>MERCED</t>
  </si>
  <si>
    <t>MODOC</t>
  </si>
  <si>
    <t>MONO</t>
  </si>
  <si>
    <t>MONTEREY</t>
  </si>
  <si>
    <t>NAPA</t>
  </si>
  <si>
    <t>ORANGE</t>
  </si>
  <si>
    <t>PLACER</t>
  </si>
  <si>
    <t>PLUMAS</t>
  </si>
  <si>
    <t>RIVERSIDE</t>
  </si>
  <si>
    <t>SACRAMENTO</t>
  </si>
  <si>
    <t>SAN BENITO</t>
  </si>
  <si>
    <t>SAN BERNARDINO</t>
  </si>
  <si>
    <t>SAN DIEGO</t>
  </si>
  <si>
    <t>SAN FRANCISCO</t>
  </si>
  <si>
    <t>SAN JOAQUIN</t>
  </si>
  <si>
    <t>SAN LUIS OBISPO</t>
  </si>
  <si>
    <t>SAN MATEO</t>
  </si>
  <si>
    <t>SANTA BARBARA</t>
  </si>
  <si>
    <t>SANTA CLARA</t>
  </si>
  <si>
    <t>SHASTA</t>
  </si>
  <si>
    <t>SIERRA</t>
  </si>
  <si>
    <t>SISKIYOU</t>
  </si>
  <si>
    <t>SOLANO</t>
  </si>
  <si>
    <t>SONOMA</t>
  </si>
  <si>
    <t>STANISLAUS</t>
  </si>
  <si>
    <t>SUTTER</t>
  </si>
  <si>
    <t>TEHAMA</t>
  </si>
  <si>
    <t>TRINITY</t>
  </si>
  <si>
    <t>TULARE</t>
  </si>
  <si>
    <t>TUOLUMNE</t>
  </si>
  <si>
    <t>VENTURA</t>
  </si>
  <si>
    <t>YOLO</t>
  </si>
  <si>
    <t>YUBA</t>
  </si>
  <si>
    <t>ADAMS</t>
  </si>
  <si>
    <t>ALAMOSA</t>
  </si>
  <si>
    <t>ARAPAHOE</t>
  </si>
  <si>
    <t>ARCHULETA</t>
  </si>
  <si>
    <t>BACA</t>
  </si>
  <si>
    <t>BENT</t>
  </si>
  <si>
    <t>BOULDER</t>
  </si>
  <si>
    <t>BROOMFIELD</t>
  </si>
  <si>
    <t>CHAFFEE</t>
  </si>
  <si>
    <t>CHEYENNE</t>
  </si>
  <si>
    <t>CLEAR CREEK</t>
  </si>
  <si>
    <t>CONEJOS</t>
  </si>
  <si>
    <t>COSTILLA</t>
  </si>
  <si>
    <t>CROWLEY</t>
  </si>
  <si>
    <t>CUSTER</t>
  </si>
  <si>
    <t>DELTA</t>
  </si>
  <si>
    <t>DENVER</t>
  </si>
  <si>
    <t>DOLORES</t>
  </si>
  <si>
    <t>DOUGLAS</t>
  </si>
  <si>
    <t>EAGLE</t>
  </si>
  <si>
    <t>EL PASO</t>
  </si>
  <si>
    <t>ELBERT</t>
  </si>
  <si>
    <t>FREMONT</t>
  </si>
  <si>
    <t>GARFIELD</t>
  </si>
  <si>
    <t>GILPIN</t>
  </si>
  <si>
    <t>GRAND</t>
  </si>
  <si>
    <t>GUNNISON</t>
  </si>
  <si>
    <t>HINSDALE</t>
  </si>
  <si>
    <t>HUERFANO</t>
  </si>
  <si>
    <t>KIOWA</t>
  </si>
  <si>
    <t>KIT CARSON</t>
  </si>
  <si>
    <t>LA PLATA</t>
  </si>
  <si>
    <t>LARIMER</t>
  </si>
  <si>
    <t>LAS ANIMAS</t>
  </si>
  <si>
    <t>MESA</t>
  </si>
  <si>
    <t>MINERAL</t>
  </si>
  <si>
    <t>MOFFAT</t>
  </si>
  <si>
    <t>MONTEZUMA</t>
  </si>
  <si>
    <t>MONTROSE</t>
  </si>
  <si>
    <t>OTERO</t>
  </si>
  <si>
    <t>OURAY</t>
  </si>
  <si>
    <t>PARK</t>
  </si>
  <si>
    <t>PITKIN</t>
  </si>
  <si>
    <t>PROWERS</t>
  </si>
  <si>
    <t>PUEBLO</t>
  </si>
  <si>
    <t>RIO BLANCO</t>
  </si>
  <si>
    <t>RIO GRANDE</t>
  </si>
  <si>
    <t>ROUTT</t>
  </si>
  <si>
    <t>SAGUACHE</t>
  </si>
  <si>
    <t>SAN JUAN</t>
  </si>
  <si>
    <t>SAN MIGUEL</t>
  </si>
  <si>
    <t>SEDGWICK</t>
  </si>
  <si>
    <t>SUMMIT</t>
  </si>
  <si>
    <t>TELLER</t>
  </si>
  <si>
    <t>WELD</t>
  </si>
  <si>
    <t>FAIRFIELD</t>
  </si>
  <si>
    <t>HARTFORD</t>
  </si>
  <si>
    <t>LITCHFIELD</t>
  </si>
  <si>
    <t>MIDDLESEX</t>
  </si>
  <si>
    <t>NEW HAVEN</t>
  </si>
  <si>
    <t>NEW LONDON</t>
  </si>
  <si>
    <t>TOLLAND</t>
  </si>
  <si>
    <t>WINDHAM</t>
  </si>
  <si>
    <t>DISTRICT OF COLUMBIA</t>
  </si>
  <si>
    <t>KENT</t>
  </si>
  <si>
    <t>NEW CASTLE</t>
  </si>
  <si>
    <t>SUSSEX</t>
  </si>
  <si>
    <t>ALACHUA</t>
  </si>
  <si>
    <t>BAKER</t>
  </si>
  <si>
    <t>BAY</t>
  </si>
  <si>
    <t>BRADFORD</t>
  </si>
  <si>
    <t>BREVARD</t>
  </si>
  <si>
    <t>BROWARD</t>
  </si>
  <si>
    <t>CHARLOTTE</t>
  </si>
  <si>
    <t>CITRUS</t>
  </si>
  <si>
    <t>COLLIER</t>
  </si>
  <si>
    <t>DE SOTO</t>
  </si>
  <si>
    <t>DIXIE</t>
  </si>
  <si>
    <t>DUVAL</t>
  </si>
  <si>
    <t>FLAGLER</t>
  </si>
  <si>
    <t>GADSDEN</t>
  </si>
  <si>
    <t>GILCHRIST</t>
  </si>
  <si>
    <t>GLADES</t>
  </si>
  <si>
    <t>GULF</t>
  </si>
  <si>
    <t>HAMILTON</t>
  </si>
  <si>
    <t>HARDEE</t>
  </si>
  <si>
    <t>HENDRY</t>
  </si>
  <si>
    <t>HERNANDO</t>
  </si>
  <si>
    <t>HIGHLANDS</t>
  </si>
  <si>
    <t>HILLSBOROUGH</t>
  </si>
  <si>
    <t>HOLMES</t>
  </si>
  <si>
    <t>INDIAN RIVER</t>
  </si>
  <si>
    <t>LEON</t>
  </si>
  <si>
    <t>LEVY</t>
  </si>
  <si>
    <t>LIBERTY</t>
  </si>
  <si>
    <t>MANATEE</t>
  </si>
  <si>
    <t>MARTIN</t>
  </si>
  <si>
    <t>MIAMI-DADE</t>
  </si>
  <si>
    <t>NASSAU</t>
  </si>
  <si>
    <t>OKALOOSA</t>
  </si>
  <si>
    <t>OKEECHOBEE</t>
  </si>
  <si>
    <t>OSCEOLA</t>
  </si>
  <si>
    <t>PALM BEACH</t>
  </si>
  <si>
    <t>PASCO</t>
  </si>
  <si>
    <t>PINELLAS</t>
  </si>
  <si>
    <t>PUTNAM</t>
  </si>
  <si>
    <t>SAINT JOHNS</t>
  </si>
  <si>
    <t>SAINT LUCIE</t>
  </si>
  <si>
    <t>SANTA ROSA</t>
  </si>
  <si>
    <t>SARASOTA</t>
  </si>
  <si>
    <t>SEMINOLE</t>
  </si>
  <si>
    <t>SUWANNEE</t>
  </si>
  <si>
    <t>TAYLOR</t>
  </si>
  <si>
    <t>VOLUSIA</t>
  </si>
  <si>
    <t>WAKULLA</t>
  </si>
  <si>
    <t>WALTON</t>
  </si>
  <si>
    <t>FEDERATED STATES OF MICRO</t>
  </si>
  <si>
    <t>APPLING</t>
  </si>
  <si>
    <t>ATKINSON</t>
  </si>
  <si>
    <t>BACON</t>
  </si>
  <si>
    <t>BANKS</t>
  </si>
  <si>
    <t>BARROW</t>
  </si>
  <si>
    <t>BARTOW</t>
  </si>
  <si>
    <t>BEN HILL</t>
  </si>
  <si>
    <t>BERRIEN</t>
  </si>
  <si>
    <t>BLECKLEY</t>
  </si>
  <si>
    <t>BRANTLEY</t>
  </si>
  <si>
    <t>BROOKS</t>
  </si>
  <si>
    <t>BRYAN</t>
  </si>
  <si>
    <t>BULLOCH</t>
  </si>
  <si>
    <t>BURKE</t>
  </si>
  <si>
    <t>BUTTS</t>
  </si>
  <si>
    <t>CAMDEN</t>
  </si>
  <si>
    <t>CANDLER</t>
  </si>
  <si>
    <t>CATOOSA</t>
  </si>
  <si>
    <t>CHARLTON</t>
  </si>
  <si>
    <t>CHATHAM</t>
  </si>
  <si>
    <t>CHATTAHOOCHEE</t>
  </si>
  <si>
    <t>CHATTOOGA</t>
  </si>
  <si>
    <t>CLAYTON</t>
  </si>
  <si>
    <t>CLINCH</t>
  </si>
  <si>
    <t>COBB</t>
  </si>
  <si>
    <t>COLQUITT</t>
  </si>
  <si>
    <t>COOK</t>
  </si>
  <si>
    <t>COWETA</t>
  </si>
  <si>
    <t>CRISP</t>
  </si>
  <si>
    <t>DADE</t>
  </si>
  <si>
    <t>DAWSON</t>
  </si>
  <si>
    <t>DECATUR</t>
  </si>
  <si>
    <t>DEKALB</t>
  </si>
  <si>
    <t>DODGE</t>
  </si>
  <si>
    <t>DOOLY</t>
  </si>
  <si>
    <t>DOUGHERTY</t>
  </si>
  <si>
    <t>EARLY</t>
  </si>
  <si>
    <t>ECHOLS</t>
  </si>
  <si>
    <t>EFFINGHAM</t>
  </si>
  <si>
    <t>EMANUEL</t>
  </si>
  <si>
    <t>EVANS</t>
  </si>
  <si>
    <t>FANNIN</t>
  </si>
  <si>
    <t>FLOYD</t>
  </si>
  <si>
    <t>FORSYTH</t>
  </si>
  <si>
    <t>GILMER</t>
  </si>
  <si>
    <t>GLASCOCK</t>
  </si>
  <si>
    <t>GLYNN</t>
  </si>
  <si>
    <t>GORDON</t>
  </si>
  <si>
    <t>GRADY</t>
  </si>
  <si>
    <t>GWINNETT</t>
  </si>
  <si>
    <t>HABERSHAM</t>
  </si>
  <si>
    <t>HALL</t>
  </si>
  <si>
    <t>HANCOCK</t>
  </si>
  <si>
    <t>HARALSON</t>
  </si>
  <si>
    <t>HARRIS</t>
  </si>
  <si>
    <t>HART</t>
  </si>
  <si>
    <t>HEARD</t>
  </si>
  <si>
    <t>IRWIN</t>
  </si>
  <si>
    <t>JASPER</t>
  </si>
  <si>
    <t>JEFF DAVIS</t>
  </si>
  <si>
    <t>JENKINS</t>
  </si>
  <si>
    <t>JONES</t>
  </si>
  <si>
    <t>LANIER</t>
  </si>
  <si>
    <t>LAURENS</t>
  </si>
  <si>
    <t>LONG</t>
  </si>
  <si>
    <t>LUMPKIN</t>
  </si>
  <si>
    <t>MCDUFFIE</t>
  </si>
  <si>
    <t>MCINTOSH</t>
  </si>
  <si>
    <t>MERIWETHER</t>
  </si>
  <si>
    <t>MITCHELL</t>
  </si>
  <si>
    <t>MURRAY</t>
  </si>
  <si>
    <t>MUSCOGEE</t>
  </si>
  <si>
    <t>OCONEE</t>
  </si>
  <si>
    <t>OGLETHORPE</t>
  </si>
  <si>
    <t>PAULDING</t>
  </si>
  <si>
    <t>PEACH</t>
  </si>
  <si>
    <t>PIERCE</t>
  </si>
  <si>
    <t>QUITMAN</t>
  </si>
  <si>
    <t>RABUN</t>
  </si>
  <si>
    <t>RICHMOND</t>
  </si>
  <si>
    <t>ROCKDALE</t>
  </si>
  <si>
    <t>SCHLEY</t>
  </si>
  <si>
    <t>SCREVEN</t>
  </si>
  <si>
    <t>SPALDING</t>
  </si>
  <si>
    <t>STEPHENS</t>
  </si>
  <si>
    <t>STEWART</t>
  </si>
  <si>
    <t>TALBOT</t>
  </si>
  <si>
    <t>TALIAFERRO</t>
  </si>
  <si>
    <t>TATTNALL</t>
  </si>
  <si>
    <t>TELFAIR</t>
  </si>
  <si>
    <t>TERRELL</t>
  </si>
  <si>
    <t>THOMAS</t>
  </si>
  <si>
    <t>TIFT</t>
  </si>
  <si>
    <t>TOOMBS</t>
  </si>
  <si>
    <t>TOWNS</t>
  </si>
  <si>
    <t>TREUTLEN</t>
  </si>
  <si>
    <t>TROUP</t>
  </si>
  <si>
    <t>TURNER</t>
  </si>
  <si>
    <t>TWIGGS</t>
  </si>
  <si>
    <t>UPSON</t>
  </si>
  <si>
    <t>WARE</t>
  </si>
  <si>
    <t>WARREN</t>
  </si>
  <si>
    <t>WAYNE</t>
  </si>
  <si>
    <t>WEBSTER</t>
  </si>
  <si>
    <t>WHEELER</t>
  </si>
  <si>
    <t>WHITFIELD</t>
  </si>
  <si>
    <t>WILKES</t>
  </si>
  <si>
    <t>WILKINSON</t>
  </si>
  <si>
    <t>WORTH</t>
  </si>
  <si>
    <t>GUAM</t>
  </si>
  <si>
    <t>HONOLULU</t>
  </si>
  <si>
    <t>KALAWAO</t>
  </si>
  <si>
    <t>KAUAI</t>
  </si>
  <si>
    <t>MAUI</t>
  </si>
  <si>
    <t>ADAIR</t>
  </si>
  <si>
    <t>ALLAMAKEE</t>
  </si>
  <si>
    <t>APPANOOSE</t>
  </si>
  <si>
    <t>AUDUBON</t>
  </si>
  <si>
    <t>BLACK HAWK</t>
  </si>
  <si>
    <t>BREMER</t>
  </si>
  <si>
    <t>BUCHANAN</t>
  </si>
  <si>
    <t>BUENA VISTA</t>
  </si>
  <si>
    <t>CASS</t>
  </si>
  <si>
    <t>CEDAR</t>
  </si>
  <si>
    <t>CERRO GORDO</t>
  </si>
  <si>
    <t>CHICKASAW</t>
  </si>
  <si>
    <t>CLINTON</t>
  </si>
  <si>
    <t>DAVIS</t>
  </si>
  <si>
    <t>DELAWARE</t>
  </si>
  <si>
    <t>DES MOINES</t>
  </si>
  <si>
    <t>DICKINSON</t>
  </si>
  <si>
    <t>DUBUQUE</t>
  </si>
  <si>
    <t>EMMET</t>
  </si>
  <si>
    <t>GRUNDY</t>
  </si>
  <si>
    <t>GUTHRIE</t>
  </si>
  <si>
    <t>HARDIN</t>
  </si>
  <si>
    <t>HARRISON</t>
  </si>
  <si>
    <t>IDA</t>
  </si>
  <si>
    <t>IOWA</t>
  </si>
  <si>
    <t>KEOKUK</t>
  </si>
  <si>
    <t>KOSSUTH</t>
  </si>
  <si>
    <t>LINN</t>
  </si>
  <si>
    <t>LOUISA</t>
  </si>
  <si>
    <t>LUCAS</t>
  </si>
  <si>
    <t>LYON</t>
  </si>
  <si>
    <t>MAHASKA</t>
  </si>
  <si>
    <t>MILLS</t>
  </si>
  <si>
    <t>MONONA</t>
  </si>
  <si>
    <t>MUSCATINE</t>
  </si>
  <si>
    <t>OBRIEN</t>
  </si>
  <si>
    <t>PAGE</t>
  </si>
  <si>
    <t>PALO ALTO</t>
  </si>
  <si>
    <t>PLYMOUTH</t>
  </si>
  <si>
    <t>POCAHONTAS</t>
  </si>
  <si>
    <t>POTTAWATTAMIE</t>
  </si>
  <si>
    <t>POWESHIEK</t>
  </si>
  <si>
    <t>RINGGOLD</t>
  </si>
  <si>
    <t>SAC</t>
  </si>
  <si>
    <t>SIOUX</t>
  </si>
  <si>
    <t>STORY</t>
  </si>
  <si>
    <t>TAMA</t>
  </si>
  <si>
    <t>WAPELLO</t>
  </si>
  <si>
    <t>WINNEBAGO</t>
  </si>
  <si>
    <t>WINNESHIEK</t>
  </si>
  <si>
    <t>WOODBURY</t>
  </si>
  <si>
    <t>WRIGHT</t>
  </si>
  <si>
    <t>ADA</t>
  </si>
  <si>
    <t>BANNOCK</t>
  </si>
  <si>
    <t>BEAR LAKE</t>
  </si>
  <si>
    <t>BENEWAH</t>
  </si>
  <si>
    <t>BINGHAM</t>
  </si>
  <si>
    <t>BLAINE</t>
  </si>
  <si>
    <t>BOISE</t>
  </si>
  <si>
    <t>BONNER</t>
  </si>
  <si>
    <t>BONNEVILLE</t>
  </si>
  <si>
    <t>BOUNDARY</t>
  </si>
  <si>
    <t>CAMAS</t>
  </si>
  <si>
    <t>CANYON</t>
  </si>
  <si>
    <t>CARIBOU</t>
  </si>
  <si>
    <t>CASSIA</t>
  </si>
  <si>
    <t>CLEARWATER</t>
  </si>
  <si>
    <t>GEM</t>
  </si>
  <si>
    <t>GOODING</t>
  </si>
  <si>
    <t>IDAHO</t>
  </si>
  <si>
    <t>JEROME</t>
  </si>
  <si>
    <t>KOOTENAI</t>
  </si>
  <si>
    <t>LATAH</t>
  </si>
  <si>
    <t>LEMHI</t>
  </si>
  <si>
    <t>LEWIS</t>
  </si>
  <si>
    <t>MINIDOKA</t>
  </si>
  <si>
    <t>NEZ PERCE</t>
  </si>
  <si>
    <t>ONEIDA</t>
  </si>
  <si>
    <t>OWYHEE</t>
  </si>
  <si>
    <t>PAYETTE</t>
  </si>
  <si>
    <t>POWER</t>
  </si>
  <si>
    <t>SHOSHONE</t>
  </si>
  <si>
    <t>TETON</t>
  </si>
  <si>
    <t>TWIN FALLS</t>
  </si>
  <si>
    <t>VALLEY</t>
  </si>
  <si>
    <t>ALEXANDER</t>
  </si>
  <si>
    <t>BOND</t>
  </si>
  <si>
    <t>BROWN</t>
  </si>
  <si>
    <t>BUREAU</t>
  </si>
  <si>
    <t>CHAMPAIGN</t>
  </si>
  <si>
    <t>CHRISTIAN</t>
  </si>
  <si>
    <t>COLES</t>
  </si>
  <si>
    <t>CUMBERLAND</t>
  </si>
  <si>
    <t>DEWITT</t>
  </si>
  <si>
    <t>DUPAGE</t>
  </si>
  <si>
    <t>EDGAR</t>
  </si>
  <si>
    <t>EDWARDS</t>
  </si>
  <si>
    <t>FORD</t>
  </si>
  <si>
    <t>GALLATIN</t>
  </si>
  <si>
    <t>HENDERSON</t>
  </si>
  <si>
    <t>IROQUOIS</t>
  </si>
  <si>
    <t>JERSEY</t>
  </si>
  <si>
    <t>JO DAVIESS</t>
  </si>
  <si>
    <t>KANE</t>
  </si>
  <si>
    <t>KANKAKEE</t>
  </si>
  <si>
    <t>KENDALL</t>
  </si>
  <si>
    <t>KNOX</t>
  </si>
  <si>
    <t>LA SALLE</t>
  </si>
  <si>
    <t>LIVINGSTON</t>
  </si>
  <si>
    <t>MACOUPIN</t>
  </si>
  <si>
    <t>MASON</t>
  </si>
  <si>
    <t>MASSAC</t>
  </si>
  <si>
    <t>MCDONOUGH</t>
  </si>
  <si>
    <t>MCHENRY</t>
  </si>
  <si>
    <t>MCLEAN</t>
  </si>
  <si>
    <t>MENARD</t>
  </si>
  <si>
    <t>MERCER</t>
  </si>
  <si>
    <t>MOULTRIE</t>
  </si>
  <si>
    <t>OGLE</t>
  </si>
  <si>
    <t>PEORIA</t>
  </si>
  <si>
    <t>PIATT</t>
  </si>
  <si>
    <t>RICHLAND</t>
  </si>
  <si>
    <t>ROCK ISLAND</t>
  </si>
  <si>
    <t>SANGAMON</t>
  </si>
  <si>
    <t>SCHUYLER</t>
  </si>
  <si>
    <t>STARK</t>
  </si>
  <si>
    <t>STEPHENSON</t>
  </si>
  <si>
    <t>TAZEWELL</t>
  </si>
  <si>
    <t>VERMILION</t>
  </si>
  <si>
    <t>WABASH</t>
  </si>
  <si>
    <t>WHITESIDE</t>
  </si>
  <si>
    <t>WILL</t>
  </si>
  <si>
    <t>WILLIAMSON</t>
  </si>
  <si>
    <t>WOODFORD</t>
  </si>
  <si>
    <t>ALLEN</t>
  </si>
  <si>
    <t>BARTHOLOMEW</t>
  </si>
  <si>
    <t>BLACKFORD</t>
  </si>
  <si>
    <t>DAVIESS</t>
  </si>
  <si>
    <t>DEARBORN</t>
  </si>
  <si>
    <t>DUBOIS</t>
  </si>
  <si>
    <t>ELKHART</t>
  </si>
  <si>
    <t>FOUNTAIN</t>
  </si>
  <si>
    <t>GIBSON</t>
  </si>
  <si>
    <t>HENDRICKS</t>
  </si>
  <si>
    <t>HUNTINGTON</t>
  </si>
  <si>
    <t>JAY</t>
  </si>
  <si>
    <t>JENNINGS</t>
  </si>
  <si>
    <t>KOSCIUSKO</t>
  </si>
  <si>
    <t>LA PORTE</t>
  </si>
  <si>
    <t>LAGRANGE</t>
  </si>
  <si>
    <t>MIAMI</t>
  </si>
  <si>
    <t>NOBLE</t>
  </si>
  <si>
    <t>OHIO</t>
  </si>
  <si>
    <t>OWEN</t>
  </si>
  <si>
    <t>PARKE</t>
  </si>
  <si>
    <t>PORTER</t>
  </si>
  <si>
    <t>POSEY</t>
  </si>
  <si>
    <t>RIPLEY</t>
  </si>
  <si>
    <t>RUSH</t>
  </si>
  <si>
    <t>SPENCER</t>
  </si>
  <si>
    <t>ST JOSEPH</t>
  </si>
  <si>
    <t>STARKE</t>
  </si>
  <si>
    <t>STEUBEN</t>
  </si>
  <si>
    <t>SULLIVAN</t>
  </si>
  <si>
    <t>SWITZERLAND</t>
  </si>
  <si>
    <t>TIPPECANOE</t>
  </si>
  <si>
    <t>TIPTON</t>
  </si>
  <si>
    <t>VANDERBURGH</t>
  </si>
  <si>
    <t>VERMILLION</t>
  </si>
  <si>
    <t>VIGO</t>
  </si>
  <si>
    <t>WARRICK</t>
  </si>
  <si>
    <t>WELLS</t>
  </si>
  <si>
    <t>WHITLEY</t>
  </si>
  <si>
    <t>ANDERSON</t>
  </si>
  <si>
    <t>ATCHISON</t>
  </si>
  <si>
    <t>BARBER</t>
  </si>
  <si>
    <t>BARTON</t>
  </si>
  <si>
    <t>BOURBON</t>
  </si>
  <si>
    <t>CHASE</t>
  </si>
  <si>
    <t>CHAUTAUQUA</t>
  </si>
  <si>
    <t>CLOUD</t>
  </si>
  <si>
    <t>COFFEY</t>
  </si>
  <si>
    <t>COMANCHE</t>
  </si>
  <si>
    <t>COWLEY</t>
  </si>
  <si>
    <t>DONIPHAN</t>
  </si>
  <si>
    <t>ELK</t>
  </si>
  <si>
    <t>ELLIS</t>
  </si>
  <si>
    <t>ELLSWORTH</t>
  </si>
  <si>
    <t>FINNEY</t>
  </si>
  <si>
    <t>GEARY</t>
  </si>
  <si>
    <t>GOVE</t>
  </si>
  <si>
    <t>GRAY</t>
  </si>
  <si>
    <t>GREELEY</t>
  </si>
  <si>
    <t>GREENWOOD</t>
  </si>
  <si>
    <t>HARPER</t>
  </si>
  <si>
    <t>HARVEY</t>
  </si>
  <si>
    <t>HASKELL</t>
  </si>
  <si>
    <t>HODGEMAN</t>
  </si>
  <si>
    <t>JEWELL</t>
  </si>
  <si>
    <t>KEARNY</t>
  </si>
  <si>
    <t>KINGMAN</t>
  </si>
  <si>
    <t>LABETTE</t>
  </si>
  <si>
    <t>LANE</t>
  </si>
  <si>
    <t>LEAVENWORTH</t>
  </si>
  <si>
    <t>MCPHERSON</t>
  </si>
  <si>
    <t>MEADE</t>
  </si>
  <si>
    <t>MORRIS</t>
  </si>
  <si>
    <t>MORTON</t>
  </si>
  <si>
    <t>NEMAHA</t>
  </si>
  <si>
    <t>NEOSHO</t>
  </si>
  <si>
    <t>NESS</t>
  </si>
  <si>
    <t>NORTON</t>
  </si>
  <si>
    <t>OSAGE</t>
  </si>
  <si>
    <t>OSBORNE</t>
  </si>
  <si>
    <t>OTTAWA</t>
  </si>
  <si>
    <t>PAWNEE</t>
  </si>
  <si>
    <t>POTTAWATOMIE</t>
  </si>
  <si>
    <t>PRATT</t>
  </si>
  <si>
    <t>RAWLINS</t>
  </si>
  <si>
    <t>RENO</t>
  </si>
  <si>
    <t>REPUBLIC</t>
  </si>
  <si>
    <t>RICE</t>
  </si>
  <si>
    <t>RILEY</t>
  </si>
  <si>
    <t>ROOKS</t>
  </si>
  <si>
    <t>SEWARD</t>
  </si>
  <si>
    <t>SHAWNEE</t>
  </si>
  <si>
    <t>SHERIDAN</t>
  </si>
  <si>
    <t>SHERMAN</t>
  </si>
  <si>
    <t>SMITH</t>
  </si>
  <si>
    <t>STAFFORD</t>
  </si>
  <si>
    <t>STANTON</t>
  </si>
  <si>
    <t>STEVENS</t>
  </si>
  <si>
    <t>SUMNER</t>
  </si>
  <si>
    <t>TREGO</t>
  </si>
  <si>
    <t>WABAUNSEE</t>
  </si>
  <si>
    <t>WALLACE</t>
  </si>
  <si>
    <t>WICHITA</t>
  </si>
  <si>
    <t>WILSON</t>
  </si>
  <si>
    <t>WOODSON</t>
  </si>
  <si>
    <t>WYANDOTTE</t>
  </si>
  <si>
    <t>BALLARD</t>
  </si>
  <si>
    <t>BARREN</t>
  </si>
  <si>
    <t>BATH</t>
  </si>
  <si>
    <t>BELL</t>
  </si>
  <si>
    <t>BOYD</t>
  </si>
  <si>
    <t>BOYLE</t>
  </si>
  <si>
    <t>BRACKEN</t>
  </si>
  <si>
    <t>BREATHITT</t>
  </si>
  <si>
    <t>BRECKINRIDGE</t>
  </si>
  <si>
    <t>BULLITT</t>
  </si>
  <si>
    <t>CALDWELL</t>
  </si>
  <si>
    <t>CALLOWAY</t>
  </si>
  <si>
    <t>CAMPBELL</t>
  </si>
  <si>
    <t>CARLISLE</t>
  </si>
  <si>
    <t>CARTER</t>
  </si>
  <si>
    <t>CASEY</t>
  </si>
  <si>
    <t>EDMONSON</t>
  </si>
  <si>
    <t>ELLIOTT</t>
  </si>
  <si>
    <t>ESTILL</t>
  </si>
  <si>
    <t>FLEMING</t>
  </si>
  <si>
    <t>GARRARD</t>
  </si>
  <si>
    <t>GRAVES</t>
  </si>
  <si>
    <t>GRAYSON</t>
  </si>
  <si>
    <t>GREEN</t>
  </si>
  <si>
    <t>GREENUP</t>
  </si>
  <si>
    <t>HARLAN</t>
  </si>
  <si>
    <t>HICKMAN</t>
  </si>
  <si>
    <t>HOPKINS</t>
  </si>
  <si>
    <t>JESSAMINE</t>
  </si>
  <si>
    <t>KENTON</t>
  </si>
  <si>
    <t>KNOTT</t>
  </si>
  <si>
    <t>LARUE</t>
  </si>
  <si>
    <t>LAUREL</t>
  </si>
  <si>
    <t>LESLIE</t>
  </si>
  <si>
    <t>LETCHER</t>
  </si>
  <si>
    <t>MAGOFFIN</t>
  </si>
  <si>
    <t>MCCRACKEN</t>
  </si>
  <si>
    <t>MCCREARY</t>
  </si>
  <si>
    <t>MENIFEE</t>
  </si>
  <si>
    <t>METCALFE</t>
  </si>
  <si>
    <t>MUHLENBERG</t>
  </si>
  <si>
    <t>NELSON</t>
  </si>
  <si>
    <t>NICHOLAS</t>
  </si>
  <si>
    <t>OLDHAM</t>
  </si>
  <si>
    <t>OWSLEY</t>
  </si>
  <si>
    <t>PENDLETON</t>
  </si>
  <si>
    <t>POWELL</t>
  </si>
  <si>
    <t>ROBERTSON</t>
  </si>
  <si>
    <t>ROCKCASTLE</t>
  </si>
  <si>
    <t>ROWAN</t>
  </si>
  <si>
    <t>SIMPSON</t>
  </si>
  <si>
    <t>TODD</t>
  </si>
  <si>
    <t>TRIGG</t>
  </si>
  <si>
    <t>TRIMBLE</t>
  </si>
  <si>
    <t>WOLFE</t>
  </si>
  <si>
    <t>ACADIA</t>
  </si>
  <si>
    <t>ASCENSION</t>
  </si>
  <si>
    <t>ASSUMPTION</t>
  </si>
  <si>
    <t>AVOYELLES</t>
  </si>
  <si>
    <t>BEAUREGARD</t>
  </si>
  <si>
    <t>BIENVILLE</t>
  </si>
  <si>
    <t>BOSSIER</t>
  </si>
  <si>
    <t>CADDO</t>
  </si>
  <si>
    <t>CALCASIEU</t>
  </si>
  <si>
    <t>CAMERON</t>
  </si>
  <si>
    <t>CATAHOULA</t>
  </si>
  <si>
    <t>CLAIBORNE</t>
  </si>
  <si>
    <t>CONCORDIA</t>
  </si>
  <si>
    <t>EAST BATON ROUGE</t>
  </si>
  <si>
    <t>EAST CARROLL</t>
  </si>
  <si>
    <t>EAST FELICIANA</t>
  </si>
  <si>
    <t>EVANGELINE</t>
  </si>
  <si>
    <t>IBERIA</t>
  </si>
  <si>
    <t>IBERVILLE</t>
  </si>
  <si>
    <t>JEFFERSON DAVIS</t>
  </si>
  <si>
    <t>LAFOURCHE</t>
  </si>
  <si>
    <t>MOREHOUSE</t>
  </si>
  <si>
    <t>NATCHITOCHES</t>
  </si>
  <si>
    <t>ORLEANS</t>
  </si>
  <si>
    <t>PLAQUEMINES</t>
  </si>
  <si>
    <t>POINTE COUPEE</t>
  </si>
  <si>
    <t>RAPIDES</t>
  </si>
  <si>
    <t>RED RIVER</t>
  </si>
  <si>
    <t>SABINE</t>
  </si>
  <si>
    <t>SAINT BERNARD</t>
  </si>
  <si>
    <t>SAINT CHARLES</t>
  </si>
  <si>
    <t>SAINT HELENA</t>
  </si>
  <si>
    <t>SAINT JAMES</t>
  </si>
  <si>
    <t>SAINT LANDRY</t>
  </si>
  <si>
    <t>SAINT MARTIN</t>
  </si>
  <si>
    <t>SAINT MARY</t>
  </si>
  <si>
    <t>SAINT TAMMANY</t>
  </si>
  <si>
    <t>ST JOHN THE BAPTIST</t>
  </si>
  <si>
    <t>TANGIPAHOA</t>
  </si>
  <si>
    <t>TENSAS</t>
  </si>
  <si>
    <t>TERREBONNE</t>
  </si>
  <si>
    <t>VERNON</t>
  </si>
  <si>
    <t>WEST BATON ROUGE</t>
  </si>
  <si>
    <t>WEST CARROLL</t>
  </si>
  <si>
    <t>WEST FELICIANA</t>
  </si>
  <si>
    <t>WINN</t>
  </si>
  <si>
    <t>BARNSTABLE</t>
  </si>
  <si>
    <t>BERKSHIRE</t>
  </si>
  <si>
    <t>BRISTOL</t>
  </si>
  <si>
    <t>DUKES</t>
  </si>
  <si>
    <t>ESSEX</t>
  </si>
  <si>
    <t>HAMPDEN</t>
  </si>
  <si>
    <t>HAMPSHIRE</t>
  </si>
  <si>
    <t>NANTUCKET</t>
  </si>
  <si>
    <t>NORFOLK</t>
  </si>
  <si>
    <t>SUFFOLK</t>
  </si>
  <si>
    <t>WORCESTER</t>
  </si>
  <si>
    <t>ALLEGANY</t>
  </si>
  <si>
    <t>ANNE ARUNDEL</t>
  </si>
  <si>
    <t>BALTIMORE</t>
  </si>
  <si>
    <t>BALTIMORE CITY</t>
  </si>
  <si>
    <t>CALVERT</t>
  </si>
  <si>
    <t>CAROLINE</t>
  </si>
  <si>
    <t>CECIL</t>
  </si>
  <si>
    <t>CHARLES</t>
  </si>
  <si>
    <t>DORCHESTER</t>
  </si>
  <si>
    <t>FREDERICK</t>
  </si>
  <si>
    <t>GARRETT</t>
  </si>
  <si>
    <t>HARFORD</t>
  </si>
  <si>
    <t>PRINCE GEORGES</t>
  </si>
  <si>
    <t>QUEEN ANNES</t>
  </si>
  <si>
    <t>SAINT MARYS</t>
  </si>
  <si>
    <t>SOMERSET</t>
  </si>
  <si>
    <t>WICOMICO</t>
  </si>
  <si>
    <t>ANDROSCOGGIN</t>
  </si>
  <si>
    <t>AROOSTOOK</t>
  </si>
  <si>
    <t>KENNEBEC</t>
  </si>
  <si>
    <t>OXFORD</t>
  </si>
  <si>
    <t>PENOBSCOT</t>
  </si>
  <si>
    <t>PISCATAQUIS</t>
  </si>
  <si>
    <t>SAGADAHOC</t>
  </si>
  <si>
    <t>WALDO</t>
  </si>
  <si>
    <t>YORK</t>
  </si>
  <si>
    <t>MARSHALL ISLANDS</t>
  </si>
  <si>
    <t>ALCONA</t>
  </si>
  <si>
    <t>ALGER</t>
  </si>
  <si>
    <t>ALLEGAN</t>
  </si>
  <si>
    <t>ALPENA</t>
  </si>
  <si>
    <t>ANTRIM</t>
  </si>
  <si>
    <t>ARENAC</t>
  </si>
  <si>
    <t>BARAGA</t>
  </si>
  <si>
    <t>BARRY</t>
  </si>
  <si>
    <t>BENZIE</t>
  </si>
  <si>
    <t>BRANCH</t>
  </si>
  <si>
    <t>CHARLEVOIX</t>
  </si>
  <si>
    <t>CHEBOYGAN</t>
  </si>
  <si>
    <t>CHIPPEWA</t>
  </si>
  <si>
    <t>CLARE</t>
  </si>
  <si>
    <t>EATON</t>
  </si>
  <si>
    <t>GENESEE</t>
  </si>
  <si>
    <t>GLADWIN</t>
  </si>
  <si>
    <t>GOGEBIC</t>
  </si>
  <si>
    <t>GRAND TRAVERSE</t>
  </si>
  <si>
    <t>GRATIOT</t>
  </si>
  <si>
    <t>HILLSDALE</t>
  </si>
  <si>
    <t>HOUGHTON</t>
  </si>
  <si>
    <t>HURON</t>
  </si>
  <si>
    <t>INGHAM</t>
  </si>
  <si>
    <t>IONIA</t>
  </si>
  <si>
    <t>IOSCO</t>
  </si>
  <si>
    <t>IRON</t>
  </si>
  <si>
    <t>ISABELLA</t>
  </si>
  <si>
    <t>KALAMAZOO</t>
  </si>
  <si>
    <t>KALKASKA</t>
  </si>
  <si>
    <t>KEWEENAW</t>
  </si>
  <si>
    <t>LAPEER</t>
  </si>
  <si>
    <t>LEELANAU</t>
  </si>
  <si>
    <t>LENAWEE</t>
  </si>
  <si>
    <t>LUCE</t>
  </si>
  <si>
    <t>MACKINAC</t>
  </si>
  <si>
    <t>MACOMB</t>
  </si>
  <si>
    <t>MANISTEE</t>
  </si>
  <si>
    <t>MARQUETTE</t>
  </si>
  <si>
    <t>MECOSTA</t>
  </si>
  <si>
    <t>MENOMINEE</t>
  </si>
  <si>
    <t>MIDLAND</t>
  </si>
  <si>
    <t>MISSAUKEE</t>
  </si>
  <si>
    <t>MONTCALM</t>
  </si>
  <si>
    <t>MONTMORENCY</t>
  </si>
  <si>
    <t>MUSKEGON</t>
  </si>
  <si>
    <t>NEWAYGO</t>
  </si>
  <si>
    <t>OAKLAND</t>
  </si>
  <si>
    <t>OCEANA</t>
  </si>
  <si>
    <t>OGEMAW</t>
  </si>
  <si>
    <t>ONTONAGON</t>
  </si>
  <si>
    <t>OSCODA</t>
  </si>
  <si>
    <t>OTSEGO</t>
  </si>
  <si>
    <t>PRESQUE ISLE</t>
  </si>
  <si>
    <t>ROSCOMMON</t>
  </si>
  <si>
    <t>SAGINAW</t>
  </si>
  <si>
    <t>SAINT JOSEPH</t>
  </si>
  <si>
    <t>SANILAC</t>
  </si>
  <si>
    <t>SCHOOLCRAFT</t>
  </si>
  <si>
    <t>SHIAWASSEE</t>
  </si>
  <si>
    <t>TUSCOLA</t>
  </si>
  <si>
    <t>WASHTENAW</t>
  </si>
  <si>
    <t>WEXFORD</t>
  </si>
  <si>
    <t>AITKIN</t>
  </si>
  <si>
    <t>ANOKA</t>
  </si>
  <si>
    <t>BECKER</t>
  </si>
  <si>
    <t>BELTRAMI</t>
  </si>
  <si>
    <t>BIG STONE</t>
  </si>
  <si>
    <t>BLUE EARTH</t>
  </si>
  <si>
    <t>CARLTON</t>
  </si>
  <si>
    <t>CARVER</t>
  </si>
  <si>
    <t>CHISAGO</t>
  </si>
  <si>
    <t>COTTONWOOD</t>
  </si>
  <si>
    <t>CROW WING</t>
  </si>
  <si>
    <t>DAKOTA</t>
  </si>
  <si>
    <t>FARIBAULT</t>
  </si>
  <si>
    <t>FILLMORE</t>
  </si>
  <si>
    <t>FREEBORN</t>
  </si>
  <si>
    <t>GOODHUE</t>
  </si>
  <si>
    <t>HENNEPIN</t>
  </si>
  <si>
    <t>HUBBARD</t>
  </si>
  <si>
    <t>ISANTI</t>
  </si>
  <si>
    <t>ITASCA</t>
  </si>
  <si>
    <t>KANABEC</t>
  </si>
  <si>
    <t>KANDIYOHI</t>
  </si>
  <si>
    <t>KITTSON</t>
  </si>
  <si>
    <t>KOOCHICHING</t>
  </si>
  <si>
    <t>LAC QUI PARLE</t>
  </si>
  <si>
    <t>LAKE OF THE WOODS</t>
  </si>
  <si>
    <t>LE SUEUR</t>
  </si>
  <si>
    <t>MAHNOMEN</t>
  </si>
  <si>
    <t>MCLEOD</t>
  </si>
  <si>
    <t>MEEKER</t>
  </si>
  <si>
    <t>MILLE LACS</t>
  </si>
  <si>
    <t>MORRISON</t>
  </si>
  <si>
    <t>MOWER</t>
  </si>
  <si>
    <t>NICOLLET</t>
  </si>
  <si>
    <t>NOBLES</t>
  </si>
  <si>
    <t>NORMAN</t>
  </si>
  <si>
    <t>OLMSTED</t>
  </si>
  <si>
    <t>OTTER TAIL</t>
  </si>
  <si>
    <t>PENNINGTON</t>
  </si>
  <si>
    <t>PINE</t>
  </si>
  <si>
    <t>PIPESTONE</t>
  </si>
  <si>
    <t>RAMSEY</t>
  </si>
  <si>
    <t>RED LAKE</t>
  </si>
  <si>
    <t>REDWOOD</t>
  </si>
  <si>
    <t>RENVILLE</t>
  </si>
  <si>
    <t>ROCK</t>
  </si>
  <si>
    <t>ROSEAU</t>
  </si>
  <si>
    <t>SAINT LOUIS</t>
  </si>
  <si>
    <t>SHERBURNE</t>
  </si>
  <si>
    <t>SIBLEY</t>
  </si>
  <si>
    <t>STEARNS</t>
  </si>
  <si>
    <t>STEELE</t>
  </si>
  <si>
    <t>SWIFT</t>
  </si>
  <si>
    <t>TRAVERSE</t>
  </si>
  <si>
    <t>WABASHA</t>
  </si>
  <si>
    <t>WADENA</t>
  </si>
  <si>
    <t>WASECA</t>
  </si>
  <si>
    <t>WATONWAN</t>
  </si>
  <si>
    <t>WILKIN</t>
  </si>
  <si>
    <t>WINONA</t>
  </si>
  <si>
    <t>YELLOW MEDICINE</t>
  </si>
  <si>
    <t>ANDREW</t>
  </si>
  <si>
    <t>AUDRAIN</t>
  </si>
  <si>
    <t>BATES</t>
  </si>
  <si>
    <t>BOLLINGER</t>
  </si>
  <si>
    <t>CALLAWAY</t>
  </si>
  <si>
    <t>CAPE GIRARDEAU</t>
  </si>
  <si>
    <t>CHARITON</t>
  </si>
  <si>
    <t>COLE</t>
  </si>
  <si>
    <t>COOPER</t>
  </si>
  <si>
    <t>DENT</t>
  </si>
  <si>
    <t>DUNKLIN</t>
  </si>
  <si>
    <t>GASCONADE</t>
  </si>
  <si>
    <t>GENTRY</t>
  </si>
  <si>
    <t>HICKORY</t>
  </si>
  <si>
    <t>HOLT</t>
  </si>
  <si>
    <t>HOWELL</t>
  </si>
  <si>
    <t>LACLEDE</t>
  </si>
  <si>
    <t>MARIES</t>
  </si>
  <si>
    <t>MCDONALD</t>
  </si>
  <si>
    <t>MONITEAU</t>
  </si>
  <si>
    <t>NEW MADRID</t>
  </si>
  <si>
    <t>NODAWAY</t>
  </si>
  <si>
    <t>OREGON</t>
  </si>
  <si>
    <t>OZARK</t>
  </si>
  <si>
    <t>PEMISCOT</t>
  </si>
  <si>
    <t>PETTIS</t>
  </si>
  <si>
    <t>PHELPS</t>
  </si>
  <si>
    <t>PLATTE</t>
  </si>
  <si>
    <t>RALLS</t>
  </si>
  <si>
    <t>RAY</t>
  </si>
  <si>
    <t>REYNOLDS</t>
  </si>
  <si>
    <t>SAINT FRANCOIS</t>
  </si>
  <si>
    <t>SAINT LOUIS CITY</t>
  </si>
  <si>
    <t>SAINTE GENEVIEVE</t>
  </si>
  <si>
    <t>SCOTLAND</t>
  </si>
  <si>
    <t>SHANNON</t>
  </si>
  <si>
    <t>STODDARD</t>
  </si>
  <si>
    <t>TANEY</t>
  </si>
  <si>
    <t>TEXAS</t>
  </si>
  <si>
    <t>NORTHERN MARIANA ISLANDS</t>
  </si>
  <si>
    <t>ALCORN</t>
  </si>
  <si>
    <t>AMITE</t>
  </si>
  <si>
    <t>ATTALA</t>
  </si>
  <si>
    <t>BOLIVAR</t>
  </si>
  <si>
    <t>COAHOMA</t>
  </si>
  <si>
    <t>COPIAH</t>
  </si>
  <si>
    <t>DESOTO</t>
  </si>
  <si>
    <t>FORREST</t>
  </si>
  <si>
    <t>GEORGE</t>
  </si>
  <si>
    <t>GRENADA</t>
  </si>
  <si>
    <t>HINDS</t>
  </si>
  <si>
    <t>HUMPHREYS</t>
  </si>
  <si>
    <t>ISSAQUENA</t>
  </si>
  <si>
    <t>ITAWAMBA</t>
  </si>
  <si>
    <t>KEMPER</t>
  </si>
  <si>
    <t>LEAKE</t>
  </si>
  <si>
    <t>LEFLORE</t>
  </si>
  <si>
    <t>NESHOBA</t>
  </si>
  <si>
    <t>NOXUBEE</t>
  </si>
  <si>
    <t>OKTIBBEHA</t>
  </si>
  <si>
    <t>PANOLA</t>
  </si>
  <si>
    <t>PEARL RIVER</t>
  </si>
  <si>
    <t>PONTOTOC</t>
  </si>
  <si>
    <t>PRENTISS</t>
  </si>
  <si>
    <t>RANKIN</t>
  </si>
  <si>
    <t>SHARKEY</t>
  </si>
  <si>
    <t>SUNFLOWER</t>
  </si>
  <si>
    <t>TALLAHATCHIE</t>
  </si>
  <si>
    <t>TATE</t>
  </si>
  <si>
    <t>TIPPAH</t>
  </si>
  <si>
    <t>TISHOMINGO</t>
  </si>
  <si>
    <t>TUNICA</t>
  </si>
  <si>
    <t>WALTHALL</t>
  </si>
  <si>
    <t>YALOBUSHA</t>
  </si>
  <si>
    <t>YAZOO</t>
  </si>
  <si>
    <t>BEAVERHEAD</t>
  </si>
  <si>
    <t>BIG HORN</t>
  </si>
  <si>
    <t>BROADWATER</t>
  </si>
  <si>
    <t>CARBON</t>
  </si>
  <si>
    <t>CASCADE</t>
  </si>
  <si>
    <t>CHOUTEAU</t>
  </si>
  <si>
    <t>DANIELS</t>
  </si>
  <si>
    <t>DEER LODGE</t>
  </si>
  <si>
    <t>FALLON</t>
  </si>
  <si>
    <t>FERGUS</t>
  </si>
  <si>
    <t>FLATHEAD</t>
  </si>
  <si>
    <t>GLACIER</t>
  </si>
  <si>
    <t>GOLDEN VALLEY</t>
  </si>
  <si>
    <t>GRANITE</t>
  </si>
  <si>
    <t>HILL</t>
  </si>
  <si>
    <t>JUDITH BASIN</t>
  </si>
  <si>
    <t>LEWIS AND CLARK</t>
  </si>
  <si>
    <t>MCCONE</t>
  </si>
  <si>
    <t>MEAGHER</t>
  </si>
  <si>
    <t>MISSOULA</t>
  </si>
  <si>
    <t>MUSSELSHELL</t>
  </si>
  <si>
    <t>PETROLEUM</t>
  </si>
  <si>
    <t>PONDERA</t>
  </si>
  <si>
    <t>POWDER RIVER</t>
  </si>
  <si>
    <t>RAVALLI</t>
  </si>
  <si>
    <t>ROOSEVELT</t>
  </si>
  <si>
    <t>ROSEBUD</t>
  </si>
  <si>
    <t>SANDERS</t>
  </si>
  <si>
    <t>SILVER BOW</t>
  </si>
  <si>
    <t>STILLWATER</t>
  </si>
  <si>
    <t>SWEET GRASS</t>
  </si>
  <si>
    <t>TOOLE</t>
  </si>
  <si>
    <t>TREASURE</t>
  </si>
  <si>
    <t>WHEATLAND</t>
  </si>
  <si>
    <t>WIBAUX</t>
  </si>
  <si>
    <t>YELLOWSTONE</t>
  </si>
  <si>
    <t>ALAMANCE</t>
  </si>
  <si>
    <t>ALLEGHANY</t>
  </si>
  <si>
    <t>ANSON</t>
  </si>
  <si>
    <t>ASHE</t>
  </si>
  <si>
    <t>AVERY</t>
  </si>
  <si>
    <t>BEAUFORT</t>
  </si>
  <si>
    <t>BERTIE</t>
  </si>
  <si>
    <t>BLADEN</t>
  </si>
  <si>
    <t>BRUNSWICK</t>
  </si>
  <si>
    <t>BUNCOMBE</t>
  </si>
  <si>
    <t>CABARRUS</t>
  </si>
  <si>
    <t>CARTERET</t>
  </si>
  <si>
    <t>CASWELL</t>
  </si>
  <si>
    <t>CATAWBA</t>
  </si>
  <si>
    <t>CHOWAN</t>
  </si>
  <si>
    <t>COLUMBUS</t>
  </si>
  <si>
    <t>CRAVEN</t>
  </si>
  <si>
    <t>CURRITUCK</t>
  </si>
  <si>
    <t>DARE</t>
  </si>
  <si>
    <t>DAVIDSON</t>
  </si>
  <si>
    <t>DAVIE</t>
  </si>
  <si>
    <t>DUPLIN</t>
  </si>
  <si>
    <t>DURHAM</t>
  </si>
  <si>
    <t>EDGECOMBE</t>
  </si>
  <si>
    <t>GASTON</t>
  </si>
  <si>
    <t>GATES</t>
  </si>
  <si>
    <t>GRANVILLE</t>
  </si>
  <si>
    <t>GUILFORD</t>
  </si>
  <si>
    <t>HALIFAX</t>
  </si>
  <si>
    <t>HARNETT</t>
  </si>
  <si>
    <t>HAYWOOD</t>
  </si>
  <si>
    <t>HERTFORD</t>
  </si>
  <si>
    <t>HOKE</t>
  </si>
  <si>
    <t>HYDE</t>
  </si>
  <si>
    <t>IREDELL</t>
  </si>
  <si>
    <t>JOHNSTON</t>
  </si>
  <si>
    <t>LENOIR</t>
  </si>
  <si>
    <t>MCDOWELL</t>
  </si>
  <si>
    <t>MECKLENBURG</t>
  </si>
  <si>
    <t>MOORE</t>
  </si>
  <si>
    <t>NASH</t>
  </si>
  <si>
    <t>NEW HANOVER</t>
  </si>
  <si>
    <t>NORTHAMPTON</t>
  </si>
  <si>
    <t>ONSLOW</t>
  </si>
  <si>
    <t>PAMLICO</t>
  </si>
  <si>
    <t>PASQUOTANK</t>
  </si>
  <si>
    <t>PENDER</t>
  </si>
  <si>
    <t>PERQUIMANS</t>
  </si>
  <si>
    <t>PERSON</t>
  </si>
  <si>
    <t>PITT</t>
  </si>
  <si>
    <t>ROBESON</t>
  </si>
  <si>
    <t>ROCKINGHAM</t>
  </si>
  <si>
    <t>RUTHERFORD</t>
  </si>
  <si>
    <t>SAMPSON</t>
  </si>
  <si>
    <t>STANLY</t>
  </si>
  <si>
    <t>STOKES</t>
  </si>
  <si>
    <t>SURRY</t>
  </si>
  <si>
    <t>SWAIN</t>
  </si>
  <si>
    <t>TRANSYLVANIA</t>
  </si>
  <si>
    <t>TYRRELL</t>
  </si>
  <si>
    <t>VANCE</t>
  </si>
  <si>
    <t>WAKE</t>
  </si>
  <si>
    <t>WATAUGA</t>
  </si>
  <si>
    <t>YADKIN</t>
  </si>
  <si>
    <t>YANCEY</t>
  </si>
  <si>
    <t>BARNES</t>
  </si>
  <si>
    <t>BENSON</t>
  </si>
  <si>
    <t>BILLINGS</t>
  </si>
  <si>
    <t>BOTTINEAU</t>
  </si>
  <si>
    <t>BOWMAN</t>
  </si>
  <si>
    <t>BURLEIGH</t>
  </si>
  <si>
    <t>CAVALIER</t>
  </si>
  <si>
    <t>DICKEY</t>
  </si>
  <si>
    <t>DIVIDE</t>
  </si>
  <si>
    <t>DUNN</t>
  </si>
  <si>
    <t>EDDY</t>
  </si>
  <si>
    <t>EMMONS</t>
  </si>
  <si>
    <t>FOSTER</t>
  </si>
  <si>
    <t>GRAND FORKS</t>
  </si>
  <si>
    <t>GRIGGS</t>
  </si>
  <si>
    <t>HETTINGER</t>
  </si>
  <si>
    <t>KIDDER</t>
  </si>
  <si>
    <t>LAMOURE</t>
  </si>
  <si>
    <t>MCKENZIE</t>
  </si>
  <si>
    <t>MOUNTRAIL</t>
  </si>
  <si>
    <t>OLIVER</t>
  </si>
  <si>
    <t>PEMBINA</t>
  </si>
  <si>
    <t>RANSOM</t>
  </si>
  <si>
    <t>ROLETTE</t>
  </si>
  <si>
    <t>SARGENT</t>
  </si>
  <si>
    <t>SLOPE</t>
  </si>
  <si>
    <t>STUTSMAN</t>
  </si>
  <si>
    <t>TOWNER</t>
  </si>
  <si>
    <t>TRAILL</t>
  </si>
  <si>
    <t>WALSH</t>
  </si>
  <si>
    <t>WARD</t>
  </si>
  <si>
    <t>WILLIAMS</t>
  </si>
  <si>
    <t>ANTELOPE</t>
  </si>
  <si>
    <t>ARTHUR</t>
  </si>
  <si>
    <t>BANNER</t>
  </si>
  <si>
    <t>BOX BUTTE</t>
  </si>
  <si>
    <t>BUFFALO</t>
  </si>
  <si>
    <t>BURT</t>
  </si>
  <si>
    <t>CHERRY</t>
  </si>
  <si>
    <t>COLFAX</t>
  </si>
  <si>
    <t>CUMING</t>
  </si>
  <si>
    <t>DAWES</t>
  </si>
  <si>
    <t>DEUEL</t>
  </si>
  <si>
    <t>DIXON</t>
  </si>
  <si>
    <t>DUNDY</t>
  </si>
  <si>
    <t>FRONTIER</t>
  </si>
  <si>
    <t>FURNAS</t>
  </si>
  <si>
    <t>GAGE</t>
  </si>
  <si>
    <t>GARDEN</t>
  </si>
  <si>
    <t>GOSPER</t>
  </si>
  <si>
    <t>HAYES</t>
  </si>
  <si>
    <t>HITCHCOCK</t>
  </si>
  <si>
    <t>HOOKER</t>
  </si>
  <si>
    <t>KEARNEY</t>
  </si>
  <si>
    <t>KEITH</t>
  </si>
  <si>
    <t>KEYA PAHA</t>
  </si>
  <si>
    <t>KIMBALL</t>
  </si>
  <si>
    <t>LANCASTER</t>
  </si>
  <si>
    <t>LOUP</t>
  </si>
  <si>
    <t>MERRICK</t>
  </si>
  <si>
    <t>MORRILL</t>
  </si>
  <si>
    <t>NANCE</t>
  </si>
  <si>
    <t>NUCKOLLS</t>
  </si>
  <si>
    <t>OTOE</t>
  </si>
  <si>
    <t>PERKINS</t>
  </si>
  <si>
    <t>RED WILLOW</t>
  </si>
  <si>
    <t>RICHARDSON</t>
  </si>
  <si>
    <t>SARPY</t>
  </si>
  <si>
    <t>SAUNDERS</t>
  </si>
  <si>
    <t>SCOTTS BLUFF</t>
  </si>
  <si>
    <t>THAYER</t>
  </si>
  <si>
    <t>THURSTON</t>
  </si>
  <si>
    <t>BELKNAP</t>
  </si>
  <si>
    <t>CHESHIRE</t>
  </si>
  <si>
    <t>COOS</t>
  </si>
  <si>
    <t>GRAFTON</t>
  </si>
  <si>
    <t>MERRIMACK</t>
  </si>
  <si>
    <t>STRAFFORD</t>
  </si>
  <si>
    <t>ATLANTIC</t>
  </si>
  <si>
    <t>BERGEN</t>
  </si>
  <si>
    <t>BURLINGTON</t>
  </si>
  <si>
    <t>CAPE MAY</t>
  </si>
  <si>
    <t>GLOUCESTER</t>
  </si>
  <si>
    <t>HUDSON</t>
  </si>
  <si>
    <t>HUNTERDON</t>
  </si>
  <si>
    <t>MONMOUTH</t>
  </si>
  <si>
    <t>OCEAN</t>
  </si>
  <si>
    <t>PASSAIC</t>
  </si>
  <si>
    <t>SALEM</t>
  </si>
  <si>
    <t>BERNALILLO</t>
  </si>
  <si>
    <t>CATRON</t>
  </si>
  <si>
    <t>CHAVES</t>
  </si>
  <si>
    <t>CIBOLA</t>
  </si>
  <si>
    <t>CURRY</t>
  </si>
  <si>
    <t>DE BACA</t>
  </si>
  <si>
    <t>DONA ANA</t>
  </si>
  <si>
    <t>GUADALUPE</t>
  </si>
  <si>
    <t>HARDING</t>
  </si>
  <si>
    <t>HIDALGO</t>
  </si>
  <si>
    <t>LEA</t>
  </si>
  <si>
    <t>LOS ALAMOS</t>
  </si>
  <si>
    <t>LUNA</t>
  </si>
  <si>
    <t>MCKINLEY</t>
  </si>
  <si>
    <t>MORA</t>
  </si>
  <si>
    <t>QUAY</t>
  </si>
  <si>
    <t>RIO ARRIBA</t>
  </si>
  <si>
    <t>SANDOVAL</t>
  </si>
  <si>
    <t>SANTA FE</t>
  </si>
  <si>
    <t>SOCORRO</t>
  </si>
  <si>
    <t>TAOS</t>
  </si>
  <si>
    <t>TORRANCE</t>
  </si>
  <si>
    <t>VALENCIA</t>
  </si>
  <si>
    <t>CARSON CITY</t>
  </si>
  <si>
    <t>CHURCHILL</t>
  </si>
  <si>
    <t>ELKO</t>
  </si>
  <si>
    <t>ESMERALDA</t>
  </si>
  <si>
    <t>EUREKA</t>
  </si>
  <si>
    <t>LANDER</t>
  </si>
  <si>
    <t>NYE</t>
  </si>
  <si>
    <t>PERSHING</t>
  </si>
  <si>
    <t>STOREY</t>
  </si>
  <si>
    <t>WASHOE</t>
  </si>
  <si>
    <t>WHITE PINE</t>
  </si>
  <si>
    <t>ALBANY</t>
  </si>
  <si>
    <t>BRONX</t>
  </si>
  <si>
    <t>BROOME</t>
  </si>
  <si>
    <t>CATTARAUGUS</t>
  </si>
  <si>
    <t>CAYUGA</t>
  </si>
  <si>
    <t>CHEMUNG</t>
  </si>
  <si>
    <t>CHENANGO</t>
  </si>
  <si>
    <t>CORTLAND</t>
  </si>
  <si>
    <t>DUTCHESS</t>
  </si>
  <si>
    <t>ERIE</t>
  </si>
  <si>
    <t>HERKIMER</t>
  </si>
  <si>
    <t>NEW YORK</t>
  </si>
  <si>
    <t>NIAGARA</t>
  </si>
  <si>
    <t>ONONDAGA</t>
  </si>
  <si>
    <t>ONTARIO</t>
  </si>
  <si>
    <t>OSWEGO</t>
  </si>
  <si>
    <t>QUEENS</t>
  </si>
  <si>
    <t>RENSSELAER</t>
  </si>
  <si>
    <t>ROCKLAND</t>
  </si>
  <si>
    <t>SAINT LAWRENCE</t>
  </si>
  <si>
    <t>SARATOGA</t>
  </si>
  <si>
    <t>SCHENECTADY</t>
  </si>
  <si>
    <t>SCHOHARIE</t>
  </si>
  <si>
    <t>SENECA</t>
  </si>
  <si>
    <t>TIOGA</t>
  </si>
  <si>
    <t>TOMPKINS</t>
  </si>
  <si>
    <t>ULSTER</t>
  </si>
  <si>
    <t>WESTCHESTER</t>
  </si>
  <si>
    <t>WYOMING</t>
  </si>
  <si>
    <t>YATES</t>
  </si>
  <si>
    <t>ASHLAND</t>
  </si>
  <si>
    <t>ASHTABULA</t>
  </si>
  <si>
    <t>ATHENS</t>
  </si>
  <si>
    <t>AUGLAIZE</t>
  </si>
  <si>
    <t>BELMONT</t>
  </si>
  <si>
    <t>CLERMONT</t>
  </si>
  <si>
    <t>COLUMBIANA</t>
  </si>
  <si>
    <t>COSHOCTON</t>
  </si>
  <si>
    <t>CUYAHOGA</t>
  </si>
  <si>
    <t>DARKE</t>
  </si>
  <si>
    <t>DEFIANCE</t>
  </si>
  <si>
    <t>GALLIA</t>
  </si>
  <si>
    <t>GEAUGA</t>
  </si>
  <si>
    <t>GUERNSEY</t>
  </si>
  <si>
    <t>HIGHLAND</t>
  </si>
  <si>
    <t>HOCKING</t>
  </si>
  <si>
    <t>LICKING</t>
  </si>
  <si>
    <t>LORAIN</t>
  </si>
  <si>
    <t>MAHONING</t>
  </si>
  <si>
    <t>MEDINA</t>
  </si>
  <si>
    <t>MEIGS</t>
  </si>
  <si>
    <t>MORROW</t>
  </si>
  <si>
    <t>MUSKINGUM</t>
  </si>
  <si>
    <t>PICKAWAY</t>
  </si>
  <si>
    <t>PORTAGE</t>
  </si>
  <si>
    <t>PREBLE</t>
  </si>
  <si>
    <t>ROSS</t>
  </si>
  <si>
    <t>SANDUSKY</t>
  </si>
  <si>
    <t>SCIOTO</t>
  </si>
  <si>
    <t>TRUMBULL</t>
  </si>
  <si>
    <t>TUSCARAWAS</t>
  </si>
  <si>
    <t>VAN WERT</t>
  </si>
  <si>
    <t>VINTON</t>
  </si>
  <si>
    <t>WOOD</t>
  </si>
  <si>
    <t>WYANDOT</t>
  </si>
  <si>
    <t>ALFALFA</t>
  </si>
  <si>
    <t>ATOKA</t>
  </si>
  <si>
    <t>BEAVER</t>
  </si>
  <si>
    <t>BECKHAM</t>
  </si>
  <si>
    <t>CANADIAN</t>
  </si>
  <si>
    <t>CIMARRON</t>
  </si>
  <si>
    <t>COAL</t>
  </si>
  <si>
    <t>COTTON</t>
  </si>
  <si>
    <t>CRAIG</t>
  </si>
  <si>
    <t>CREEK</t>
  </si>
  <si>
    <t>DEWEY</t>
  </si>
  <si>
    <t>GARVIN</t>
  </si>
  <si>
    <t>GREER</t>
  </si>
  <si>
    <t>HARMON</t>
  </si>
  <si>
    <t>HUGHES</t>
  </si>
  <si>
    <t>KAY</t>
  </si>
  <si>
    <t>KINGFISHER</t>
  </si>
  <si>
    <t>LATIMER</t>
  </si>
  <si>
    <t>LE FLORE</t>
  </si>
  <si>
    <t>LOVE</t>
  </si>
  <si>
    <t>MAJOR</t>
  </si>
  <si>
    <t>MAYES</t>
  </si>
  <si>
    <t>MCCLAIN</t>
  </si>
  <si>
    <t>MCCURTAIN</t>
  </si>
  <si>
    <t>MUSKOGEE</t>
  </si>
  <si>
    <t>NOWATA</t>
  </si>
  <si>
    <t>OKFUSKEE</t>
  </si>
  <si>
    <t>OKLAHOMA</t>
  </si>
  <si>
    <t>OKMULGEE</t>
  </si>
  <si>
    <t>PAYNE</t>
  </si>
  <si>
    <t>PITTSBURG</t>
  </si>
  <si>
    <t>PUSHMATAHA</t>
  </si>
  <si>
    <t>ROGER MILLS</t>
  </si>
  <si>
    <t>ROGERS</t>
  </si>
  <si>
    <t>SEQUOYAH</t>
  </si>
  <si>
    <t>TILLMAN</t>
  </si>
  <si>
    <t>TULSA</t>
  </si>
  <si>
    <t>WAGONER</t>
  </si>
  <si>
    <t>WASHITA</t>
  </si>
  <si>
    <t>WOODS</t>
  </si>
  <si>
    <t>WOODWARD</t>
  </si>
  <si>
    <t>CLACKAMAS</t>
  </si>
  <si>
    <t>CLATSOP</t>
  </si>
  <si>
    <t>CROOK</t>
  </si>
  <si>
    <t>DESCHUTES</t>
  </si>
  <si>
    <t>GILLIAM</t>
  </si>
  <si>
    <t>HARNEY</t>
  </si>
  <si>
    <t>HOOD RIVER</t>
  </si>
  <si>
    <t>JOSEPHINE</t>
  </si>
  <si>
    <t>KLAMATH</t>
  </si>
  <si>
    <t>MALHEUR</t>
  </si>
  <si>
    <t>MULTNOMAH</t>
  </si>
  <si>
    <t>TILLAMOOK</t>
  </si>
  <si>
    <t>UMATILLA</t>
  </si>
  <si>
    <t>WALLOWA</t>
  </si>
  <si>
    <t>WASCO</t>
  </si>
  <si>
    <t>YAMHILL</t>
  </si>
  <si>
    <t>ALLEGHENY</t>
  </si>
  <si>
    <t>ARMSTRONG</t>
  </si>
  <si>
    <t>BEDFORD</t>
  </si>
  <si>
    <t>BERKS</t>
  </si>
  <si>
    <t>BLAIR</t>
  </si>
  <si>
    <t>BUCKS</t>
  </si>
  <si>
    <t>CAMBRIA</t>
  </si>
  <si>
    <t>CENTRE</t>
  </si>
  <si>
    <t>CHESTER</t>
  </si>
  <si>
    <t>CLARION</t>
  </si>
  <si>
    <t>CLEARFIELD</t>
  </si>
  <si>
    <t>DAUPHIN</t>
  </si>
  <si>
    <t>FOREST</t>
  </si>
  <si>
    <t>HUNTINGDON</t>
  </si>
  <si>
    <t>INDIANA</t>
  </si>
  <si>
    <t>JUNIATA</t>
  </si>
  <si>
    <t>LACKAWANNA</t>
  </si>
  <si>
    <t>LEBANON</t>
  </si>
  <si>
    <t>LEHIGH</t>
  </si>
  <si>
    <t>LUZERNE</t>
  </si>
  <si>
    <t>LYCOMING</t>
  </si>
  <si>
    <t>MCKEAN</t>
  </si>
  <si>
    <t>MIFFLIN</t>
  </si>
  <si>
    <t>MONTOUR</t>
  </si>
  <si>
    <t>NORTHUMBERLAND</t>
  </si>
  <si>
    <t>PHILADELPHIA</t>
  </si>
  <si>
    <t>POTTER</t>
  </si>
  <si>
    <t>SCHUYLKILL</t>
  </si>
  <si>
    <t>SNYDER</t>
  </si>
  <si>
    <t>SUSQUEHANNA</t>
  </si>
  <si>
    <t>VENANGO</t>
  </si>
  <si>
    <t>WESTMORELAND</t>
  </si>
  <si>
    <t>ADJUNTAS</t>
  </si>
  <si>
    <t>AGUADA</t>
  </si>
  <si>
    <t>AGUADILLA</t>
  </si>
  <si>
    <t>AGUAS BUENAS</t>
  </si>
  <si>
    <t>AIBONITO</t>
  </si>
  <si>
    <t>ANASCO</t>
  </si>
  <si>
    <t>ARECIBO</t>
  </si>
  <si>
    <t>ARROYO</t>
  </si>
  <si>
    <t>BARCELONETA</t>
  </si>
  <si>
    <t>BARRANQUITAS</t>
  </si>
  <si>
    <t>BAYAMON</t>
  </si>
  <si>
    <t>CABO ROJO</t>
  </si>
  <si>
    <t>CAGUAS</t>
  </si>
  <si>
    <t>CAMUY</t>
  </si>
  <si>
    <t>CANOVANAS</t>
  </si>
  <si>
    <t>CAROLINA</t>
  </si>
  <si>
    <t>CATANO</t>
  </si>
  <si>
    <t>CAYEY</t>
  </si>
  <si>
    <t>CEIBA</t>
  </si>
  <si>
    <t>CIALES</t>
  </si>
  <si>
    <t>CIDRA</t>
  </si>
  <si>
    <t>COAMO</t>
  </si>
  <si>
    <t>COMERIO</t>
  </si>
  <si>
    <t>COROZAL</t>
  </si>
  <si>
    <t>CULEBRA</t>
  </si>
  <si>
    <t>DORADO</t>
  </si>
  <si>
    <t>FAJARDO</t>
  </si>
  <si>
    <t>FLORIDA</t>
  </si>
  <si>
    <t>GUANICA</t>
  </si>
  <si>
    <t>GUAYAMA</t>
  </si>
  <si>
    <t>GUAYANILLA</t>
  </si>
  <si>
    <t>GUAYNABO</t>
  </si>
  <si>
    <t>GURABO</t>
  </si>
  <si>
    <t>HATILLO</t>
  </si>
  <si>
    <t>HORMIGUEROS</t>
  </si>
  <si>
    <t>HUMACAO</t>
  </si>
  <si>
    <t>ISABELA</t>
  </si>
  <si>
    <t>JAYUYA</t>
  </si>
  <si>
    <t>JUANA DIAZ</t>
  </si>
  <si>
    <t>JUNCOS</t>
  </si>
  <si>
    <t>LAJAS</t>
  </si>
  <si>
    <t>LARES</t>
  </si>
  <si>
    <t>LAS MARIAS</t>
  </si>
  <si>
    <t>LAS PIEDRAS</t>
  </si>
  <si>
    <t>LOIZA</t>
  </si>
  <si>
    <t>LUQUILLO</t>
  </si>
  <si>
    <t>MANATI</t>
  </si>
  <si>
    <t>MARICAO</t>
  </si>
  <si>
    <t>MAUNABO</t>
  </si>
  <si>
    <t>MAYAGUEZ</t>
  </si>
  <si>
    <t>MOCA</t>
  </si>
  <si>
    <t>MOROVIS</t>
  </si>
  <si>
    <t>NAGUABO</t>
  </si>
  <si>
    <t>NARANJITO</t>
  </si>
  <si>
    <t>OROCOVIS</t>
  </si>
  <si>
    <t>PATILLAS</t>
  </si>
  <si>
    <t>PENUELAS</t>
  </si>
  <si>
    <t>PONCE</t>
  </si>
  <si>
    <t>QUEBRADILLAS</t>
  </si>
  <si>
    <t>RINCON</t>
  </si>
  <si>
    <t>SABANA GRANDE</t>
  </si>
  <si>
    <t>SALINAS</t>
  </si>
  <si>
    <t>SAN GERMAN</t>
  </si>
  <si>
    <t>SAN LORENZO</t>
  </si>
  <si>
    <t>SAN SEBASTIAN</t>
  </si>
  <si>
    <t>SANTA ISABEL</t>
  </si>
  <si>
    <t>TOA ALTA</t>
  </si>
  <si>
    <t>TOA BAJA</t>
  </si>
  <si>
    <t>TRUJILLO ALTO</t>
  </si>
  <si>
    <t>UTUADO</t>
  </si>
  <si>
    <t>VEGA ALTA</t>
  </si>
  <si>
    <t>VEGA BAJA</t>
  </si>
  <si>
    <t>VIEQUES</t>
  </si>
  <si>
    <t>VILLALBA</t>
  </si>
  <si>
    <t>YABUCOA</t>
  </si>
  <si>
    <t>YAUCO</t>
  </si>
  <si>
    <t>PALAU</t>
  </si>
  <si>
    <t>NEWPORT</t>
  </si>
  <si>
    <t>PROVIDENCE</t>
  </si>
  <si>
    <t>ABBEVILLE</t>
  </si>
  <si>
    <t>AIKEN</t>
  </si>
  <si>
    <t>ALLENDALE</t>
  </si>
  <si>
    <t>BAMBERG</t>
  </si>
  <si>
    <t>BARNWELL</t>
  </si>
  <si>
    <t>BERKELEY</t>
  </si>
  <si>
    <t>CHARLESTON</t>
  </si>
  <si>
    <t>CHESTERFIELD</t>
  </si>
  <si>
    <t>CLARENDON</t>
  </si>
  <si>
    <t>COLLETON</t>
  </si>
  <si>
    <t>DARLINGTON</t>
  </si>
  <si>
    <t>DILLON</t>
  </si>
  <si>
    <t>EDGEFIELD</t>
  </si>
  <si>
    <t>FLORENCE</t>
  </si>
  <si>
    <t>GEORGETOWN</t>
  </si>
  <si>
    <t>GREENVILLE</t>
  </si>
  <si>
    <t>HAMPTON</t>
  </si>
  <si>
    <t>HORRY</t>
  </si>
  <si>
    <t>KERSHAW</t>
  </si>
  <si>
    <t>LEXINGTON</t>
  </si>
  <si>
    <t>MARLBORO</t>
  </si>
  <si>
    <t>MCCORMICK</t>
  </si>
  <si>
    <t>NEWBERRY</t>
  </si>
  <si>
    <t>ORANGEBURG</t>
  </si>
  <si>
    <t>SALUDA</t>
  </si>
  <si>
    <t>SPARTANBURG</t>
  </si>
  <si>
    <t>WILLIAMSBURG</t>
  </si>
  <si>
    <t>AURORA</t>
  </si>
  <si>
    <t>BEADLE</t>
  </si>
  <si>
    <t>BENNETT</t>
  </si>
  <si>
    <t>BON HOMME</t>
  </si>
  <si>
    <t>BROOKINGS</t>
  </si>
  <si>
    <t>BRULE</t>
  </si>
  <si>
    <t>CHARLES MIX</t>
  </si>
  <si>
    <t>CODINGTON</t>
  </si>
  <si>
    <t>CORSON</t>
  </si>
  <si>
    <t>DAVISON</t>
  </si>
  <si>
    <t>DAY</t>
  </si>
  <si>
    <t>EDMUNDS</t>
  </si>
  <si>
    <t>FALL RIVER</t>
  </si>
  <si>
    <t>FAULK</t>
  </si>
  <si>
    <t>GREGORY</t>
  </si>
  <si>
    <t>HAAKON</t>
  </si>
  <si>
    <t>HAMLIN</t>
  </si>
  <si>
    <t>HAND</t>
  </si>
  <si>
    <t>HANSON</t>
  </si>
  <si>
    <t>HUTCHINSON</t>
  </si>
  <si>
    <t>JERAULD</t>
  </si>
  <si>
    <t>KINGSBURY</t>
  </si>
  <si>
    <t>LYMAN</t>
  </si>
  <si>
    <t>MCCOOK</t>
  </si>
  <si>
    <t>MELLETTE</t>
  </si>
  <si>
    <t>MINER</t>
  </si>
  <si>
    <t>MINNEHAHA</t>
  </si>
  <si>
    <t>MOODY</t>
  </si>
  <si>
    <t>OGLALA LAKOTA</t>
  </si>
  <si>
    <t>ROBERTS</t>
  </si>
  <si>
    <t>SANBORN</t>
  </si>
  <si>
    <t>SPINK</t>
  </si>
  <si>
    <t>STANLEY</t>
  </si>
  <si>
    <t>SULLY</t>
  </si>
  <si>
    <t>TRIPP</t>
  </si>
  <si>
    <t>WALWORTH</t>
  </si>
  <si>
    <t>YANKTON</t>
  </si>
  <si>
    <t>ZIEBACH</t>
  </si>
  <si>
    <t>BLEDSOE</t>
  </si>
  <si>
    <t>CANNON</t>
  </si>
  <si>
    <t>CHEATHAM</t>
  </si>
  <si>
    <t>COCKE</t>
  </si>
  <si>
    <t>CROCKETT</t>
  </si>
  <si>
    <t>DICKSON</t>
  </si>
  <si>
    <t>DYER</t>
  </si>
  <si>
    <t>FENTRESS</t>
  </si>
  <si>
    <t>GILES</t>
  </si>
  <si>
    <t>GRAINGER</t>
  </si>
  <si>
    <t>HAMBLEN</t>
  </si>
  <si>
    <t>HARDEMAN</t>
  </si>
  <si>
    <t>HAWKINS</t>
  </si>
  <si>
    <t>LOUDON</t>
  </si>
  <si>
    <t>MAURY</t>
  </si>
  <si>
    <t>MCMINN</t>
  </si>
  <si>
    <t>MCNAIRY</t>
  </si>
  <si>
    <t>OBION</t>
  </si>
  <si>
    <t>OVERTON</t>
  </si>
  <si>
    <t>PICKETT</t>
  </si>
  <si>
    <t>RHEA</t>
  </si>
  <si>
    <t>ROANE</t>
  </si>
  <si>
    <t>SEQUATCHIE</t>
  </si>
  <si>
    <t>TROUSDALE</t>
  </si>
  <si>
    <t>UNICOI</t>
  </si>
  <si>
    <t>WEAKLEY</t>
  </si>
  <si>
    <t>ANDREWS</t>
  </si>
  <si>
    <t>ANGELINA</t>
  </si>
  <si>
    <t>ARANSAS</t>
  </si>
  <si>
    <t>ARCHER</t>
  </si>
  <si>
    <t>ATASCOSA</t>
  </si>
  <si>
    <t>AUSTIN</t>
  </si>
  <si>
    <t>BAILEY</t>
  </si>
  <si>
    <t>BANDERA</t>
  </si>
  <si>
    <t>BASTROP</t>
  </si>
  <si>
    <t>BAYLOR</t>
  </si>
  <si>
    <t>BEE</t>
  </si>
  <si>
    <t>BEXAR</t>
  </si>
  <si>
    <t>BLANCO</t>
  </si>
  <si>
    <t>BORDEN</t>
  </si>
  <si>
    <t>BOSQUE</t>
  </si>
  <si>
    <t>BOWIE</t>
  </si>
  <si>
    <t>BRAZORIA</t>
  </si>
  <si>
    <t>BRAZOS</t>
  </si>
  <si>
    <t>BREWSTER</t>
  </si>
  <si>
    <t>BRISCOE</t>
  </si>
  <si>
    <t>BURLESON</t>
  </si>
  <si>
    <t>BURNET</t>
  </si>
  <si>
    <t>CALLAHAN</t>
  </si>
  <si>
    <t>CAMP</t>
  </si>
  <si>
    <t>CARSON</t>
  </si>
  <si>
    <t>CASTRO</t>
  </si>
  <si>
    <t>CHILDRESS</t>
  </si>
  <si>
    <t>COCHRAN</t>
  </si>
  <si>
    <t>COKE</t>
  </si>
  <si>
    <t>COLEMAN</t>
  </si>
  <si>
    <t>COLLIN</t>
  </si>
  <si>
    <t>COLLINGSWORTH</t>
  </si>
  <si>
    <t>COLORADO</t>
  </si>
  <si>
    <t>COMAL</t>
  </si>
  <si>
    <t>CONCHO</t>
  </si>
  <si>
    <t>COOKE</t>
  </si>
  <si>
    <t>CORYELL</t>
  </si>
  <si>
    <t>COTTLE</t>
  </si>
  <si>
    <t>CRANE</t>
  </si>
  <si>
    <t>CROSBY</t>
  </si>
  <si>
    <t>CULBERSON</t>
  </si>
  <si>
    <t>DALLAM</t>
  </si>
  <si>
    <t>DE WITT</t>
  </si>
  <si>
    <t>DEAF SMITH</t>
  </si>
  <si>
    <t>DENTON</t>
  </si>
  <si>
    <t>DICKENS</t>
  </si>
  <si>
    <t>DIMMIT</t>
  </si>
  <si>
    <t>DONLEY</t>
  </si>
  <si>
    <t>EASTLAND</t>
  </si>
  <si>
    <t>ECTOR</t>
  </si>
  <si>
    <t>ERATH</t>
  </si>
  <si>
    <t>FALLS</t>
  </si>
  <si>
    <t>FISHER</t>
  </si>
  <si>
    <t>FOARD</t>
  </si>
  <si>
    <t>FORT BEND</t>
  </si>
  <si>
    <t>FREESTONE</t>
  </si>
  <si>
    <t>FRIO</t>
  </si>
  <si>
    <t>GAINES</t>
  </si>
  <si>
    <t>GALVESTON</t>
  </si>
  <si>
    <t>GARZA</t>
  </si>
  <si>
    <t>GILLESPIE</t>
  </si>
  <si>
    <t>GLASSCOCK</t>
  </si>
  <si>
    <t>GOLIAD</t>
  </si>
  <si>
    <t>GONZALES</t>
  </si>
  <si>
    <t>GREGG</t>
  </si>
  <si>
    <t>GRIMES</t>
  </si>
  <si>
    <t>HANSFORD</t>
  </si>
  <si>
    <t>HARTLEY</t>
  </si>
  <si>
    <t>HAYS</t>
  </si>
  <si>
    <t>HEMPHILL</t>
  </si>
  <si>
    <t>HOCKLEY</t>
  </si>
  <si>
    <t>HOOD</t>
  </si>
  <si>
    <t>HUDSPETH</t>
  </si>
  <si>
    <t>HUNT</t>
  </si>
  <si>
    <t>IRION</t>
  </si>
  <si>
    <t>JACK</t>
  </si>
  <si>
    <t>JIM HOGG</t>
  </si>
  <si>
    <t>JIM WELLS</t>
  </si>
  <si>
    <t>KARNES</t>
  </si>
  <si>
    <t>KAUFMAN</t>
  </si>
  <si>
    <t>KENEDY</t>
  </si>
  <si>
    <t>KERR</t>
  </si>
  <si>
    <t>KIMBLE</t>
  </si>
  <si>
    <t>KING</t>
  </si>
  <si>
    <t>KINNEY</t>
  </si>
  <si>
    <t>KLEBERG</t>
  </si>
  <si>
    <t>LAMB</t>
  </si>
  <si>
    <t>LAMPASAS</t>
  </si>
  <si>
    <t>LAVACA</t>
  </si>
  <si>
    <t>LIPSCOMB</t>
  </si>
  <si>
    <t>LIVE OAK</t>
  </si>
  <si>
    <t>LLANO</t>
  </si>
  <si>
    <t>LOVING</t>
  </si>
  <si>
    <t>LUBBOCK</t>
  </si>
  <si>
    <t>LYNN</t>
  </si>
  <si>
    <t>MATAGORDA</t>
  </si>
  <si>
    <t>MAVERICK</t>
  </si>
  <si>
    <t>MCCULLOCH</t>
  </si>
  <si>
    <t>MCLENNAN</t>
  </si>
  <si>
    <t>MCMULLEN</t>
  </si>
  <si>
    <t>MILAM</t>
  </si>
  <si>
    <t>MONTAGUE</t>
  </si>
  <si>
    <t>MOTLEY</t>
  </si>
  <si>
    <t>NACOGDOCHES</t>
  </si>
  <si>
    <t>NAVARRO</t>
  </si>
  <si>
    <t>NOLAN</t>
  </si>
  <si>
    <t>NUECES</t>
  </si>
  <si>
    <t>OCHILTREE</t>
  </si>
  <si>
    <t>PALO PINTO</t>
  </si>
  <si>
    <t>PARKER</t>
  </si>
  <si>
    <t>PARMER</t>
  </si>
  <si>
    <t>PECOS</t>
  </si>
  <si>
    <t>PRESIDIO</t>
  </si>
  <si>
    <t>RAINS</t>
  </si>
  <si>
    <t>RANDALL</t>
  </si>
  <si>
    <t>REAGAN</t>
  </si>
  <si>
    <t>REAL</t>
  </si>
  <si>
    <t>REEVES</t>
  </si>
  <si>
    <t>REFUGIO</t>
  </si>
  <si>
    <t>ROCKWALL</t>
  </si>
  <si>
    <t>RUNNELS</t>
  </si>
  <si>
    <t>RUSK</t>
  </si>
  <si>
    <t>SAN AUGUSTINE</t>
  </si>
  <si>
    <t>SAN JACINTO</t>
  </si>
  <si>
    <t>SAN PATRICIO</t>
  </si>
  <si>
    <t>SAN SABA</t>
  </si>
  <si>
    <t>SCHLEICHER</t>
  </si>
  <si>
    <t>SCURRY</t>
  </si>
  <si>
    <t>SHACKELFORD</t>
  </si>
  <si>
    <t>SOMERVELL</t>
  </si>
  <si>
    <t>STARR</t>
  </si>
  <si>
    <t>STERLING</t>
  </si>
  <si>
    <t>STONEWALL</t>
  </si>
  <si>
    <t>SUTTON</t>
  </si>
  <si>
    <t>SWISHER</t>
  </si>
  <si>
    <t>TARRANT</t>
  </si>
  <si>
    <t>TERRY</t>
  </si>
  <si>
    <t>THROCKMORTON</t>
  </si>
  <si>
    <t>TITUS</t>
  </si>
  <si>
    <t>TOM GREEN</t>
  </si>
  <si>
    <t>TRAVIS</t>
  </si>
  <si>
    <t>TYLER</t>
  </si>
  <si>
    <t>UPSHUR</t>
  </si>
  <si>
    <t>UPTON</t>
  </si>
  <si>
    <t>UVALDE</t>
  </si>
  <si>
    <t>VAL VERDE</t>
  </si>
  <si>
    <t>VAN ZANDT</t>
  </si>
  <si>
    <t>VICTORIA</t>
  </si>
  <si>
    <t>WALLER</t>
  </si>
  <si>
    <t>WEBB</t>
  </si>
  <si>
    <t>WHARTON</t>
  </si>
  <si>
    <t>WILBARGER</t>
  </si>
  <si>
    <t>WILLACY</t>
  </si>
  <si>
    <t>WINKLER</t>
  </si>
  <si>
    <t>WISE</t>
  </si>
  <si>
    <t>YOAKUM</t>
  </si>
  <si>
    <t>YOUNG</t>
  </si>
  <si>
    <t>ZAPATA</t>
  </si>
  <si>
    <t>ZAVALA</t>
  </si>
  <si>
    <t>BOX ELDER</t>
  </si>
  <si>
    <t>CACHE</t>
  </si>
  <si>
    <t>DAGGETT</t>
  </si>
  <si>
    <t>DUCHESNE</t>
  </si>
  <si>
    <t>EMERY</t>
  </si>
  <si>
    <t>JUAB</t>
  </si>
  <si>
    <t>MILLARD</t>
  </si>
  <si>
    <t>PIUTE</t>
  </si>
  <si>
    <t>RICH</t>
  </si>
  <si>
    <t>SALT LAKE</t>
  </si>
  <si>
    <t>SANPETE</t>
  </si>
  <si>
    <t>TOOELE</t>
  </si>
  <si>
    <t>UINTAH</t>
  </si>
  <si>
    <t>UTAH</t>
  </si>
  <si>
    <t>WASATCH</t>
  </si>
  <si>
    <t>WEBER</t>
  </si>
  <si>
    <t>ACCOMACK</t>
  </si>
  <si>
    <t>ALBEMARLE</t>
  </si>
  <si>
    <t>ALEXANDRIA CITY</t>
  </si>
  <si>
    <t>AMELIA</t>
  </si>
  <si>
    <t>AMHERST</t>
  </si>
  <si>
    <t>APPOMATTOX</t>
  </si>
  <si>
    <t>ARLINGTON</t>
  </si>
  <si>
    <t>AUGUSTA</t>
  </si>
  <si>
    <t>BEDFORD CITY</t>
  </si>
  <si>
    <t>BLAND</t>
  </si>
  <si>
    <t>BOTETOURT</t>
  </si>
  <si>
    <t>BRISTOL CITY</t>
  </si>
  <si>
    <t>BUCKINGHAM</t>
  </si>
  <si>
    <t>BUENA VISTA CITY</t>
  </si>
  <si>
    <t>CHARLES CITY</t>
  </si>
  <si>
    <t>CHARLOTTESVILLE CITY</t>
  </si>
  <si>
    <t>CHESAPEAKE CITY</t>
  </si>
  <si>
    <t>COLONIAL HEIGHTS CITY</t>
  </si>
  <si>
    <t>COVINGTON CITY</t>
  </si>
  <si>
    <t>CULPEPER</t>
  </si>
  <si>
    <t>DANVILLE CITY</t>
  </si>
  <si>
    <t>DICKENSON</t>
  </si>
  <si>
    <t>DINWIDDIE</t>
  </si>
  <si>
    <t>EMPORIA CITY</t>
  </si>
  <si>
    <t>FAIRFAX</t>
  </si>
  <si>
    <t>FAIRFAX CITY</t>
  </si>
  <si>
    <t>FALLS CHURCH CITY</t>
  </si>
  <si>
    <t>FAUQUIER</t>
  </si>
  <si>
    <t>FLUVANNA</t>
  </si>
  <si>
    <t>FRANKLIN CITY</t>
  </si>
  <si>
    <t>FREDERICKSBURG CITY</t>
  </si>
  <si>
    <t>GALAX CITY</t>
  </si>
  <si>
    <t>GOOCHLAND</t>
  </si>
  <si>
    <t>GREENSVILLE</t>
  </si>
  <si>
    <t>HAMPTON CITY</t>
  </si>
  <si>
    <t>HANOVER</t>
  </si>
  <si>
    <t>HARRISONBURG CITY</t>
  </si>
  <si>
    <t>HENRICO</t>
  </si>
  <si>
    <t>HOPEWELL CITY</t>
  </si>
  <si>
    <t>ISLE OF WIGHT</t>
  </si>
  <si>
    <t>JAMES CITY</t>
  </si>
  <si>
    <t>KING AND QUEEN</t>
  </si>
  <si>
    <t>KING GEORGE</t>
  </si>
  <si>
    <t>KING WILLIAM</t>
  </si>
  <si>
    <t>LEXINGTON CITY</t>
  </si>
  <si>
    <t>LOUDOUN</t>
  </si>
  <si>
    <t>LUNENBURG</t>
  </si>
  <si>
    <t>LYNCHBURG CITY</t>
  </si>
  <si>
    <t>MANASSAS CITY</t>
  </si>
  <si>
    <t>MANASSAS PARK CITY</t>
  </si>
  <si>
    <t>MARTINSVILLE CITY</t>
  </si>
  <si>
    <t>MATHEWS</t>
  </si>
  <si>
    <t>NEW KENT</t>
  </si>
  <si>
    <t>NEWPORT NEWS CITY</t>
  </si>
  <si>
    <t>NORFOLK CITY</t>
  </si>
  <si>
    <t>NORTON CITY</t>
  </si>
  <si>
    <t>NOTTOWAY</t>
  </si>
  <si>
    <t>PATRICK</t>
  </si>
  <si>
    <t>PETERSBURG CITY</t>
  </si>
  <si>
    <t>PITTSYLVANIA</t>
  </si>
  <si>
    <t>POQUOSON CITY</t>
  </si>
  <si>
    <t>PORTSMOUTH CITY</t>
  </si>
  <si>
    <t>POWHATAN</t>
  </si>
  <si>
    <t>PRINCE EDWARD</t>
  </si>
  <si>
    <t>PRINCE GEORGE</t>
  </si>
  <si>
    <t>PRINCE WILLIAM</t>
  </si>
  <si>
    <t>RADFORD</t>
  </si>
  <si>
    <t>RAPPAHANNOCK</t>
  </si>
  <si>
    <t>RICHMOND CITY</t>
  </si>
  <si>
    <t>ROANOKE</t>
  </si>
  <si>
    <t>ROANOKE CITY</t>
  </si>
  <si>
    <t>ROCKBRIDGE</t>
  </si>
  <si>
    <t>SHENANDOAH</t>
  </si>
  <si>
    <t>SMYTH</t>
  </si>
  <si>
    <t>SOUTHAMPTON</t>
  </si>
  <si>
    <t>SPOTSYLVANIA</t>
  </si>
  <si>
    <t>STAUNTON CITY</t>
  </si>
  <si>
    <t>SUFFOLK CITY</t>
  </si>
  <si>
    <t>VIRGINIA BEACH CITY</t>
  </si>
  <si>
    <t>WAYNESBORO CITY</t>
  </si>
  <si>
    <t>WILLIAMSBURG CITY</t>
  </si>
  <si>
    <t>WINCHESTER CITY</t>
  </si>
  <si>
    <t>WYTHE</t>
  </si>
  <si>
    <t>SAINT CROIX</t>
  </si>
  <si>
    <t>SAINT JOHN</t>
  </si>
  <si>
    <t>SAINT THOMAS</t>
  </si>
  <si>
    <t>ADDISON</t>
  </si>
  <si>
    <t>BENNINGTON</t>
  </si>
  <si>
    <t>CALEDONIA</t>
  </si>
  <si>
    <t>CHITTENDEN</t>
  </si>
  <si>
    <t>GRAND ISLE</t>
  </si>
  <si>
    <t>LAMOILLE</t>
  </si>
  <si>
    <t>RUTLAND</t>
  </si>
  <si>
    <t>WINDSOR</t>
  </si>
  <si>
    <t>ASOTIN</t>
  </si>
  <si>
    <t>CHELAN</t>
  </si>
  <si>
    <t>CLALLAM</t>
  </si>
  <si>
    <t>COWLITZ</t>
  </si>
  <si>
    <t>FERRY</t>
  </si>
  <si>
    <t>GRAYS HARBOR</t>
  </si>
  <si>
    <t>ISLAND</t>
  </si>
  <si>
    <t>KITSAP</t>
  </si>
  <si>
    <t>KITTITAS</t>
  </si>
  <si>
    <t>KLICKITAT</t>
  </si>
  <si>
    <t>OKANOGAN</t>
  </si>
  <si>
    <t>PACIFIC</t>
  </si>
  <si>
    <t>PEND OREILLE</t>
  </si>
  <si>
    <t>SKAGIT</t>
  </si>
  <si>
    <t>SKAMANIA</t>
  </si>
  <si>
    <t>SNOHOMISH</t>
  </si>
  <si>
    <t>SPOKANE</t>
  </si>
  <si>
    <t>WAHKIAKUM</t>
  </si>
  <si>
    <t>WALLA WALLA</t>
  </si>
  <si>
    <t>WHATCOM</t>
  </si>
  <si>
    <t>WHITMAN</t>
  </si>
  <si>
    <t>YAKIMA</t>
  </si>
  <si>
    <t>BARRON</t>
  </si>
  <si>
    <t>BAYFIELD</t>
  </si>
  <si>
    <t>BURNETT</t>
  </si>
  <si>
    <t>CALUMET</t>
  </si>
  <si>
    <t>DANE</t>
  </si>
  <si>
    <t>DOOR</t>
  </si>
  <si>
    <t>EAU CLAIRE</t>
  </si>
  <si>
    <t>FOND DU LAC</t>
  </si>
  <si>
    <t>GREEN LAKE</t>
  </si>
  <si>
    <t>KENOSHA</t>
  </si>
  <si>
    <t>KEWAUNEE</t>
  </si>
  <si>
    <t>LA CROSSE</t>
  </si>
  <si>
    <t>LANGLADE</t>
  </si>
  <si>
    <t>MANITOWOC</t>
  </si>
  <si>
    <t>MARATHON</t>
  </si>
  <si>
    <t>MARINETTE</t>
  </si>
  <si>
    <t>MILWAUKEE</t>
  </si>
  <si>
    <t>OCONTO</t>
  </si>
  <si>
    <t>OUTAGAMIE</t>
  </si>
  <si>
    <t>OZAUKEE</t>
  </si>
  <si>
    <t>PEPIN</t>
  </si>
  <si>
    <t>PRICE</t>
  </si>
  <si>
    <t>RACINE</t>
  </si>
  <si>
    <t>SAUK</t>
  </si>
  <si>
    <t>SAWYER</t>
  </si>
  <si>
    <t>SHAWANO</t>
  </si>
  <si>
    <t>SHEBOYGAN</t>
  </si>
  <si>
    <t>TREMPEALEAU</t>
  </si>
  <si>
    <t>VILAS</t>
  </si>
  <si>
    <t>WASHBURN</t>
  </si>
  <si>
    <t>WAUKESHA</t>
  </si>
  <si>
    <t>WAUPACA</t>
  </si>
  <si>
    <t>WAUSHARA</t>
  </si>
  <si>
    <t>BRAXTON</t>
  </si>
  <si>
    <t>BROOKE</t>
  </si>
  <si>
    <t>CABELL</t>
  </si>
  <si>
    <t>DODDRIDGE</t>
  </si>
  <si>
    <t>GREENBRIER</t>
  </si>
  <si>
    <t>HARDY</t>
  </si>
  <si>
    <t>KANAWHA</t>
  </si>
  <si>
    <t>MINGO</t>
  </si>
  <si>
    <t>MONONGALIA</t>
  </si>
  <si>
    <t>PLEASANTS</t>
  </si>
  <si>
    <t>PRESTON</t>
  </si>
  <si>
    <t>RALEIGH</t>
  </si>
  <si>
    <t>RITCHIE</t>
  </si>
  <si>
    <t>SUMMERS</t>
  </si>
  <si>
    <t>TUCKER</t>
  </si>
  <si>
    <t>WETZEL</t>
  </si>
  <si>
    <t>WIRT</t>
  </si>
  <si>
    <t>CONVERSE</t>
  </si>
  <si>
    <t>GOSHEN</t>
  </si>
  <si>
    <t>HOT SPRINGS</t>
  </si>
  <si>
    <t>LARAMIE</t>
  </si>
  <si>
    <t>NATRONA</t>
  </si>
  <si>
    <t>NIOBRARA</t>
  </si>
  <si>
    <t>SUBLETTE</t>
  </si>
  <si>
    <t>SWEETWATER</t>
  </si>
  <si>
    <t>UINTA</t>
  </si>
  <si>
    <t>WASHAKIE</t>
  </si>
  <si>
    <t>WESTON</t>
  </si>
  <si>
    <t>Work Location</t>
  </si>
  <si>
    <t>Division</t>
  </si>
  <si>
    <t>Employment Type II</t>
  </si>
  <si>
    <t>Employment Classification II</t>
  </si>
  <si>
    <t>Employment Classification I</t>
  </si>
  <si>
    <t>Salary Effective Date</t>
  </si>
  <si>
    <t>Employment
Status*</t>
  </si>
  <si>
    <t>Employment Type I*</t>
  </si>
  <si>
    <t>Pay Type*</t>
  </si>
  <si>
    <t>Pay Frequency*</t>
  </si>
  <si>
    <t>Dep Rrelation</t>
  </si>
  <si>
    <t>Dep Disable</t>
  </si>
  <si>
    <t>Male</t>
  </si>
  <si>
    <t>Yes</t>
  </si>
  <si>
    <t>Active</t>
  </si>
  <si>
    <t>Death</t>
  </si>
  <si>
    <t>Full Time</t>
  </si>
  <si>
    <t>Salaried</t>
  </si>
  <si>
    <t>Monthly</t>
  </si>
  <si>
    <t>Permanent</t>
  </si>
  <si>
    <t>Union</t>
  </si>
  <si>
    <t>Exempt</t>
  </si>
  <si>
    <t>Spouse</t>
  </si>
  <si>
    <t>Female</t>
  </si>
  <si>
    <t>NO</t>
  </si>
  <si>
    <t>Terminated</t>
  </si>
  <si>
    <t>Retirement</t>
  </si>
  <si>
    <t>Part Time</t>
  </si>
  <si>
    <t>Hourly</t>
  </si>
  <si>
    <t>Semi-Monthly</t>
  </si>
  <si>
    <t>Temporary</t>
  </si>
  <si>
    <t>Non-Union</t>
  </si>
  <si>
    <t>Non-Exempt</t>
  </si>
  <si>
    <t>Child</t>
  </si>
  <si>
    <t>No</t>
  </si>
  <si>
    <t>I</t>
  </si>
  <si>
    <t>Voluntary Termination of Employment</t>
  </si>
  <si>
    <t>Other</t>
  </si>
  <si>
    <t>Bi-Weekly</t>
  </si>
  <si>
    <t>Domestic Partner</t>
  </si>
  <si>
    <t>II</t>
  </si>
  <si>
    <t>Involuntary Termination of Employment</t>
  </si>
  <si>
    <t>Weekly</t>
  </si>
  <si>
    <t>Other dependent</t>
  </si>
  <si>
    <t>III</t>
  </si>
  <si>
    <t>Permanent Disability</t>
  </si>
  <si>
    <r>
      <t>Mandatory (</t>
    </r>
    <r>
      <rPr>
        <sz val="11"/>
        <color rgb="FFFF0000"/>
        <rFont val="Calibri"/>
        <family val="2"/>
      </rPr>
      <t>*</t>
    </r>
    <r>
      <rPr>
        <sz val="11"/>
        <color indexed="8"/>
        <rFont val="Calibri"/>
        <family val="2"/>
      </rPr>
      <t>)</t>
    </r>
  </si>
  <si>
    <t>Optional</t>
  </si>
  <si>
    <t xml:space="preserve">Legend
</t>
  </si>
  <si>
    <t>IV</t>
  </si>
  <si>
    <r>
      <t>Dependent 1 First Name</t>
    </r>
    <r>
      <rPr>
        <b/>
        <sz val="10"/>
        <color rgb="FFFF0000"/>
        <rFont val="Calibri"/>
        <family val="2"/>
      </rPr>
      <t>*</t>
    </r>
  </si>
  <si>
    <r>
      <t>Dependent 1 Last Name</t>
    </r>
    <r>
      <rPr>
        <b/>
        <sz val="10"/>
        <color rgb="FFFF0000"/>
        <rFont val="Calibri"/>
        <family val="2"/>
      </rPr>
      <t>*</t>
    </r>
  </si>
  <si>
    <r>
      <t>Dependent 1 DOB</t>
    </r>
    <r>
      <rPr>
        <b/>
        <sz val="10"/>
        <color rgb="FFFF0000"/>
        <rFont val="Calibri"/>
        <family val="2"/>
      </rPr>
      <t>*</t>
    </r>
  </si>
  <si>
    <r>
      <t>Dependent 1 Relationship</t>
    </r>
    <r>
      <rPr>
        <b/>
        <sz val="10"/>
        <color rgb="FFFF0000"/>
        <rFont val="Calibri"/>
        <family val="2"/>
      </rPr>
      <t>*</t>
    </r>
  </si>
  <si>
    <t>Dependent 1 is Disabled</t>
  </si>
  <si>
    <t>${customClassCol}</t>
  </si>
  <si>
    <t>&lt;jx:forEach items="${customClassCols}" var="customClassCol"&gt;</t>
  </si>
  <si>
    <t>&lt;/jx:forEach&gt;</t>
  </si>
  <si>
    <t>&lt;jx:forEach items="${dependentCols}" var="dependentCol"&gt;</t>
  </si>
  <si>
    <t>Dependent ${dependentCol} Prefix</t>
  </si>
  <si>
    <t>Dependent ${dependentCol} First Name*</t>
  </si>
  <si>
    <t>Dependent ${dependentCol} Middle Initial</t>
  </si>
  <si>
    <t>Dependent ${dependentCol} Last Name*</t>
  </si>
  <si>
    <t>Dependent ${dependentCol} Suffix</t>
  </si>
  <si>
    <t>Dependent ${dependentCol} DOB*</t>
  </si>
  <si>
    <t>Dependent ${dependentCol} Relationship*</t>
  </si>
  <si>
    <t>Dependent ${dependentCol} is Disabled</t>
  </si>
  <si>
    <t>${employee.firstName}</t>
  </si>
  <si>
    <t>${employee.middleInitial}</t>
  </si>
  <si>
    <t>${employee.lastName}</t>
  </si>
  <si>
    <t>${employee.dob}</t>
  </si>
  <si>
    <t>${employee.ssn}</t>
  </si>
  <si>
    <t>${employee.employeeID}</t>
  </si>
  <si>
    <t>${employee.dateOfHire}</t>
  </si>
  <si>
    <t>${employee.terminationDate}</t>
  </si>
  <si>
    <t>${employee.annualSalary}</t>
  </si>
  <si>
    <t>${employee.salaryEffectiveDate}</t>
  </si>
  <si>
    <t>${employee.hourlyPayRate}</t>
  </si>
  <si>
    <t>${employee.segment}</t>
  </si>
  <si>
    <t>${employee.designation}</t>
  </si>
  <si>
    <t>${employee.employmentclassification2}</t>
  </si>
  <si>
    <t>${employee.worklocation}</t>
  </si>
  <si>
    <t>${employee.division}</t>
  </si>
  <si>
    <t>${employee.personalEmail}</t>
  </si>
  <si>
    <t>${employee.officialEmail}</t>
  </si>
  <si>
    <t>${employee.phoneNumber}</t>
  </si>
  <si>
    <t>${employee.addressLine1}</t>
  </si>
  <si>
    <t>${employee.addressLine2}</t>
  </si>
  <si>
    <t>${employee.city}</t>
  </si>
  <si>
    <t>${employee.zipCode}</t>
  </si>
  <si>
    <t>&lt;jx:forEach items="${employee.customClassFieldList}" var="customClassField"&gt;</t>
  </si>
  <si>
    <t>${customClassField.value}</t>
  </si>
  <si>
    <t>&lt;jx:forEach items="${employee.dependentList}" var="dependent"&gt;</t>
  </si>
  <si>
    <t>${dependent.prefix}</t>
  </si>
  <si>
    <t>${dependent.firstName}</t>
  </si>
  <si>
    <t>${dependent.middleInitial}</t>
  </si>
  <si>
    <t>${dependent.lastName}</t>
  </si>
  <si>
    <t>${dependent.suffix}</t>
  </si>
  <si>
    <t>${dependent.dob}</t>
  </si>
  <si>
    <t>${dependent.gender}</t>
  </si>
  <si>
    <t>${dependent.tobaccoUsage}</t>
  </si>
  <si>
    <t>${dependent.relationship}</t>
  </si>
  <si>
    <t>${dependent.isDisabled}</t>
  </si>
  <si>
    <t>&lt;jx:forEach items="${employees}" var="employee"&gt;</t>
  </si>
  <si>
    <t>${employee.fein}</t>
  </si>
  <si>
    <t>Employer Identification Number</t>
  </si>
  <si>
    <r>
      <t xml:space="preserve"> Employee Gender</t>
    </r>
    <r>
      <rPr>
        <b/>
        <sz val="10"/>
        <color rgb="FFFF0000"/>
        <rFont val="Calibri"/>
        <family val="2"/>
      </rPr>
      <t>*</t>
    </r>
  </si>
  <si>
    <t>custom</t>
  </si>
  <si>
    <t>Employee Tobacco usage in last 12 months</t>
  </si>
  <si>
    <t>Employee tobacco_usage in last 12 months (Yes/No)</t>
  </si>
  <si>
    <t>Dependent 1 Tobacco usage in last 12 months</t>
  </si>
  <si>
    <t>Tobacco usage in last 12 months</t>
  </si>
  <si>
    <t>Dependent ${dependentCol} Tobacco usage in last 12 months</t>
  </si>
  <si>
    <r>
      <t>Conditional(</t>
    </r>
    <r>
      <rPr>
        <sz val="11"/>
        <color rgb="FFFF0000"/>
        <rFont val="Calibri"/>
        <family val="2"/>
      </rPr>
      <t>**</t>
    </r>
    <r>
      <rPr>
        <sz val="11"/>
        <color indexed="8"/>
        <rFont val="Calibri"/>
        <family val="2"/>
      </rPr>
      <t>)</t>
    </r>
  </si>
  <si>
    <t>Hourly Pay Rate**</t>
  </si>
  <si>
    <t>Working Hours per Week(Digits)**</t>
  </si>
  <si>
    <r>
      <t>Annual Salary(Digits)</t>
    </r>
    <r>
      <rPr>
        <b/>
        <sz val="10"/>
        <color rgb="FFFF0000"/>
        <rFont val="Calibri"/>
        <family val="2"/>
      </rPr>
      <t>**</t>
    </r>
  </si>
  <si>
    <r>
      <t>Working Hours per Week(Digits)</t>
    </r>
    <r>
      <rPr>
        <b/>
        <sz val="10"/>
        <color rgb="FFFF0000"/>
        <rFont val="Calibri"/>
        <family val="2"/>
      </rPr>
      <t>**</t>
    </r>
  </si>
  <si>
    <r>
      <t>Hourly Pay Rate</t>
    </r>
    <r>
      <rPr>
        <b/>
        <sz val="10"/>
        <color rgb="FFFF0000"/>
        <rFont val="Calibri"/>
        <family val="2"/>
      </rPr>
      <t>**</t>
    </r>
  </si>
  <si>
    <r>
      <t>Dependent 1 Gender</t>
    </r>
    <r>
      <rPr>
        <b/>
        <sz val="10"/>
        <color rgb="FFFF0000"/>
        <rFont val="Calibri"/>
        <family val="2"/>
      </rPr>
      <t>*</t>
    </r>
  </si>
  <si>
    <t>Dependent ${dependentCol} Gender*</t>
  </si>
  <si>
    <r>
      <t>1. Each row will represent one employee in the organization.
2. Mandatory fields are marked by a red asterisk '</t>
    </r>
    <r>
      <rPr>
        <sz val="11"/>
        <color rgb="FFFF0000"/>
        <rFont val="Calibri"/>
        <family val="2"/>
      </rPr>
      <t>*</t>
    </r>
    <r>
      <rPr>
        <sz val="11"/>
        <color indexed="8"/>
        <rFont val="Calibri"/>
        <family val="2"/>
      </rPr>
      <t xml:space="preserve">', however there may be some non-marked fields that are still mandatory on your exchange.                                                                                                                        3. Conditional fields are marked by a double red asterisk '**'.
4. Please do not change the contents of cell </t>
    </r>
    <r>
      <rPr>
        <b/>
        <sz val="11"/>
        <color indexed="8"/>
        <rFont val="Calibri"/>
        <family val="2"/>
      </rPr>
      <t>A1</t>
    </r>
    <r>
      <rPr>
        <sz val="11"/>
        <color indexed="8"/>
        <rFont val="Calibri"/>
        <family val="2"/>
      </rPr>
      <t xml:space="preserve">.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t>
    </r>
    <r>
      <rPr>
        <b/>
        <sz val="11"/>
        <color indexed="8"/>
        <rFont val="Calibri"/>
        <family val="2"/>
      </rPr>
      <t>Add/Remove Custom Column</t>
    </r>
    <r>
      <rPr>
        <sz val="11"/>
        <color indexed="8"/>
        <rFont val="Calibri"/>
        <family val="2"/>
      </rPr>
      <t xml:space="preserve"> button to add/remove custom field column(s) that are used in the organization but are not present in the template.
9. Use the </t>
    </r>
    <r>
      <rPr>
        <b/>
        <sz val="11"/>
        <color indexed="8"/>
        <rFont val="Calibri"/>
        <family val="2"/>
      </rPr>
      <t>Add/Remove Dependent Column</t>
    </r>
    <r>
      <rPr>
        <sz val="11"/>
        <color indexed="8"/>
        <rFont val="Calibri"/>
        <family val="2"/>
      </rPr>
      <t xml:space="preserve"> button to add/remove column(s) for employee's dependent specific data.
10. The </t>
    </r>
    <r>
      <rPr>
        <b/>
        <sz val="11"/>
        <color indexed="8"/>
        <rFont val="Calibri"/>
        <family val="2"/>
      </rPr>
      <t>Validate</t>
    </r>
    <r>
      <rPr>
        <sz val="11"/>
        <color indexed="8"/>
        <rFont val="Calibri"/>
        <family val="2"/>
      </rPr>
      <t xml:space="preserv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t>
    </r>
    <r>
      <rPr>
        <b/>
        <sz val="11"/>
        <color indexed="8"/>
        <rFont val="Calibri"/>
        <family val="2"/>
      </rPr>
      <t xml:space="preserve">NOTE: </t>
    </r>
    <r>
      <rPr>
        <sz val="11"/>
        <color indexed="8"/>
        <rFont val="Calibri"/>
        <family val="2"/>
      </rPr>
      <t>While copying data from a different source and pasting on this template, please ensure to copy &amp; paste all employees details first, then custom fields and dependent data separately (if required). Pasting data for the entire employee row at once might lead to erroneous conditions.
14.</t>
    </r>
    <r>
      <rPr>
        <b/>
        <sz val="11"/>
        <color indexed="8"/>
        <rFont val="Calibri"/>
        <family val="2"/>
      </rPr>
      <t xml:space="preserve"> IMPORTANT</t>
    </r>
    <r>
      <rPr>
        <sz val="11"/>
        <color indexed="8"/>
        <rFont val="Calibri"/>
        <family val="2"/>
      </rPr>
      <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r>
  </si>
  <si>
    <t>Mr.</t>
  </si>
  <si>
    <t>Mrs.</t>
  </si>
  <si>
    <t>Ms.</t>
  </si>
  <si>
    <t>Miss.</t>
  </si>
  <si>
    <t>Dr.</t>
  </si>
  <si>
    <t>Jr.</t>
  </si>
  <si>
    <t>Sr.</t>
  </si>
  <si>
    <t>${employee.prefix}</t>
  </si>
  <si>
    <t>${employee.suffix}</t>
  </si>
  <si>
    <t>${employee.gender}</t>
  </si>
  <si>
    <t>${employee.tobaccoUsage}</t>
  </si>
  <si>
    <t>${employee.status}</t>
  </si>
  <si>
    <t>${employee.employmentType}</t>
  </si>
  <si>
    <t>${EMPLOYEE.ZIPCODE}</t>
  </si>
  <si>
    <t>${employee.terminationType}</t>
  </si>
  <si>
    <t>${employee.department}</t>
  </si>
  <si>
    <t>${employee.employmentclassification1}</t>
  </si>
  <si>
    <t>${employee.state}</t>
  </si>
  <si>
    <t>${employee.county}</t>
  </si>
  <si>
    <t>${employee.workingHoursPerWeek}</t>
  </si>
  <si>
    <t>${employee.OthersEmployementType}</t>
  </si>
  <si>
    <t>F</t>
  </si>
  <si>
    <t>Bonus</t>
  </si>
  <si>
    <t>${employee.bonus}</t>
  </si>
  <si>
    <t>${employee.commission}</t>
  </si>
  <si>
    <t>System Defined Custom Fields</t>
  </si>
  <si>
    <t>Protected Veteran Status,Race/Ethnicity,EEO Job Category,Disability Status</t>
  </si>
  <si>
    <t>SystemCustomFields</t>
  </si>
  <si>
    <t>Salary Commissions</t>
  </si>
  <si>
    <t>${employee.employmenttype2}</t>
  </si>
  <si>
    <t>${employee.payGroupName}</t>
  </si>
  <si>
    <r>
      <t>Pay Group</t>
    </r>
    <r>
      <rPr>
        <b/>
        <sz val="10"/>
        <color rgb="FFFF0000"/>
        <rFont val="Calibri"/>
        <family val="2"/>
      </rPr>
      <t>*</t>
    </r>
  </si>
  <si>
    <t>${employee.payType}</t>
  </si>
  <si>
    <t>FLSA Classification</t>
  </si>
  <si>
    <t>Union Classification</t>
  </si>
  <si>
    <t>Employee Type</t>
  </si>
  <si>
    <r>
      <t>Employment Type</t>
    </r>
    <r>
      <rPr>
        <b/>
        <sz val="10"/>
        <color rgb="FFFF0000"/>
        <rFont val="Calibri"/>
        <family val="2"/>
      </rPr>
      <t>*</t>
    </r>
  </si>
  <si>
    <r>
      <t>Others (Employment Type)</t>
    </r>
    <r>
      <rPr>
        <b/>
        <sz val="10"/>
        <color rgb="FFFF0000"/>
        <rFont val="Calibri"/>
        <family val="2"/>
      </rPr>
      <t>*</t>
    </r>
  </si>
  <si>
    <t>HCX_Employee_Census_V1.11</t>
  </si>
  <si>
    <t>Benefits Class</t>
  </si>
  <si>
    <t>Mailing Address Line 1</t>
  </si>
  <si>
    <t>Mailing Address Line 2</t>
  </si>
  <si>
    <t>Mailing City</t>
  </si>
  <si>
    <t>Mailing Zipcode</t>
  </si>
  <si>
    <t>Mailing State(Abbreviation)</t>
  </si>
  <si>
    <t>Mailing County</t>
  </si>
  <si>
    <t>Protected Veteran Status</t>
  </si>
  <si>
    <t>Disability Status</t>
  </si>
  <si>
    <t>EEO Job Category</t>
  </si>
  <si>
    <t>Race/Ethnicity</t>
  </si>
  <si>
    <t>Original DOH</t>
  </si>
  <si>
    <t>Adjusted Service Date</t>
  </si>
  <si>
    <t>Reporting Manager ID</t>
  </si>
  <si>
    <t>License Number</t>
  </si>
  <si>
    <t>License Type</t>
  </si>
  <si>
    <t>License State</t>
  </si>
  <si>
    <t>License Expiration Date</t>
  </si>
  <si>
    <t>Dependent 1 First Name*</t>
  </si>
  <si>
    <t>Dependent 1 Last Name*</t>
  </si>
  <si>
    <t>Dependent 1 DOB*</t>
  </si>
  <si>
    <t>Dependent 1 Gender*</t>
  </si>
  <si>
    <t>Dependent 1 Relationship*</t>
  </si>
  <si>
    <t>Dependent 2 First Name*</t>
  </si>
  <si>
    <t>Dependent 2 Last Name*</t>
  </si>
  <si>
    <t>Dependent 2 DOB*</t>
  </si>
  <si>
    <t>Dependent 2 Gender*</t>
  </si>
  <si>
    <t>Dependent 2 Tobacco usage in last 12 months</t>
  </si>
  <si>
    <t>Dependent 2 Relationship*</t>
  </si>
  <si>
    <t>Dependent 2 is Disabled</t>
  </si>
  <si>
    <t>Dependent 3 First Name*</t>
  </si>
  <si>
    <t>Dependent 3 Last Name*</t>
  </si>
  <si>
    <t>Dependent 3 DOB*</t>
  </si>
  <si>
    <t>Dependent 3 Gender*</t>
  </si>
  <si>
    <t>Dependent 3 Tobacco usage in last 12 months</t>
  </si>
  <si>
    <t>Dependent 3 Relationship*</t>
  </si>
  <si>
    <t>Dependent 3 is Disabled</t>
  </si>
  <si>
    <t/>
  </si>
  <si>
    <t>Q55YIQC45</t>
  </si>
  <si>
    <t>843994542</t>
  </si>
  <si>
    <t>Amarion</t>
  </si>
  <si>
    <t>Perry</t>
  </si>
  <si>
    <t>06/03/2003</t>
  </si>
  <si>
    <t>345022148</t>
  </si>
  <si>
    <t>008ZYIETG</t>
  </si>
  <si>
    <t>ACTIVE</t>
  </si>
  <si>
    <t>06/29/2025</t>
  </si>
  <si>
    <t>0.0</t>
  </si>
  <si>
    <t>22.75</t>
  </si>
  <si>
    <t>Default</t>
  </si>
  <si>
    <t>Driver</t>
  </si>
  <si>
    <t>DLN3</t>
  </si>
  <si>
    <t>amarion.perry223@gmail.com</t>
  </si>
  <si>
    <t>7734266611</t>
  </si>
  <si>
    <t>217 North Lavergne Avenue</t>
  </si>
  <si>
    <t>Chicago</t>
  </si>
  <si>
    <t>60644</t>
  </si>
  <si>
    <t>Julian</t>
  </si>
  <si>
    <t>Martinez</t>
  </si>
  <si>
    <t>10/02/1996</t>
  </si>
  <si>
    <t>831269011</t>
  </si>
  <si>
    <t>05FBKZQCT</t>
  </si>
  <si>
    <t>TERMINATED</t>
  </si>
  <si>
    <t>11/05/2025</t>
  </si>
  <si>
    <t>martinez.julian67@gmail.com</t>
  </si>
  <si>
    <t>3128743961</t>
  </si>
  <si>
    <t>1103 Wadsworth Avenue</t>
  </si>
  <si>
    <t>North Chicago</t>
  </si>
  <si>
    <t>60064</t>
  </si>
  <si>
    <t>Younan</t>
  </si>
  <si>
    <t>David</t>
  </si>
  <si>
    <t>07/26/1993</t>
  </si>
  <si>
    <t>354884966</t>
  </si>
  <si>
    <t>0WQGL0NLV</t>
  </si>
  <si>
    <t>prostacker@gmail.com</t>
  </si>
  <si>
    <t>2244096375</t>
  </si>
  <si>
    <t>7041 Glenwood Lane</t>
  </si>
  <si>
    <t>Hanover Park</t>
  </si>
  <si>
    <t>60133</t>
  </si>
  <si>
    <t>Bryan</t>
  </si>
  <si>
    <t>Rafael</t>
  </si>
  <si>
    <t>05/05/1999</t>
  </si>
  <si>
    <t>330969255</t>
  </si>
  <si>
    <t>18ZSN4DGW</t>
  </si>
  <si>
    <t>10/08/2021</t>
  </si>
  <si>
    <t>25.5</t>
  </si>
  <si>
    <t>Driver-Step Van</t>
  </si>
  <si>
    <t>rafaelbryan2021@gmail.com</t>
  </si>
  <si>
    <t>8723606393</t>
  </si>
  <si>
    <t>10044 Schiller Blvd</t>
  </si>
  <si>
    <t>Franklin park</t>
  </si>
  <si>
    <t>60131</t>
  </si>
  <si>
    <t>Moiz</t>
  </si>
  <si>
    <t>Hussain</t>
  </si>
  <si>
    <t>11/11/1991</t>
  </si>
  <si>
    <t>356884474</t>
  </si>
  <si>
    <t>1ANA44WI9</t>
  </si>
  <si>
    <t>06/10/2024</t>
  </si>
  <si>
    <t>21.75</t>
  </si>
  <si>
    <t>Dispatch</t>
  </si>
  <si>
    <t>moiz@kdldsp.com</t>
  </si>
  <si>
    <t>6305080757</t>
  </si>
  <si>
    <t>180 Mill Meadows Lane</t>
  </si>
  <si>
    <t>Addison</t>
  </si>
  <si>
    <t>60101</t>
  </si>
  <si>
    <t>Alexander</t>
  </si>
  <si>
    <t>Kunicki</t>
  </si>
  <si>
    <t>02/07/2001</t>
  </si>
  <si>
    <t>331989532</t>
  </si>
  <si>
    <t>1UDT476IV</t>
  </si>
  <si>
    <t>alexanderkunicki3@icloud.com</t>
  </si>
  <si>
    <t>2245587936</t>
  </si>
  <si>
    <t>705 Elma Avenue</t>
  </si>
  <si>
    <t>Elgin</t>
  </si>
  <si>
    <t>60120</t>
  </si>
  <si>
    <t>Brian</t>
  </si>
  <si>
    <t>Gomez</t>
  </si>
  <si>
    <t>03/30/1998</t>
  </si>
  <si>
    <t>343947935</t>
  </si>
  <si>
    <t>1V7OL3WKP</t>
  </si>
  <si>
    <t>10/25/2023</t>
  </si>
  <si>
    <t>23.5</t>
  </si>
  <si>
    <t>gomezbrian12345@gmail.com</t>
  </si>
  <si>
    <t>6305201305</t>
  </si>
  <si>
    <t>1254 Borden Court</t>
  </si>
  <si>
    <t>Mohammed</t>
  </si>
  <si>
    <t>Khan</t>
  </si>
  <si>
    <t>03/07/1987</t>
  </si>
  <si>
    <t>318825279</t>
  </si>
  <si>
    <t>24FOYMQY7</t>
  </si>
  <si>
    <t>01/29/2025</t>
  </si>
  <si>
    <t>mhkshk7799@gmail.com</t>
  </si>
  <si>
    <t>2248294632</t>
  </si>
  <si>
    <t>7519 West Main Street</t>
  </si>
  <si>
    <t>Niles</t>
  </si>
  <si>
    <t>60714</t>
  </si>
  <si>
    <t>Paul</t>
  </si>
  <si>
    <t>Geverola</t>
  </si>
  <si>
    <t>07/14/1983</t>
  </si>
  <si>
    <t>323820962</t>
  </si>
  <si>
    <t>2DF62S607</t>
  </si>
  <si>
    <t>deivaeh@gmail.com</t>
  </si>
  <si>
    <t>7737448970</t>
  </si>
  <si>
    <t>8293 N. Wisner St.</t>
  </si>
  <si>
    <t>Lizmarie</t>
  </si>
  <si>
    <t>Maldonado</t>
  </si>
  <si>
    <t>02/20/1992</t>
  </si>
  <si>
    <t>598345521</t>
  </si>
  <si>
    <t>2MAZL4A40</t>
  </si>
  <si>
    <t>10/22/2025</t>
  </si>
  <si>
    <t>lizmaldo1029@gmail.com</t>
  </si>
  <si>
    <t>2246243615</t>
  </si>
  <si>
    <t>756 Rand Grove Lane</t>
  </si>
  <si>
    <t>Palatine</t>
  </si>
  <si>
    <t>60074</t>
  </si>
  <si>
    <t>Dayan</t>
  </si>
  <si>
    <t>Vazquez</t>
  </si>
  <si>
    <t>09/17/2001</t>
  </si>
  <si>
    <t>348983568</t>
  </si>
  <si>
    <t>3C4MXJQXQ</t>
  </si>
  <si>
    <t>10/02/2022</t>
  </si>
  <si>
    <t>24.25</t>
  </si>
  <si>
    <t>dvazquez0001@icloud.com</t>
  </si>
  <si>
    <t>8477081342</t>
  </si>
  <si>
    <t>602 Lindale Street</t>
  </si>
  <si>
    <t>Elk Grove Village</t>
  </si>
  <si>
    <t>60007</t>
  </si>
  <si>
    <t>Justin</t>
  </si>
  <si>
    <t>Elam</t>
  </si>
  <si>
    <t>01/08/2000</t>
  </si>
  <si>
    <t>347960741</t>
  </si>
  <si>
    <t>3OI0F0H4H</t>
  </si>
  <si>
    <t>02/09/2024</t>
  </si>
  <si>
    <t>jtmia3@yahoo.com</t>
  </si>
  <si>
    <t>2245001793</t>
  </si>
  <si>
    <t>725 Hillcrest Boulevard</t>
  </si>
  <si>
    <t>Hoffman Estates</t>
  </si>
  <si>
    <t>60169</t>
  </si>
  <si>
    <t>Charles</t>
  </si>
  <si>
    <t>Thomas</t>
  </si>
  <si>
    <t>01/22/1992</t>
  </si>
  <si>
    <t>504210486</t>
  </si>
  <si>
    <t>3XPSCB5BM</t>
  </si>
  <si>
    <t>09/17/2025</t>
  </si>
  <si>
    <t>12/02/2025</t>
  </si>
  <si>
    <t>jasonjoemaddox1@gmail.com</t>
  </si>
  <si>
    <t>6052516915</t>
  </si>
  <si>
    <t>153 Forest Ave</t>
  </si>
  <si>
    <t>Fox Lake</t>
  </si>
  <si>
    <t>60020</t>
  </si>
  <si>
    <t>8B7A2C3K8</t>
  </si>
  <si>
    <t>Haneen</t>
  </si>
  <si>
    <t>Sbeih</t>
  </si>
  <si>
    <t>05/02/1987</t>
  </si>
  <si>
    <t>337920776</t>
  </si>
  <si>
    <t>4YKF0HFXV</t>
  </si>
  <si>
    <t>01/20/2026</t>
  </si>
  <si>
    <t>Office Personnel</t>
  </si>
  <si>
    <t>haneen.sbeih@gmail.com</t>
  </si>
  <si>
    <t>8152186694</t>
  </si>
  <si>
    <t>214 East McConaughy Avenue</t>
  </si>
  <si>
    <t>Rochelle</t>
  </si>
  <si>
    <t>61068</t>
  </si>
  <si>
    <t>Zablocki</t>
  </si>
  <si>
    <t>10/07/1999</t>
  </si>
  <si>
    <t>148064774</t>
  </si>
  <si>
    <t>518J231PL</t>
  </si>
  <si>
    <t>07/17/2023</t>
  </si>
  <si>
    <t>23.25</t>
  </si>
  <si>
    <t>thomas.zablocki10@gmail.com</t>
  </si>
  <si>
    <t>3125368827</t>
  </si>
  <si>
    <t>1489 W Irving Park Road</t>
  </si>
  <si>
    <t>apt 315</t>
  </si>
  <si>
    <t>Itasca</t>
  </si>
  <si>
    <t>60143</t>
  </si>
  <si>
    <t>Aneesa</t>
  </si>
  <si>
    <t>A</t>
  </si>
  <si>
    <t>05/28/2005</t>
  </si>
  <si>
    <t>346042075</t>
  </si>
  <si>
    <t>559YWDS00</t>
  </si>
  <si>
    <t>01/09/2025</t>
  </si>
  <si>
    <t>01/08/2026</t>
  </si>
  <si>
    <t>Transfer</t>
  </si>
  <si>
    <t>aneesak@kdldsp.com</t>
  </si>
  <si>
    <t>8476966084</t>
  </si>
  <si>
    <t>11415 Glenbrook Circle</t>
  </si>
  <si>
    <t>Plainfield</t>
  </si>
  <si>
    <t>60585</t>
  </si>
  <si>
    <t>Irving</t>
  </si>
  <si>
    <t>Barrera</t>
  </si>
  <si>
    <t>01/22/2001</t>
  </si>
  <si>
    <t>330987264</t>
  </si>
  <si>
    <t>5WHYBVQTW</t>
  </si>
  <si>
    <t>04/16/2024</t>
  </si>
  <si>
    <t>irvingb47@gmail.com</t>
  </si>
  <si>
    <t>2245877388</t>
  </si>
  <si>
    <t>1493 N Winslowe Dr</t>
  </si>
  <si>
    <t>Apt 103</t>
  </si>
  <si>
    <t>Deques</t>
  </si>
  <si>
    <t>Thompkins</t>
  </si>
  <si>
    <t>01/16/1999</t>
  </si>
  <si>
    <t>322963963</t>
  </si>
  <si>
    <t>5Z203A9JK</t>
  </si>
  <si>
    <t>11/11/2025</t>
  </si>
  <si>
    <t>dequest17@gmail.com</t>
  </si>
  <si>
    <t>2246317266</t>
  </si>
  <si>
    <t>1118 South Lytle Street</t>
  </si>
  <si>
    <t>apt 202</t>
  </si>
  <si>
    <t>60607</t>
  </si>
  <si>
    <t>Nicholas</t>
  </si>
  <si>
    <t>Nowak</t>
  </si>
  <si>
    <t>04/16/2003</t>
  </si>
  <si>
    <t>345022692</t>
  </si>
  <si>
    <t>64I4ZE8BU</t>
  </si>
  <si>
    <t>06/17/2024</t>
  </si>
  <si>
    <t>nickynowak416@gmail.com</t>
  </si>
  <si>
    <t>2247754622</t>
  </si>
  <si>
    <t>1168 Del Mar Drive</t>
  </si>
  <si>
    <t>60067</t>
  </si>
  <si>
    <t>Takyra</t>
  </si>
  <si>
    <t>Jackson</t>
  </si>
  <si>
    <t>03/10/2000</t>
  </si>
  <si>
    <t>349966314</t>
  </si>
  <si>
    <t>6B3MO1K58</t>
  </si>
  <si>
    <t>07/16/2023</t>
  </si>
  <si>
    <t>01/06/2026</t>
  </si>
  <si>
    <t>23</t>
  </si>
  <si>
    <t>takyra8@gmail.com</t>
  </si>
  <si>
    <t>2245758070</t>
  </si>
  <si>
    <t>1511 Marengo Avenue</t>
  </si>
  <si>
    <t>Forest Park</t>
  </si>
  <si>
    <t>60130</t>
  </si>
  <si>
    <t>Immanuel</t>
  </si>
  <si>
    <t>ODaniel</t>
  </si>
  <si>
    <t>10/09/1998</t>
  </si>
  <si>
    <t>359947895</t>
  </si>
  <si>
    <t>6JA4LHRZ2</t>
  </si>
  <si>
    <t>10/24/2025</t>
  </si>
  <si>
    <t>immanuelodaniel5@gmail.com</t>
  </si>
  <si>
    <t>3128378877</t>
  </si>
  <si>
    <t>396 Anita Place</t>
  </si>
  <si>
    <t>Wheeling</t>
  </si>
  <si>
    <t>60090</t>
  </si>
  <si>
    <t>Hustascia</t>
  </si>
  <si>
    <t>Robotham</t>
  </si>
  <si>
    <t>11/06/2001</t>
  </si>
  <si>
    <t>396557994</t>
  </si>
  <si>
    <t>752PZ4PEX</t>
  </si>
  <si>
    <t>04/13/2025</t>
  </si>
  <si>
    <t>hustascia20@icloud.com</t>
  </si>
  <si>
    <t>8722224974</t>
  </si>
  <si>
    <t>4625 Davis Street</t>
  </si>
  <si>
    <t>Skokie</t>
  </si>
  <si>
    <t>60076</t>
  </si>
  <si>
    <t>Jovany</t>
  </si>
  <si>
    <t>Palacios</t>
  </si>
  <si>
    <t>03/19/2003</t>
  </si>
  <si>
    <t>339026539</t>
  </si>
  <si>
    <t>7H0QSKKU9</t>
  </si>
  <si>
    <t>01/27/2025</t>
  </si>
  <si>
    <t>palacios803748@icloud.com</t>
  </si>
  <si>
    <t>6302549911</t>
  </si>
  <si>
    <t>2392 Discovery Drive</t>
  </si>
  <si>
    <t>Schaumburg</t>
  </si>
  <si>
    <t>60194</t>
  </si>
  <si>
    <t>Colin</t>
  </si>
  <si>
    <t>Schroeder</t>
  </si>
  <si>
    <t>09/16/1992</t>
  </si>
  <si>
    <t>339881723</t>
  </si>
  <si>
    <t>7HFLSJHX8</t>
  </si>
  <si>
    <t>06/30/2025</t>
  </si>
  <si>
    <t>shrox2@gmail.com</t>
  </si>
  <si>
    <t>2247236879</t>
  </si>
  <si>
    <t>1733 North Hicks Road</t>
  </si>
  <si>
    <t>Jason</t>
  </si>
  <si>
    <t>Hidalgo</t>
  </si>
  <si>
    <t>12/28/2000</t>
  </si>
  <si>
    <t>328985995</t>
  </si>
  <si>
    <t>7O3RQEF3L</t>
  </si>
  <si>
    <t>11/17/2023</t>
  </si>
  <si>
    <t>jasonhidalgo219@gmail.com</t>
  </si>
  <si>
    <t>8479096302</t>
  </si>
  <si>
    <t>726 Dempster Street</t>
  </si>
  <si>
    <t>H205</t>
  </si>
  <si>
    <t>Mount Prospect</t>
  </si>
  <si>
    <t>60056</t>
  </si>
  <si>
    <t>Marek</t>
  </si>
  <si>
    <t>Cieply</t>
  </si>
  <si>
    <t>06/13/1977</t>
  </si>
  <si>
    <t>339988753</t>
  </si>
  <si>
    <t>7VGB6ZA62</t>
  </si>
  <si>
    <t>12/01/2021</t>
  </si>
  <si>
    <t>mkac4wk@gmail.com</t>
  </si>
  <si>
    <t>2243889667</t>
  </si>
  <si>
    <t>1543 North Kennicott Avenue</t>
  </si>
  <si>
    <t>Arlington Heights</t>
  </si>
  <si>
    <t>60004</t>
  </si>
  <si>
    <t>Mahwish</t>
  </si>
  <si>
    <t>04/08/1986</t>
  </si>
  <si>
    <t>324042990</t>
  </si>
  <si>
    <t>80KLWA2QI</t>
  </si>
  <si>
    <t>10/07/2022</t>
  </si>
  <si>
    <t>20.25</t>
  </si>
  <si>
    <t>meshi@tmkngroup.com</t>
  </si>
  <si>
    <t>6302475429</t>
  </si>
  <si>
    <t>3303 Cool Springs Court</t>
  </si>
  <si>
    <t>Naperville</t>
  </si>
  <si>
    <t>60564</t>
  </si>
  <si>
    <t>Daniel</t>
  </si>
  <si>
    <t>Torres</t>
  </si>
  <si>
    <t>11/01/1997</t>
  </si>
  <si>
    <t>337942196</t>
  </si>
  <si>
    <t>84XZBQVDX</t>
  </si>
  <si>
    <t>08/21/2024</t>
  </si>
  <si>
    <t>danieltorres020285@gmail.com</t>
  </si>
  <si>
    <t>9393440168</t>
  </si>
  <si>
    <t>935 N Hamlin Ave 2 Fl</t>
  </si>
  <si>
    <t>60651</t>
  </si>
  <si>
    <t>Sheeraz</t>
  </si>
  <si>
    <t>10/25/1987</t>
  </si>
  <si>
    <t>325040877</t>
  </si>
  <si>
    <t>02/01/2021</t>
  </si>
  <si>
    <t>29.8462</t>
  </si>
  <si>
    <t>DSP Owner</t>
  </si>
  <si>
    <t>shazalikhan@gmail.com</t>
  </si>
  <si>
    <t>sheeraz@kdldsp.com</t>
  </si>
  <si>
    <t>6302477429</t>
  </si>
  <si>
    <t>1153 Dawson Road</t>
  </si>
  <si>
    <t>Woodrige</t>
  </si>
  <si>
    <t>60517</t>
  </si>
  <si>
    <t>Angel</t>
  </si>
  <si>
    <t>Reynoso</t>
  </si>
  <si>
    <t>12/01/1996</t>
  </si>
  <si>
    <t>356921539</t>
  </si>
  <si>
    <t>8ZDUPMOJB</t>
  </si>
  <si>
    <t>01/31/2023</t>
  </si>
  <si>
    <t>angelreynoso773@gmail.com</t>
  </si>
  <si>
    <t>7732552188</t>
  </si>
  <si>
    <t>5036 North Sawyer Avenue</t>
  </si>
  <si>
    <t>60625</t>
  </si>
  <si>
    <t>Pablo</t>
  </si>
  <si>
    <t>Favela</t>
  </si>
  <si>
    <t>07/27/1996</t>
  </si>
  <si>
    <t>349922321</t>
  </si>
  <si>
    <t>8ZSR6CDZ7</t>
  </si>
  <si>
    <t>10/31/2025</t>
  </si>
  <si>
    <t>pfavela650@gmail.com</t>
  </si>
  <si>
    <t>2242248028</t>
  </si>
  <si>
    <t>1770 Pratt Street</t>
  </si>
  <si>
    <t>Des Plaines</t>
  </si>
  <si>
    <t>60018</t>
  </si>
  <si>
    <t>Rivas</t>
  </si>
  <si>
    <t>11/10/1994</t>
  </si>
  <si>
    <t>342909772</t>
  </si>
  <si>
    <t>98HWTJSP8</t>
  </si>
  <si>
    <t>05/14/2021</t>
  </si>
  <si>
    <t>25.75</t>
  </si>
  <si>
    <t>ilydavey@hotmail.com</t>
  </si>
  <si>
    <t>2245776153</t>
  </si>
  <si>
    <t>825 Seneca Trail</t>
  </si>
  <si>
    <t>Round Lake Heights</t>
  </si>
  <si>
    <t>60073</t>
  </si>
  <si>
    <t>Bartosz</t>
  </si>
  <si>
    <t>Lobaza</t>
  </si>
  <si>
    <t>10/27/2001</t>
  </si>
  <si>
    <t>705665916</t>
  </si>
  <si>
    <t>A6CRI418Q</t>
  </si>
  <si>
    <t>08/25/2025</t>
  </si>
  <si>
    <t>bartosz.lobaza@gmail.com</t>
  </si>
  <si>
    <t>7737040569</t>
  </si>
  <si>
    <t>1789 West Algonquin Road</t>
  </si>
  <si>
    <t>3B</t>
  </si>
  <si>
    <t>Elias</t>
  </si>
  <si>
    <t>D</t>
  </si>
  <si>
    <t>10/08/2001</t>
  </si>
  <si>
    <t>349988761</t>
  </si>
  <si>
    <t>A9GCEBZHD</t>
  </si>
  <si>
    <t>10/18/2022</t>
  </si>
  <si>
    <t>12/13/2025</t>
  </si>
  <si>
    <t>torreselias621@gmail.com</t>
  </si>
  <si>
    <t>3126781745</t>
  </si>
  <si>
    <t>5132 North Monterey Avenue</t>
  </si>
  <si>
    <t>Norridge</t>
  </si>
  <si>
    <t>60706</t>
  </si>
  <si>
    <t>Khamron</t>
  </si>
  <si>
    <t>Wofford</t>
  </si>
  <si>
    <t>11/20/1999</t>
  </si>
  <si>
    <t>340960063</t>
  </si>
  <si>
    <t>AF75OLOT0</t>
  </si>
  <si>
    <t>12/23/2025</t>
  </si>
  <si>
    <t>woffordkham@gmail.com</t>
  </si>
  <si>
    <t>8723295597</t>
  </si>
  <si>
    <t>2000 Bayside Drive</t>
  </si>
  <si>
    <t>Ana</t>
  </si>
  <si>
    <t>Premnath</t>
  </si>
  <si>
    <t>12/11/1990</t>
  </si>
  <si>
    <t>605468982</t>
  </si>
  <si>
    <t>ANM6MSBAI</t>
  </si>
  <si>
    <t>anapremnath0515@gmail.com</t>
  </si>
  <si>
    <t>8016691836</t>
  </si>
  <si>
    <t>7802 West Victoria Street</t>
  </si>
  <si>
    <t>60631</t>
  </si>
  <si>
    <t>Yajaira</t>
  </si>
  <si>
    <t>Gonzalez</t>
  </si>
  <si>
    <t>12/07/2000</t>
  </si>
  <si>
    <t>361980878</t>
  </si>
  <si>
    <t>B1TK670IY</t>
  </si>
  <si>
    <t>05/14/2024</t>
  </si>
  <si>
    <t>yagonzalez1207@gmail.com</t>
  </si>
  <si>
    <t>6084712679</t>
  </si>
  <si>
    <t>9821 Soreng Avenue</t>
  </si>
  <si>
    <t>Schiller Park</t>
  </si>
  <si>
    <t>60176</t>
  </si>
  <si>
    <t>Emilio</t>
  </si>
  <si>
    <t>Galarza</t>
  </si>
  <si>
    <t>06/24/1996</t>
  </si>
  <si>
    <t>345920429</t>
  </si>
  <si>
    <t>B5OK4MHQK</t>
  </si>
  <si>
    <t>10/29/2025</t>
  </si>
  <si>
    <t>egalarza315@gmail.com</t>
  </si>
  <si>
    <t>7736039938</t>
  </si>
  <si>
    <t>2132 North Pulaski Road</t>
  </si>
  <si>
    <t>60639</t>
  </si>
  <si>
    <t>Luis</t>
  </si>
  <si>
    <t>Rodriguez</t>
  </si>
  <si>
    <t>10/20/1999</t>
  </si>
  <si>
    <t>595876827</t>
  </si>
  <si>
    <t>BB1T7NY9X</t>
  </si>
  <si>
    <t>09/03/2023</t>
  </si>
  <si>
    <t>lurod99@gmail.com</t>
  </si>
  <si>
    <t>3054916819</t>
  </si>
  <si>
    <t>100 North Wolf Road</t>
  </si>
  <si>
    <t>Eric</t>
  </si>
  <si>
    <t>Zujko</t>
  </si>
  <si>
    <t>11/06/1999</t>
  </si>
  <si>
    <t>343969616</t>
  </si>
  <si>
    <t>BIE03ZA0L</t>
  </si>
  <si>
    <t>09/24/2025</t>
  </si>
  <si>
    <t>zujkoeric@yahoo.com</t>
  </si>
  <si>
    <t>2242454628</t>
  </si>
  <si>
    <t>1508 Meadowsedge Lane</t>
  </si>
  <si>
    <t>Carpentersville</t>
  </si>
  <si>
    <t>60110</t>
  </si>
  <si>
    <t>Omar</t>
  </si>
  <si>
    <t>Sanchez</t>
  </si>
  <si>
    <t>07/25/2002</t>
  </si>
  <si>
    <t>324025557</t>
  </si>
  <si>
    <t>C954PCB4G</t>
  </si>
  <si>
    <t>02/08/2025</t>
  </si>
  <si>
    <t>osanchez0935@gmail.com</t>
  </si>
  <si>
    <t>7733315298</t>
  </si>
  <si>
    <t>2628 North Sayre Avenue</t>
  </si>
  <si>
    <t>60707</t>
  </si>
  <si>
    <t>Terrance</t>
  </si>
  <si>
    <t>Tonnesen</t>
  </si>
  <si>
    <t>05/06/1999</t>
  </si>
  <si>
    <t>330961697</t>
  </si>
  <si>
    <t>CGW2CZGL4</t>
  </si>
  <si>
    <t>08/20/2023</t>
  </si>
  <si>
    <t>ttonnese@gmail.com</t>
  </si>
  <si>
    <t>7799157241</t>
  </si>
  <si>
    <t>330 Leah Lane</t>
  </si>
  <si>
    <t>APT 2C</t>
  </si>
  <si>
    <t>Woodstock</t>
  </si>
  <si>
    <t>60098</t>
  </si>
  <si>
    <t>Carlos</t>
  </si>
  <si>
    <t>Paredes</t>
  </si>
  <si>
    <t>12/22/2001</t>
  </si>
  <si>
    <t>353981970</t>
  </si>
  <si>
    <t>CYA4HTBKO</t>
  </si>
  <si>
    <t>11/25/2025</t>
  </si>
  <si>
    <t>paredesc7@hotmail.com</t>
  </si>
  <si>
    <t>3312108992</t>
  </si>
  <si>
    <t>4285 Mumford Drive</t>
  </si>
  <si>
    <t>60192</t>
  </si>
  <si>
    <t>Damian</t>
  </si>
  <si>
    <t>Mcintosh</t>
  </si>
  <si>
    <t>02/18/2002</t>
  </si>
  <si>
    <t>357980504</t>
  </si>
  <si>
    <t>CZ2K62VDZ</t>
  </si>
  <si>
    <t>02/25/2024</t>
  </si>
  <si>
    <t>dmac2002@rocketmail.com</t>
  </si>
  <si>
    <t>8476640681</t>
  </si>
  <si>
    <t>510 Spruce Drive</t>
  </si>
  <si>
    <t>Jesus</t>
  </si>
  <si>
    <t>Gurrola</t>
  </si>
  <si>
    <t>03/21/1994</t>
  </si>
  <si>
    <t>329908800</t>
  </si>
  <si>
    <t>D4UMUSJ5N</t>
  </si>
  <si>
    <t>11/05/2024</t>
  </si>
  <si>
    <t>gurrola.jesus21@gmail.com</t>
  </si>
  <si>
    <t>8476376931</t>
  </si>
  <si>
    <t>234 Cindy Lane</t>
  </si>
  <si>
    <t>Tory</t>
  </si>
  <si>
    <t>09/25/2004</t>
  </si>
  <si>
    <t>328049433</t>
  </si>
  <si>
    <t>DTQKVQM2P</t>
  </si>
  <si>
    <t>12/26/2025</t>
  </si>
  <si>
    <t>mtory723@gmail.com</t>
  </si>
  <si>
    <t>7734583079</t>
  </si>
  <si>
    <t>1775 W Algonquin Road</t>
  </si>
  <si>
    <t>Ayah</t>
  </si>
  <si>
    <t>04/19/2017</t>
  </si>
  <si>
    <t>487678715</t>
  </si>
  <si>
    <t>DUJWM9PCN</t>
  </si>
  <si>
    <t>01/01/2024</t>
  </si>
  <si>
    <t>14599.52</t>
  </si>
  <si>
    <t>ayah@kdldsp.com</t>
  </si>
  <si>
    <t>Woodridge</t>
  </si>
  <si>
    <t>Maximus</t>
  </si>
  <si>
    <t>Klingensmith</t>
  </si>
  <si>
    <t>06/14/2002</t>
  </si>
  <si>
    <t>320027723</t>
  </si>
  <si>
    <t>E7OFLAQMC</t>
  </si>
  <si>
    <t>maximusgavinklingensmith@gmail.com</t>
  </si>
  <si>
    <t>2242195847</t>
  </si>
  <si>
    <t>1285 Wyndham Lane</t>
  </si>
  <si>
    <t>Castaneda Leon</t>
  </si>
  <si>
    <t>03/07/2004</t>
  </si>
  <si>
    <t>318049418</t>
  </si>
  <si>
    <t>F61IQRCVN</t>
  </si>
  <si>
    <t>09/22/2025</t>
  </si>
  <si>
    <t>brian.castaneda522@gmail.com</t>
  </si>
  <si>
    <t>8479712795</t>
  </si>
  <si>
    <t>608 Piper Lane Apt 2b</t>
  </si>
  <si>
    <t>Prospect Heights</t>
  </si>
  <si>
    <t>60070</t>
  </si>
  <si>
    <t>Arturo</t>
  </si>
  <si>
    <t>Gerardo</t>
  </si>
  <si>
    <t>07/10/2000</t>
  </si>
  <si>
    <t>360961737</t>
  </si>
  <si>
    <t>FRQGE3AWR</t>
  </si>
  <si>
    <t>10/27/2025</t>
  </si>
  <si>
    <t>arturogerardo42@gmail.com</t>
  </si>
  <si>
    <t>3312353396</t>
  </si>
  <si>
    <t>313 Lovell St</t>
  </si>
  <si>
    <t>Oleg</t>
  </si>
  <si>
    <t>Oleksyn</t>
  </si>
  <si>
    <t>08/30/2001</t>
  </si>
  <si>
    <t>360986565</t>
  </si>
  <si>
    <t>FUVR4VW8X</t>
  </si>
  <si>
    <t>olegoleksyn@gmail.com</t>
  </si>
  <si>
    <t>2247160240</t>
  </si>
  <si>
    <t>710 North Fairview Avenue</t>
  </si>
  <si>
    <t>Julissa</t>
  </si>
  <si>
    <t>Romero</t>
  </si>
  <si>
    <t>12/21/1997</t>
  </si>
  <si>
    <t>338943132</t>
  </si>
  <si>
    <t>FX2PDM2A1</t>
  </si>
  <si>
    <t>02/17/2025</t>
  </si>
  <si>
    <t>romerojulissa97@gmail.com</t>
  </si>
  <si>
    <t>3126866263</t>
  </si>
  <si>
    <t>Jada</t>
  </si>
  <si>
    <t>Carter</t>
  </si>
  <si>
    <t>07/22/2001</t>
  </si>
  <si>
    <t>342989891</t>
  </si>
  <si>
    <t>GFLS7LIIX</t>
  </si>
  <si>
    <t>01/19/2026</t>
  </si>
  <si>
    <t>jay765703@gmail.com</t>
  </si>
  <si>
    <t>2244084631</t>
  </si>
  <si>
    <t>205 Regency Drive</t>
  </si>
  <si>
    <t>apt 611</t>
  </si>
  <si>
    <t>Bloomingdale</t>
  </si>
  <si>
    <t>60108</t>
  </si>
  <si>
    <t>Christina</t>
  </si>
  <si>
    <t>Smith</t>
  </si>
  <si>
    <t>04/01/1980</t>
  </si>
  <si>
    <t>341685076</t>
  </si>
  <si>
    <t>GY6G29JUO</t>
  </si>
  <si>
    <t>11/17/2025</t>
  </si>
  <si>
    <t>jimmygirl1000@gmail.com</t>
  </si>
  <si>
    <t>3126564703</t>
  </si>
  <si>
    <t>535 Milton Drive</t>
  </si>
  <si>
    <t>60563</t>
  </si>
  <si>
    <t>Elliot</t>
  </si>
  <si>
    <t>Moser</t>
  </si>
  <si>
    <t>02/09/1986</t>
  </si>
  <si>
    <t>349862204</t>
  </si>
  <si>
    <t>HBMRTV3QY</t>
  </si>
  <si>
    <t>12/09/2025</t>
  </si>
  <si>
    <t>emoser111@gmail.com</t>
  </si>
  <si>
    <t>8477076386</t>
  </si>
  <si>
    <t>9338 Washington Street</t>
  </si>
  <si>
    <t>Karla</t>
  </si>
  <si>
    <t>Torrecillas</t>
  </si>
  <si>
    <t>02/17/1996</t>
  </si>
  <si>
    <t>195457813</t>
  </si>
  <si>
    <t>HP8WUFB4F</t>
  </si>
  <si>
    <t>05/21/2024</t>
  </si>
  <si>
    <t>ktorrecillas366@yahoo.com</t>
  </si>
  <si>
    <t>2245651592</t>
  </si>
  <si>
    <t>2700 Bayside Drive</t>
  </si>
  <si>
    <t>J</t>
  </si>
  <si>
    <t>Kramer</t>
  </si>
  <si>
    <t>04/11/1989</t>
  </si>
  <si>
    <t>347863040</t>
  </si>
  <si>
    <t>HZ7TC1LVI</t>
  </si>
  <si>
    <t>06/21/2021</t>
  </si>
  <si>
    <t>12/20/2025</t>
  </si>
  <si>
    <t>23.75</t>
  </si>
  <si>
    <t>talktoalexnow@me.com</t>
  </si>
  <si>
    <t>8478675436</t>
  </si>
  <si>
    <t>5436 Suffield Terrace</t>
  </si>
  <si>
    <t>60077</t>
  </si>
  <si>
    <t>Jorge</t>
  </si>
  <si>
    <t>Martin</t>
  </si>
  <si>
    <t>10/10/1998</t>
  </si>
  <si>
    <t>360941872</t>
  </si>
  <si>
    <t>I2WOIWKJR</t>
  </si>
  <si>
    <t>egroj.nitram98@gmail.com</t>
  </si>
  <si>
    <t>2242424548</t>
  </si>
  <si>
    <t>9N861 Beckman Trail</t>
  </si>
  <si>
    <t>60124</t>
  </si>
  <si>
    <t>Spencer</t>
  </si>
  <si>
    <t>Lempinen</t>
  </si>
  <si>
    <t>04/14/1998</t>
  </si>
  <si>
    <t>675016600</t>
  </si>
  <si>
    <t>I9RDALHOI</t>
  </si>
  <si>
    <t>10/06/2022</t>
  </si>
  <si>
    <t>25.25</t>
  </si>
  <si>
    <t>sponnylemp@icloud.com</t>
  </si>
  <si>
    <t>2249380080</t>
  </si>
  <si>
    <t>2024 North Rand Road</t>
  </si>
  <si>
    <t>Apt 205</t>
  </si>
  <si>
    <t>Lopez</t>
  </si>
  <si>
    <t>05/11/1985</t>
  </si>
  <si>
    <t>832084857</t>
  </si>
  <si>
    <t>ICJVU0GV8</t>
  </si>
  <si>
    <t>12/29/2025</t>
  </si>
  <si>
    <t>alopezacevedoazn@gmail.com</t>
  </si>
  <si>
    <t>7733977283</t>
  </si>
  <si>
    <t>8346 West Berwyn Avenue</t>
  </si>
  <si>
    <t>60656</t>
  </si>
  <si>
    <t>Deanna</t>
  </si>
  <si>
    <t>McCline</t>
  </si>
  <si>
    <t>02/01/1988</t>
  </si>
  <si>
    <t>341805109</t>
  </si>
  <si>
    <t>IYE12DS9H</t>
  </si>
  <si>
    <t>deannamccline@yahoo.com</t>
  </si>
  <si>
    <t>3125152137</t>
  </si>
  <si>
    <t>7201 Adams Street</t>
  </si>
  <si>
    <t>Tae</t>
  </si>
  <si>
    <t>Betsinger</t>
  </si>
  <si>
    <t>09/06/1995</t>
  </si>
  <si>
    <t>324924694</t>
  </si>
  <si>
    <t>KS7U0P7FC</t>
  </si>
  <si>
    <t>07/29/2024</t>
  </si>
  <si>
    <t>taeyoo95@gmail.com</t>
  </si>
  <si>
    <t>8477074893</t>
  </si>
  <si>
    <t>1184 Logan Avenue</t>
  </si>
  <si>
    <t>Ivan</t>
  </si>
  <si>
    <t>Bulaievskyi</t>
  </si>
  <si>
    <t>02/08/1997</t>
  </si>
  <si>
    <t>839887091</t>
  </si>
  <si>
    <t>L94H6MGGG</t>
  </si>
  <si>
    <t>sqweeze90@gmail.com</t>
  </si>
  <si>
    <t>7735263036</t>
  </si>
  <si>
    <t>2848 North Auxplaines Street</t>
  </si>
  <si>
    <t>apt b</t>
  </si>
  <si>
    <t>River Grove</t>
  </si>
  <si>
    <t>60171</t>
  </si>
  <si>
    <t>Wasif</t>
  </si>
  <si>
    <t>09/30/1974</t>
  </si>
  <si>
    <t>340847874</t>
  </si>
  <si>
    <t>LMATQO9FM</t>
  </si>
  <si>
    <t>01/01/2025</t>
  </si>
  <si>
    <t>wasifk1@gmail.com</t>
  </si>
  <si>
    <t>6309234552</t>
  </si>
  <si>
    <t>475 Kolberg Court</t>
  </si>
  <si>
    <t>Villa Park</t>
  </si>
  <si>
    <t>60181</t>
  </si>
  <si>
    <t>Brandon</t>
  </si>
  <si>
    <t>Puller</t>
  </si>
  <si>
    <t>09/21/1993</t>
  </si>
  <si>
    <t>357889554</t>
  </si>
  <si>
    <t>LOMKKOGPX</t>
  </si>
  <si>
    <t>01/12/2026</t>
  </si>
  <si>
    <t>xbxislife438@gmail.com</t>
  </si>
  <si>
    <t>7085130758</t>
  </si>
  <si>
    <t>1064 Clover Hill Lane</t>
  </si>
  <si>
    <t>Amari</t>
  </si>
  <si>
    <t>03/18/2001</t>
  </si>
  <si>
    <t>334989610</t>
  </si>
  <si>
    <t>LY7VEVMFD</t>
  </si>
  <si>
    <t>06/15/2022</t>
  </si>
  <si>
    <t>amariperry128@gmail.com</t>
  </si>
  <si>
    <t>10641 Essex Street</t>
  </si>
  <si>
    <t>Westchester</t>
  </si>
  <si>
    <t>60154</t>
  </si>
  <si>
    <t>Henry</t>
  </si>
  <si>
    <t>Pittman</t>
  </si>
  <si>
    <t>02/26/1989</t>
  </si>
  <si>
    <t>239637675</t>
  </si>
  <si>
    <t>M0GCPYNSQ</t>
  </si>
  <si>
    <t>09/21/2020</t>
  </si>
  <si>
    <t>henry.pittman22@gmail.com</t>
  </si>
  <si>
    <t>5012763323</t>
  </si>
  <si>
    <t>1135 West Lunt Avenue Apt. 207</t>
  </si>
  <si>
    <t>60626</t>
  </si>
  <si>
    <t>Felix</t>
  </si>
  <si>
    <t>Aranda</t>
  </si>
  <si>
    <t>05/31/1995</t>
  </si>
  <si>
    <t>360905703</t>
  </si>
  <si>
    <t>M4DY8KRRP</t>
  </si>
  <si>
    <t>12/10/2024</t>
  </si>
  <si>
    <t>faranda29@yahoo.com</t>
  </si>
  <si>
    <t>3124879894</t>
  </si>
  <si>
    <t>2340 South 17th Avenue</t>
  </si>
  <si>
    <t>Broadview</t>
  </si>
  <si>
    <t>60155</t>
  </si>
  <si>
    <t>Hana</t>
  </si>
  <si>
    <t>Ahmad</t>
  </si>
  <si>
    <t>01/09/1988</t>
  </si>
  <si>
    <t>356808981</t>
  </si>
  <si>
    <t>MN7MHT54T</t>
  </si>
  <si>
    <t>11/23/2021</t>
  </si>
  <si>
    <t>hana@kdldsp.com</t>
  </si>
  <si>
    <t>6305978999</t>
  </si>
  <si>
    <t>Brianna</t>
  </si>
  <si>
    <t>Jones</t>
  </si>
  <si>
    <t>09/29/1994</t>
  </si>
  <si>
    <t>342908911</t>
  </si>
  <si>
    <t>MXBFGJKO2</t>
  </si>
  <si>
    <t>11/10/2025</t>
  </si>
  <si>
    <t>11/22/2025</t>
  </si>
  <si>
    <t>briannajones865@gmail.com</t>
  </si>
  <si>
    <t>7732800266</t>
  </si>
  <si>
    <t>1846 South Karlov Avenue</t>
  </si>
  <si>
    <t>apt 303</t>
  </si>
  <si>
    <t>60623</t>
  </si>
  <si>
    <t>Chima</t>
  </si>
  <si>
    <t>Nwosu</t>
  </si>
  <si>
    <t>05/06/2000</t>
  </si>
  <si>
    <t>356967126</t>
  </si>
  <si>
    <t>N55LLLJRK</t>
  </si>
  <si>
    <t>09/13/2023</t>
  </si>
  <si>
    <t>chima2456@gmail.com</t>
  </si>
  <si>
    <t>7738655796</t>
  </si>
  <si>
    <t>7522 North Oakley Avenue</t>
  </si>
  <si>
    <t>60645</t>
  </si>
  <si>
    <t>Darnell</t>
  </si>
  <si>
    <t>Gaddy</t>
  </si>
  <si>
    <t>05/13/1999</t>
  </si>
  <si>
    <t>331962955</t>
  </si>
  <si>
    <t>N81N59THZ</t>
  </si>
  <si>
    <t>12/08/2025</t>
  </si>
  <si>
    <t>ramongaddy@gmail.com</t>
  </si>
  <si>
    <t>3124058128</t>
  </si>
  <si>
    <t>2942 West Fulton Street</t>
  </si>
  <si>
    <t>60612</t>
  </si>
  <si>
    <t>Jennypher</t>
  </si>
  <si>
    <t>Paniagua</t>
  </si>
  <si>
    <t>04/07/1990</t>
  </si>
  <si>
    <t>357065721</t>
  </si>
  <si>
    <t>NC4DEN6PQ</t>
  </si>
  <si>
    <t>06/23/2025</t>
  </si>
  <si>
    <t>27.644300000000001</t>
  </si>
  <si>
    <t>Admin</t>
  </si>
  <si>
    <t>jp@kdldsp.com</t>
  </si>
  <si>
    <t>7736821264</t>
  </si>
  <si>
    <t>3101 Sarah Street</t>
  </si>
  <si>
    <t>Franklin Park</t>
  </si>
  <si>
    <t>Fabela</t>
  </si>
  <si>
    <t>03/08/1990</t>
  </si>
  <si>
    <t>359847189</t>
  </si>
  <si>
    <t>NLKF2ICTY</t>
  </si>
  <si>
    <t>ijfabela0390@gmail.com</t>
  </si>
  <si>
    <t>2242248441</t>
  </si>
  <si>
    <t>Jordan</t>
  </si>
  <si>
    <t>Franklin</t>
  </si>
  <si>
    <t>05/26/2000</t>
  </si>
  <si>
    <t>355969780</t>
  </si>
  <si>
    <t>NOVPZBRW4</t>
  </si>
  <si>
    <t>07/22/2024</t>
  </si>
  <si>
    <t>jordanfranklin0526@gmail.com</t>
  </si>
  <si>
    <t>2246222966</t>
  </si>
  <si>
    <t>2344 S Cannon Dr Apt 301</t>
  </si>
  <si>
    <t>Tweten</t>
  </si>
  <si>
    <t>12/11/1984</t>
  </si>
  <si>
    <t>320844520</t>
  </si>
  <si>
    <t>NTGAZVYIS</t>
  </si>
  <si>
    <t>10/31/2022</t>
  </si>
  <si>
    <t>24.5</t>
  </si>
  <si>
    <t>Operations Lead</t>
  </si>
  <si>
    <t>twetenjason@gmail.com</t>
  </si>
  <si>
    <t>8477160277</t>
  </si>
  <si>
    <t>221 Brett Circle</t>
  </si>
  <si>
    <t>Unit C</t>
  </si>
  <si>
    <t>Wauconda</t>
  </si>
  <si>
    <t>60084</t>
  </si>
  <si>
    <t>Katarzyna</t>
  </si>
  <si>
    <t>Karkosz</t>
  </si>
  <si>
    <t>02/28/1980</t>
  </si>
  <si>
    <t>617453307</t>
  </si>
  <si>
    <t>NV34ML4JE</t>
  </si>
  <si>
    <t>06/04/2023</t>
  </si>
  <si>
    <t>kaskarkosz@gmail.com</t>
  </si>
  <si>
    <t>6302056800</t>
  </si>
  <si>
    <t>202 North Owen Street</t>
  </si>
  <si>
    <t>Anneliese</t>
  </si>
  <si>
    <t>Lowe</t>
  </si>
  <si>
    <t>01/07/2004</t>
  </si>
  <si>
    <t>358029228</t>
  </si>
  <si>
    <t>ORCYX3A0I</t>
  </si>
  <si>
    <t>loweanneliese@gmail.com</t>
  </si>
  <si>
    <t>7737915096</t>
  </si>
  <si>
    <t>7037 W Roscoe St</t>
  </si>
  <si>
    <t>60634</t>
  </si>
  <si>
    <t>Samuel</t>
  </si>
  <si>
    <t>Perez</t>
  </si>
  <si>
    <t>03/18/1997</t>
  </si>
  <si>
    <t>447957936</t>
  </si>
  <si>
    <t>07/20/2020</t>
  </si>
  <si>
    <t>26</t>
  </si>
  <si>
    <t>Operations Manager</t>
  </si>
  <si>
    <t>sperez3997@gmail.com</t>
  </si>
  <si>
    <t>3129123028</t>
  </si>
  <si>
    <t>3801 N Albany</t>
  </si>
  <si>
    <t>60618</t>
  </si>
  <si>
    <t>Jennyfer</t>
  </si>
  <si>
    <t>Bustos</t>
  </si>
  <si>
    <t>08/13/1999</t>
  </si>
  <si>
    <t>867860552</t>
  </si>
  <si>
    <t>QEE137IHQ</t>
  </si>
  <si>
    <t>02/03/2025</t>
  </si>
  <si>
    <t>jennibb2008@hotmail.com</t>
  </si>
  <si>
    <t>7085012711</t>
  </si>
  <si>
    <t>2242 South Trumbull Avenue</t>
  </si>
  <si>
    <t>William</t>
  </si>
  <si>
    <t>Wloch</t>
  </si>
  <si>
    <t>03/26/2000</t>
  </si>
  <si>
    <t>353960627</t>
  </si>
  <si>
    <t>QMQZHFRSU</t>
  </si>
  <si>
    <t>05/16/2025</t>
  </si>
  <si>
    <t>willwloch@gmail.com</t>
  </si>
  <si>
    <t>2246881390</t>
  </si>
  <si>
    <t>15 Forest Lane</t>
  </si>
  <si>
    <t>South Barrington</t>
  </si>
  <si>
    <t>60010</t>
  </si>
  <si>
    <t>Alaina</t>
  </si>
  <si>
    <t>Davis</t>
  </si>
  <si>
    <t>05/10/2002</t>
  </si>
  <si>
    <t>766120173</t>
  </si>
  <si>
    <t>R4B5WGY5U</t>
  </si>
  <si>
    <t>adavismay@icloud.com</t>
  </si>
  <si>
    <t>8478739296</t>
  </si>
  <si>
    <t>1 3rd Avenue</t>
  </si>
  <si>
    <t>60005</t>
  </si>
  <si>
    <t>Vanessa</t>
  </si>
  <si>
    <t>Moyao</t>
  </si>
  <si>
    <t>12/10/2002</t>
  </si>
  <si>
    <t>333025431</t>
  </si>
  <si>
    <t>RX8JQFVU2</t>
  </si>
  <si>
    <t>vanessamoyao91@gmail.com</t>
  </si>
  <si>
    <t>7736846084</t>
  </si>
  <si>
    <t>1715 43rd Avenue</t>
  </si>
  <si>
    <t>Stone Park</t>
  </si>
  <si>
    <t>60165</t>
  </si>
  <si>
    <t>Michael</t>
  </si>
  <si>
    <t>08/29/2003</t>
  </si>
  <si>
    <t>352020213</t>
  </si>
  <si>
    <t>RZH5IIWG3</t>
  </si>
  <si>
    <t>06/26/2025</t>
  </si>
  <si>
    <t>mmartinez5120@gmail.com</t>
  </si>
  <si>
    <t>7736411086</t>
  </si>
  <si>
    <t>4355 West Palmer Street</t>
  </si>
  <si>
    <t>Eddie</t>
  </si>
  <si>
    <t>Carrillo</t>
  </si>
  <si>
    <t>07/27/1988</t>
  </si>
  <si>
    <t>321823636</t>
  </si>
  <si>
    <t>S0K56UDW9</t>
  </si>
  <si>
    <t>eddiecarrillo029@gmail.com</t>
  </si>
  <si>
    <t>2244779739</t>
  </si>
  <si>
    <t>740 South Dennis Road</t>
  </si>
  <si>
    <t>Adam</t>
  </si>
  <si>
    <t>Dougherty</t>
  </si>
  <si>
    <t>07/18/2004</t>
  </si>
  <si>
    <t>016886722</t>
  </si>
  <si>
    <t>SM6EFM2K8</t>
  </si>
  <si>
    <t>adamdougherty41@gmail.com</t>
  </si>
  <si>
    <t>4133722736</t>
  </si>
  <si>
    <t>650 South Elmwood Avenue</t>
  </si>
  <si>
    <t>Waukegan</t>
  </si>
  <si>
    <t>60085</t>
  </si>
  <si>
    <t>Robert</t>
  </si>
  <si>
    <t>Mattucci</t>
  </si>
  <si>
    <t>12/31/1996</t>
  </si>
  <si>
    <t>356928760</t>
  </si>
  <si>
    <t>T1WN83QT4</t>
  </si>
  <si>
    <t>11/15/2025</t>
  </si>
  <si>
    <t>arejayem2@gmail.com</t>
  </si>
  <si>
    <t>8477693548</t>
  </si>
  <si>
    <t>226 South Yale Avenue</t>
  </si>
  <si>
    <t>Syvel</t>
  </si>
  <si>
    <t>Bannister</t>
  </si>
  <si>
    <t>04/25/1992</t>
  </si>
  <si>
    <t>358868467</t>
  </si>
  <si>
    <t>TAH7NJJEN</t>
  </si>
  <si>
    <t>syvel79@gmail.com</t>
  </si>
  <si>
    <t>7736635621</t>
  </si>
  <si>
    <t>1720 West Juneway Terrace</t>
  </si>
  <si>
    <t>Jacob</t>
  </si>
  <si>
    <t>Shanholtzer</t>
  </si>
  <si>
    <t>05/07/2002</t>
  </si>
  <si>
    <t>320021939</t>
  </si>
  <si>
    <t>UFLZE9BAQ</t>
  </si>
  <si>
    <t>jakeshanholtzer@gmail.com</t>
  </si>
  <si>
    <t>8476419756</t>
  </si>
  <si>
    <t>921 Sunnyside Avenue</t>
  </si>
  <si>
    <t>Kaylin</t>
  </si>
  <si>
    <t>Sites</t>
  </si>
  <si>
    <t>09/04/1997</t>
  </si>
  <si>
    <t>610047506</t>
  </si>
  <si>
    <t>UMFT5MJP4</t>
  </si>
  <si>
    <t>07/12/2025</t>
  </si>
  <si>
    <t>kaylin02@gmail.com</t>
  </si>
  <si>
    <t>5739153686</t>
  </si>
  <si>
    <t>333 Suffolk Drive</t>
  </si>
  <si>
    <t>Crystal Lake</t>
  </si>
  <si>
    <t>60014</t>
  </si>
  <si>
    <t>Baltazar</t>
  </si>
  <si>
    <t>Patino</t>
  </si>
  <si>
    <t>01/08/1999</t>
  </si>
  <si>
    <t>323965855</t>
  </si>
  <si>
    <t>X8NN36YXD</t>
  </si>
  <si>
    <t>10/04/2022</t>
  </si>
  <si>
    <t>patinoalex07@yahoo.com</t>
  </si>
  <si>
    <t>7738868813</t>
  </si>
  <si>
    <t>5118 W Grace St</t>
  </si>
  <si>
    <t>60641</t>
  </si>
  <si>
    <t>Edward</t>
  </si>
  <si>
    <t>Aviles</t>
  </si>
  <si>
    <t>07/27/1989</t>
  </si>
  <si>
    <t>628449431</t>
  </si>
  <si>
    <t>XY1EWWN4T</t>
  </si>
  <si>
    <t>07/09/2023</t>
  </si>
  <si>
    <t>edward89_aviles@hotmail.com</t>
  </si>
  <si>
    <t>2133088252</t>
  </si>
  <si>
    <t>24730 Norelius Avenue</t>
  </si>
  <si>
    <t>Round Lake</t>
  </si>
  <si>
    <t>Sean</t>
  </si>
  <si>
    <t>Jaworski</t>
  </si>
  <si>
    <t>06/16/1995</t>
  </si>
  <si>
    <t>318922795</t>
  </si>
  <si>
    <t>YBN0YJ28S</t>
  </si>
  <si>
    <t>sean_jaworski@yahoo.com</t>
  </si>
  <si>
    <t>6307777092</t>
  </si>
  <si>
    <t>65 Charlemagne Circle</t>
  </si>
  <si>
    <t>Roselle</t>
  </si>
  <si>
    <t>60172</t>
  </si>
  <si>
    <t>Asa</t>
  </si>
  <si>
    <t>Gutierrez</t>
  </si>
  <si>
    <t>02/26/2004</t>
  </si>
  <si>
    <t>359028282</t>
  </si>
  <si>
    <t>ZAJI8ED3U</t>
  </si>
  <si>
    <t>10/15/2025</t>
  </si>
  <si>
    <t>12/14/2025</t>
  </si>
  <si>
    <t>gutierrezasa782@gmail.com</t>
  </si>
  <si>
    <t>4808266828</t>
  </si>
  <si>
    <t>425 Stephen Drive</t>
  </si>
  <si>
    <t>Aamir</t>
  </si>
  <si>
    <t>Afzaal</t>
  </si>
  <si>
    <t>12/31/2003</t>
  </si>
  <si>
    <t>355022610</t>
  </si>
  <si>
    <t>ZC0DQXA1V</t>
  </si>
  <si>
    <t>02/28/2024</t>
  </si>
  <si>
    <t>aamir.afzaal31@gmail.com</t>
  </si>
  <si>
    <t>2242575635</t>
  </si>
  <si>
    <t>933 Foxworth Boulevard</t>
  </si>
  <si>
    <t>Lombard</t>
  </si>
  <si>
    <t>60148</t>
  </si>
  <si>
    <t>Alan</t>
  </si>
  <si>
    <t>Arce</t>
  </si>
  <si>
    <t>10/28/2000</t>
  </si>
  <si>
    <t>324988945</t>
  </si>
  <si>
    <t>ZQHRZLASR</t>
  </si>
  <si>
    <t>alanarc1028@gmail.com</t>
  </si>
  <si>
    <t>7739685951</t>
  </si>
  <si>
    <t>1143 Richard Avenue</t>
  </si>
  <si>
    <t>Berkeley</t>
  </si>
  <si>
    <t>60163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</si>
</sst>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30" x14ac:knownFonts="1">
    <font>
      <sz val="11"/>
      <color indexed="8"/>
      <name val="Calibri"/>
      <family val="2"/>
    </font>
    <font>
      <sz val="11"/>
      <name val="Calibri"/>
      <family val="2"/>
    </font>
    <font>
      <sz val="11"/>
      <color indexed="8"/>
      <name val="Calibri"/>
      <family val="2"/>
    </font>
    <font>
      <sz val="11"/>
      <color indexed="8"/>
      <name val="Calibri"/>
      <family val="2"/>
      <scheme val="minor"/>
    </font>
    <font>
      <b/>
      <i/>
      <sz val="11"/>
      <color rgb="FF000000"/>
      <name val="Calibri"/>
      <family val="2"/>
      <scheme val="minor"/>
    </font>
    <font>
      <b/>
      <sz val="11"/>
      <color rgb="FF000000"/>
      <name val="Calibri"/>
      <family val="2"/>
      <scheme val="minor"/>
    </font>
    <font>
      <sz val="11"/>
      <color rgb="FF000000"/>
      <name val="Calibri"/>
      <family val="2"/>
      <scheme val="minor"/>
    </font>
    <font>
      <sz val="11"/>
      <color indexed="10"/>
      <name val="Calibri"/>
      <family val="2"/>
      <scheme val="minor"/>
    </font>
    <font>
      <sz val="11"/>
      <color rgb="FFCC3333"/>
      <name val="Calibri"/>
      <family val="2"/>
      <scheme val="minor"/>
    </font>
    <font>
      <sz val="11"/>
      <name val="Calibri"/>
      <family val="2"/>
      <scheme val="minor"/>
    </font>
    <font>
      <sz val="11"/>
      <color indexed="12"/>
      <name val="Calibri"/>
      <family val="2"/>
      <scheme val="minor"/>
    </font>
    <font>
      <b/>
      <sz val="10"/>
      <color indexed="8"/>
      <name val="Calibri"/>
      <family val="2"/>
    </font>
    <font>
      <b/>
      <sz val="10"/>
      <name val="Calibri"/>
      <family val="2"/>
    </font>
    <font>
      <b/>
      <sz val="10"/>
      <color rgb="FFFF0000"/>
      <name val="Calibri"/>
      <family val="2"/>
    </font>
    <font>
      <b/>
      <sz val="11"/>
      <color indexed="8"/>
      <name val="Calibri"/>
      <family val="2"/>
    </font>
    <font>
      <u/>
      <sz val="11"/>
      <color theme="10"/>
      <name val="Calibri"/>
      <family val="2"/>
    </font>
    <font>
      <b/>
      <sz val="11"/>
      <color theme="1"/>
      <name val="Calibri"/>
      <family val="2"/>
      <scheme val="minor"/>
    </font>
    <font>
      <b/>
      <sz val="9"/>
      <color indexed="8"/>
      <name val="Calibri"/>
      <family val="2"/>
    </font>
    <font>
      <sz val="9"/>
      <color indexed="8"/>
      <name val="Calibri"/>
      <family val="2"/>
    </font>
    <font>
      <sz val="9"/>
      <name val="Calibri"/>
      <family val="2"/>
      <scheme val="minor"/>
    </font>
    <font>
      <b/>
      <sz val="11"/>
      <color rgb="FF000000"/>
      <name val="Calibri"/>
      <family val="2"/>
    </font>
    <font>
      <b/>
      <sz val="10"/>
      <color rgb="FF000000"/>
      <name val="Calibri"/>
      <family val="2"/>
    </font>
    <font>
      <b/>
      <sz val="16"/>
      <name val="Calibri"/>
      <family val="2"/>
    </font>
    <font>
      <b/>
      <sz val="11"/>
      <color rgb="FFFF0000"/>
      <name val="Arial"/>
      <family val="2"/>
    </font>
    <font>
      <b/>
      <sz val="14"/>
      <name val="Arial"/>
      <family val="2"/>
    </font>
    <font>
      <b/>
      <sz val="11"/>
      <name val="Calibri"/>
      <family val="2"/>
    </font>
    <font>
      <sz val="11"/>
      <color rgb="FFFF0000"/>
      <name val="Calibri"/>
      <family val="2"/>
    </font>
    <font>
      <b/>
      <sz val="12"/>
      <color theme="3" tint="0.39997558519241921"/>
      <name val="Arial"/>
      <family val="2"/>
    </font>
    <font>
      <u/>
      <sz val="11"/>
      <color theme="11"/>
      <name val="Calibri"/>
      <family val="2"/>
    </font>
    <font>
      <b/>
      <u/>
      <sz val="12"/>
      <color theme="3" tint="0.39997558519241921"/>
      <name val="Arial"/>
      <family val="2"/>
    </font>
  </fonts>
  <fills count="9">
    <fill>
      <patternFill patternType="none"/>
    </fill>
    <fill>
      <patternFill patternType="gray125"/>
    </fill>
    <fill>
      <patternFill patternType="solid">
        <fgColor rgb="FF92D050"/>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79998168889431442"/>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s>
  <cellStyleXfs count="10">
    <xf borderId="0" fillId="0" fontId="0" numFmtId="0"/>
    <xf borderId="0" fillId="0" fontId="2" numFmtId="0"/>
    <xf borderId="0" fillId="0" fontId="2" numFmtId="0"/>
    <xf applyAlignment="0" applyBorder="0" applyFill="0" applyNumberFormat="0" applyProtection="0" borderId="0" fillId="0" fontId="15" numFmtId="0"/>
    <xf borderId="0" fillId="0" fontId="2" numFmtId="0"/>
    <xf borderId="0" fillId="0" fontId="2" numFmtId="0"/>
    <xf applyAlignment="0" applyBorder="0" applyFill="0" applyNumberFormat="0" applyProtection="0" borderId="0" fillId="0" fontId="28" numFmtId="0"/>
    <xf applyAlignment="0" applyBorder="0" applyFill="0" applyNumberFormat="0" applyProtection="0" borderId="0" fillId="0" fontId="28" numFmtId="0"/>
    <xf applyAlignment="0" applyBorder="0" applyFill="0" applyNumberFormat="0" applyProtection="0" borderId="0" fillId="0" fontId="28" numFmtId="0"/>
    <xf applyAlignment="0" applyBorder="0" applyFill="0" applyNumberFormat="0" applyProtection="0" borderId="0" fillId="0" fontId="28" numFmtId="0"/>
  </cellStyleXfs>
  <cellXfs count="115">
    <xf borderId="0" fillId="0" fontId="0" numFmtId="0" xfId="0"/>
    <xf applyFont="1" borderId="0" fillId="0" fontId="3" numFmtId="0" xfId="0"/>
    <xf applyFont="1" applyNumberFormat="1" borderId="0" fillId="0" fontId="3" numFmtId="49" xfId="0"/>
    <xf applyAlignment="1" applyBorder="1" applyFill="1" applyFont="1" borderId="1" fillId="2" fontId="4" numFmtId="0" xfId="0">
      <alignment horizontal="center" vertical="top" wrapText="1"/>
    </xf>
    <xf applyAlignment="1" applyBorder="1" applyFont="1" borderId="1" fillId="0" fontId="5" numFmtId="0" xfId="0">
      <alignment wrapText="1"/>
    </xf>
    <xf applyAlignment="1" applyBorder="1" applyFont="1" borderId="1" fillId="0" fontId="6" numFmtId="0" xfId="0">
      <alignment horizontal="center" wrapText="1"/>
    </xf>
    <xf applyAlignment="1" applyBorder="1" applyFont="1" borderId="1" fillId="0" fontId="6" numFmtId="0" xfId="0">
      <alignment wrapText="1"/>
    </xf>
    <xf applyAlignment="1" applyBorder="1" applyFont="1" borderId="1" fillId="0" fontId="3" numFmtId="0" xfId="0">
      <alignment wrapText="1"/>
    </xf>
    <xf applyBorder="1" applyFont="1" applyNumberFormat="1" borderId="1" fillId="0" fontId="7" numFmtId="49" xfId="0"/>
    <xf applyAlignment="1" applyBorder="1" applyFont="1" borderId="1" fillId="0" fontId="8" numFmtId="0" xfId="0">
      <alignment wrapText="1"/>
    </xf>
    <xf applyBorder="1" applyFont="1" applyNumberFormat="1" borderId="1" fillId="0" fontId="3" numFmtId="49" xfId="0"/>
    <xf applyBorder="1" applyFont="1" borderId="1" fillId="0" fontId="3" numFmtId="0" xfId="0"/>
    <xf applyAlignment="1" applyBorder="1" applyFont="1" borderId="1" fillId="0" fontId="3" numFmtId="0" xfId="0">
      <alignment horizontal="center" wrapText="1"/>
    </xf>
    <xf applyAlignment="1" applyBorder="1" applyFont="1" borderId="1" fillId="0" fontId="6" numFmtId="0" xfId="0">
      <alignment horizontal="left" wrapText="1"/>
    </xf>
    <xf applyBorder="1" applyFont="1" borderId="1" fillId="0" fontId="7" numFmtId="0" xfId="0"/>
    <xf applyAlignment="1" applyBorder="1" applyFont="1" borderId="1" fillId="0" fontId="5" numFmtId="0" xfId="0">
      <alignment horizontal="center" wrapText="1"/>
    </xf>
    <xf applyAlignment="1" applyBorder="1" applyFont="1" borderId="1" fillId="0" fontId="8" numFmtId="0" xfId="0">
      <alignment horizontal="left" wrapText="1"/>
    </xf>
    <xf applyAlignment="1" applyBorder="1" applyFont="1" borderId="1" fillId="0" fontId="3" numFmtId="0" xfId="0">
      <alignment horizontal="left" wrapText="1"/>
    </xf>
    <xf applyAlignment="1" applyBorder="1" applyFont="1" applyNumberFormat="1" borderId="1" fillId="0" fontId="9" numFmtId="1" xfId="0">
      <alignment wrapText="1"/>
    </xf>
    <xf applyBorder="1" applyFont="1" borderId="1" fillId="0" fontId="10" numFmtId="0" xfId="0"/>
    <xf applyFill="1" applyFont="1" borderId="0" fillId="4" fontId="1" numFmtId="0" xfId="0"/>
    <xf applyFill="1" borderId="0" fillId="4" fontId="0" numFmtId="0" xfId="0"/>
    <xf applyAlignment="1" applyBorder="1" applyFill="1" applyFont="1" applyNumberFormat="1" borderId="1" fillId="3" fontId="12" numFmtId="1" xfId="0">
      <alignment horizontal="center" vertical="center" wrapText="1"/>
    </xf>
    <xf applyBorder="1" applyFont="1" borderId="1" fillId="0" fontId="14" numFmtId="0" xfId="0"/>
    <xf applyBorder="1" applyFill="1" applyFont="1" borderId="1" fillId="5" fontId="14" numFmtId="0" xfId="0"/>
    <xf applyAlignment="1" applyBorder="1" applyFill="1" applyFont="1" applyNumberFormat="1" borderId="1" fillId="3" fontId="12" numFmtId="49" xfId="0">
      <alignment horizontal="center" vertical="center" wrapText="1"/>
    </xf>
    <xf applyFont="1" borderId="0" fillId="0" fontId="14" numFmtId="0" xfId="0"/>
    <xf applyFont="1" borderId="0" fillId="0" fontId="17" numFmtId="0" xfId="4"/>
    <xf applyAlignment="1" applyFont="1" borderId="0" fillId="0" fontId="18" numFmtId="0" xfId="2">
      <alignment horizontal="left" wrapText="1"/>
    </xf>
    <xf applyBorder="1" applyFill="1" applyFont="1" borderId="2" fillId="5" fontId="17" numFmtId="0" xfId="4"/>
    <xf applyFont="1" borderId="0" fillId="0" fontId="17" numFmtId="0" xfId="2"/>
    <xf applyFont="1" borderId="0" fillId="0" fontId="17" numFmtId="0" xfId="5"/>
    <xf applyFont="1" borderId="0" fillId="0" fontId="18" numFmtId="0" xfId="4"/>
    <xf applyProtection="1" borderId="0" fillId="0" fontId="0" numFmtId="0" xfId="0">
      <protection locked="0"/>
    </xf>
    <xf applyAlignment="1" applyProtection="1" borderId="0" fillId="0" fontId="0" numFmtId="0" xfId="0">
      <alignment horizontal="left" vertical="center"/>
      <protection locked="0"/>
    </xf>
    <xf applyAlignment="1" applyBorder="1" applyFill="1" applyFont="1" borderId="3" fillId="3" fontId="11" numFmtId="0" xfId="0">
      <alignment horizontal="center" vertical="center"/>
    </xf>
    <xf applyAlignment="1" applyBorder="1" applyFill="1" applyFont="1" borderId="4" fillId="3" fontId="11" numFmtId="0" xfId="0">
      <alignment horizontal="center" vertical="center"/>
    </xf>
    <xf applyAlignment="1" applyBorder="1" applyFill="1" applyFont="1" borderId="4" fillId="3" fontId="11" numFmtId="0" xfId="0">
      <alignment horizontal="center" vertical="center" wrapText="1"/>
    </xf>
    <xf applyAlignment="1" applyBorder="1" applyFill="1" applyFont="1" borderId="5" fillId="3" fontId="11" numFmtId="0" xfId="0">
      <alignment horizontal="center" vertical="center"/>
    </xf>
    <xf applyBorder="1" applyFill="1" applyFont="1" borderId="1" fillId="3" fontId="16" numFmtId="0" xfId="0"/>
    <xf applyBorder="1" applyFont="1" borderId="1" fillId="0" fontId="19" numFmtId="0" xfId="0"/>
    <xf applyFont="1" borderId="0" fillId="0" fontId="25" numFmtId="0" xfId="0"/>
    <xf applyFont="1" borderId="0" fillId="0" fontId="1" numFmtId="0" xfId="0"/>
    <xf applyAlignment="1" applyBorder="1" applyFill="1" applyFont="1" borderId="1" fillId="3" fontId="11" numFmtId="0" xfId="0">
      <alignment horizontal="center" vertical="center" wrapText="1"/>
    </xf>
    <xf applyAlignment="1" applyNumberFormat="1" applyProtection="1" borderId="0" fillId="0" fontId="0" numFmtId="164" xfId="0">
      <alignment horizontal="left" vertical="center"/>
      <protection locked="0"/>
    </xf>
    <xf applyFill="1" borderId="0" fillId="5" fontId="0" numFmtId="0" xfId="0"/>
    <xf applyAlignment="1" applyFont="1" applyNumberFormat="1" borderId="0" fillId="0" fontId="12" numFmtId="49" xfId="0">
      <alignment horizontal="center" vertical="center" wrapText="1"/>
    </xf>
    <xf applyBorder="1" applyFill="1" applyFont="1" borderId="2" fillId="3" fontId="14" numFmtId="0" xfId="0"/>
    <xf applyFill="1" applyFont="1" borderId="0" fillId="4" fontId="14" numFmtId="0" xfId="0"/>
    <xf applyNumberFormat="1" borderId="0" fillId="0" fontId="0" numFmtId="49" xfId="0"/>
    <xf applyAlignment="1" borderId="0" fillId="0" fontId="0" numFmtId="0" xfId="0">
      <alignment horizontal="left"/>
    </xf>
    <xf applyNumberFormat="1" applyProtection="1" borderId="0" fillId="0" fontId="0" numFmtId="49" xfId="0">
      <protection locked="0"/>
    </xf>
    <xf applyAlignment="1" applyFill="1" applyFont="1" applyProtection="1" borderId="0" fillId="0" fontId="1" numFmtId="0" xfId="3">
      <alignment horizontal="left" vertical="center"/>
      <protection locked="0"/>
    </xf>
    <xf applyAlignment="1" applyFont="1" applyNumberFormat="1" applyProtection="1" borderId="0" fillId="0" fontId="11" numFmtId="49" xfId="0">
      <alignment shrinkToFit="1" vertical="center"/>
      <protection locked="0"/>
    </xf>
    <xf applyAlignment="1" applyNumberFormat="1" applyProtection="1" borderId="0" fillId="0" fontId="0" numFmtId="49" xfId="0">
      <alignment horizontal="left" vertical="center"/>
      <protection locked="0"/>
    </xf>
    <xf applyNumberFormat="1" applyProtection="1" borderId="0" fillId="0" fontId="0" numFmtId="164" xfId="0">
      <protection locked="0"/>
    </xf>
    <xf applyNumberFormat="1" applyProtection="1" borderId="0" fillId="0" fontId="0" numFmtId="2" xfId="0">
      <protection locked="0"/>
    </xf>
    <xf applyAlignment="1" applyNumberFormat="1" applyProtection="1" borderId="0" fillId="0" fontId="0" numFmtId="2" xfId="0">
      <alignment horizontal="left" vertical="center"/>
      <protection locked="0"/>
    </xf>
    <xf applyAlignment="1" applyBorder="1" applyNumberFormat="1" applyProtection="1" borderId="18" fillId="0" fontId="0" numFmtId="1" xfId="0">
      <alignment horizontal="center" vertical="center"/>
      <protection locked="0"/>
    </xf>
    <xf applyAlignment="1" applyBorder="1" applyNumberFormat="1" applyProtection="1" borderId="5" fillId="0" fontId="0" numFmtId="1" xfId="0">
      <alignment horizontal="center" vertical="center"/>
      <protection locked="0"/>
    </xf>
    <xf applyAlignment="1" applyBorder="1" applyNumberFormat="1" applyProtection="1" borderId="2" fillId="0" fontId="0" numFmtId="1" xfId="0">
      <alignment horizontal="center" vertical="center"/>
      <protection locked="0"/>
    </xf>
    <xf applyAlignment="1" applyBorder="1" applyFill="1" applyFont="1" borderId="19" fillId="7" fontId="12" numFmtId="0" xfId="0">
      <alignment horizontal="center" vertical="center" wrapText="1"/>
    </xf>
    <xf applyAlignment="1" applyBorder="1" applyFill="1" applyFont="1" applyNumberFormat="1" applyProtection="1" borderId="3" fillId="3" fontId="12" numFmtId="1" xfId="0">
      <alignment horizontal="center" vertical="center" wrapText="1"/>
      <protection locked="0"/>
    </xf>
    <xf applyAlignment="1" applyBorder="1" applyFill="1" applyFont="1" borderId="2" fillId="8" fontId="12" numFmtId="0" xfId="0">
      <alignment horizontal="center" vertical="center" wrapText="1"/>
    </xf>
    <xf applyAlignment="1" applyBorder="1" applyFill="1" applyFont="1" borderId="9" fillId="6" fontId="24" numFmtId="0" xfId="0">
      <alignment horizontal="center" vertical="center"/>
    </xf>
    <xf applyAlignment="1" applyBorder="1" applyFill="1" applyFont="1" borderId="10" fillId="6" fontId="24" numFmtId="0" xfId="0">
      <alignment horizontal="center" vertical="center"/>
    </xf>
    <xf applyAlignment="1" applyBorder="1" applyFill="1" applyFont="1" borderId="11" fillId="6" fontId="24" numFmtId="0" xfId="0">
      <alignment horizontal="center" vertical="center"/>
    </xf>
    <xf applyAlignment="1" applyBorder="1" applyFill="1" applyFont="1" borderId="12" fillId="6" fontId="24" numFmtId="0" xfId="0">
      <alignment horizontal="center" vertical="center"/>
    </xf>
    <xf applyAlignment="1" applyFill="1" applyFont="1" borderId="0" fillId="6" fontId="24" numFmtId="0" xfId="0">
      <alignment horizontal="center" vertical="center"/>
    </xf>
    <xf applyAlignment="1" applyBorder="1" applyFill="1" applyFont="1" borderId="13" fillId="6" fontId="24" numFmtId="0" xfId="0">
      <alignment horizontal="center" vertical="center"/>
    </xf>
    <xf applyAlignment="1" applyBorder="1" applyFill="1" applyFont="1" borderId="14" fillId="6" fontId="24" numFmtId="0" xfId="0">
      <alignment horizontal="center" vertical="center"/>
    </xf>
    <xf applyAlignment="1" applyBorder="1" applyFill="1" applyFont="1" borderId="15" fillId="6" fontId="24" numFmtId="0" xfId="0">
      <alignment horizontal="center" vertical="center"/>
    </xf>
    <xf applyAlignment="1" applyBorder="1" applyFill="1" applyFont="1" borderId="16" fillId="6" fontId="24" numFmtId="0" xfId="0">
      <alignment horizontal="center" vertical="center"/>
    </xf>
    <xf applyAlignment="1" applyBorder="1" applyFill="1" applyFont="1" borderId="6" fillId="6" fontId="27" numFmtId="0" xfId="0">
      <alignment horizontal="center" vertical="center"/>
    </xf>
    <xf applyAlignment="1" applyBorder="1" applyFill="1" applyFont="1" borderId="7" fillId="6" fontId="27" numFmtId="0" xfId="0">
      <alignment horizontal="center" vertical="center"/>
    </xf>
    <xf applyAlignment="1" applyBorder="1" applyFill="1" applyFont="1" borderId="8" fillId="6" fontId="27" numFmtId="0" xfId="0">
      <alignment horizontal="center" vertical="center"/>
    </xf>
    <xf applyAlignment="1" applyBorder="1" applyFill="1" borderId="9" fillId="6" fontId="0" numFmtId="0" xfId="0">
      <alignment horizontal="left" vertical="top" wrapText="1"/>
    </xf>
    <xf applyAlignment="1" applyBorder="1" applyFill="1" borderId="10" fillId="6" fontId="0" numFmtId="0" xfId="0">
      <alignment horizontal="left" vertical="top" wrapText="1"/>
    </xf>
    <xf applyAlignment="1" applyBorder="1" applyFill="1" borderId="11" fillId="6" fontId="0" numFmtId="0" xfId="0">
      <alignment horizontal="left" vertical="top" wrapText="1"/>
    </xf>
    <xf applyAlignment="1" applyBorder="1" applyFill="1" borderId="12" fillId="6" fontId="0" numFmtId="0" xfId="0">
      <alignment horizontal="left" vertical="top" wrapText="1"/>
    </xf>
    <xf applyAlignment="1" applyFill="1" borderId="0" fillId="6" fontId="0" numFmtId="0" xfId="0">
      <alignment horizontal="left" vertical="top" wrapText="1"/>
    </xf>
    <xf applyAlignment="1" applyBorder="1" applyFill="1" borderId="13" fillId="6" fontId="0" numFmtId="0" xfId="0">
      <alignment horizontal="left" vertical="top" wrapText="1"/>
    </xf>
    <xf applyAlignment="1" applyBorder="1" applyFill="1" borderId="14" fillId="6" fontId="0" numFmtId="0" xfId="0">
      <alignment horizontal="left" vertical="top" wrapText="1"/>
    </xf>
    <xf applyAlignment="1" applyBorder="1" applyFill="1" borderId="15" fillId="6" fontId="0" numFmtId="0" xfId="0">
      <alignment horizontal="left" vertical="top" wrapText="1"/>
    </xf>
    <xf applyAlignment="1" applyBorder="1" applyFill="1" borderId="16" fillId="6" fontId="0" numFmtId="0" xfId="0">
      <alignment horizontal="left" vertical="top" wrapText="1"/>
    </xf>
    <xf applyAlignment="1" applyBorder="1" applyFill="1" applyFont="1" borderId="9" fillId="6" fontId="29" numFmtId="0" xfId="0">
      <alignment horizontal="center" vertical="top" wrapText="1"/>
    </xf>
    <xf applyAlignment="1" applyBorder="1" applyFill="1" applyFont="1" borderId="11" fillId="6" fontId="29" numFmtId="0" xfId="0">
      <alignment horizontal="center" vertical="top" wrapText="1"/>
    </xf>
    <xf applyAlignment="1" applyBorder="1" applyFill="1" applyFont="1" borderId="9" fillId="3" fontId="22" numFmtId="0" xfId="0">
      <alignment horizontal="center" vertical="center"/>
    </xf>
    <xf applyAlignment="1" applyBorder="1" applyFill="1" applyFont="1" borderId="10" fillId="3" fontId="22" numFmtId="0" xfId="0">
      <alignment horizontal="center" vertical="center"/>
    </xf>
    <xf applyAlignment="1" applyBorder="1" applyFill="1" applyFont="1" borderId="11" fillId="3" fontId="22" numFmtId="0" xfId="0">
      <alignment horizontal="center" vertical="center"/>
    </xf>
    <xf applyAlignment="1" applyBorder="1" applyFill="1" applyFont="1" borderId="6" fillId="3" fontId="22" numFmtId="0" xfId="0">
      <alignment horizontal="center" vertical="center"/>
    </xf>
    <xf applyAlignment="1" applyBorder="1" applyFill="1" applyFont="1" borderId="7" fillId="3" fontId="22" numFmtId="0" xfId="0">
      <alignment horizontal="center" vertical="center"/>
    </xf>
    <xf applyAlignment="1" applyBorder="1" applyFill="1" applyFont="1" borderId="8" fillId="3" fontId="22" numFmtId="0" xfId="0">
      <alignment horizontal="center" vertical="center"/>
    </xf>
    <xf applyAlignment="1" applyFont="1" applyNumberFormat="1" borderId="0" fillId="0" fontId="3" numFmtId="49" xfId="0">
      <alignment horizontal="left" wrapText="1"/>
    </xf>
    <xf applyNumberFormat="1" applyProtection="1" borderId="0" fillId="0" fontId="0" numFmtId="0" xfId="0">
      <protection locked="0"/>
    </xf>
    <xf applyAlignment="1" applyNumberFormat="1" applyProtection="1" borderId="0" fillId="0" fontId="0" numFmtId="0" xfId="0">
      <alignment horizontal="left" vertical="center"/>
      <protection locked="0"/>
    </xf>
    <xf applyFont="1" applyNumberFormat="1" applyProtection="1" borderId="0" fillId="0" fontId="23" numFmtId="49" xfId="0"/>
    <xf applyAlignment="1" applyBorder="1" applyFill="1" applyFont="1" applyNumberFormat="1" applyProtection="1" borderId="1" fillId="3" fontId="11" numFmtId="49" xfId="0">
      <alignment horizontal="center" vertical="center" wrapText="1"/>
    </xf>
    <xf applyAlignment="1" applyBorder="1" applyFill="1" applyFont="1" applyNumberFormat="1" applyProtection="1" borderId="1" fillId="7" fontId="12" numFmtId="49" xfId="0">
      <alignment horizontal="center" vertical="center" wrapText="1"/>
    </xf>
    <xf applyAlignment="1" applyBorder="1" applyFill="1" applyFont="1" applyNumberFormat="1" applyProtection="1" borderId="1" fillId="7" fontId="12" numFmtId="164" xfId="0">
      <alignment horizontal="center" vertical="center" wrapText="1"/>
    </xf>
    <xf applyAlignment="1" applyBorder="1" applyFill="1" applyFont="1" applyNumberFormat="1" applyProtection="1" borderId="1" fillId="3" fontId="12" numFmtId="49" xfId="0">
      <alignment horizontal="center" vertical="center" wrapText="1"/>
    </xf>
    <xf applyAlignment="1" applyBorder="1" applyFill="1" applyFont="1" applyNumberFormat="1" applyProtection="1" borderId="1" fillId="3" fontId="11" numFmtId="164" xfId="0">
      <alignment horizontal="center" vertical="center" wrapText="1"/>
    </xf>
    <xf applyAlignment="1" applyBorder="1" applyFill="1" applyFont="1" applyNumberFormat="1" applyProtection="1" borderId="1" fillId="3" fontId="11" numFmtId="2" xfId="0">
      <alignment horizontal="center" vertical="center" wrapText="1"/>
    </xf>
    <xf applyAlignment="1" applyBorder="1" applyFill="1" applyFont="1" applyNumberFormat="1" applyProtection="1" borderId="17" fillId="7" fontId="12" numFmtId="2" xfId="0">
      <alignment horizontal="center" vertical="center" wrapText="1"/>
    </xf>
    <xf applyAlignment="1" applyBorder="1" applyFill="1" applyFont="1" applyNumberFormat="1" applyProtection="1" borderId="1" fillId="8" fontId="12" numFmtId="2" xfId="0">
      <alignment horizontal="center" vertical="center" wrapText="1"/>
    </xf>
    <xf applyAlignment="1" applyBorder="1" applyFill="1" applyFont="1" applyProtection="1" borderId="17" fillId="3" fontId="12" numFmtId="0" xfId="0">
      <alignment horizontal="center" vertical="center" wrapText="1"/>
    </xf>
    <xf applyAlignment="1" applyBorder="1" applyFill="1" applyFont="1" applyNumberFormat="1" applyProtection="1" borderId="1" fillId="8" fontId="12" numFmtId="0" xfId="0">
      <alignment horizontal="center" vertical="center" wrapText="1"/>
    </xf>
    <xf applyAlignment="1" applyBorder="1" applyFill="1" applyFont="1" applyNumberFormat="1" applyProtection="1" borderId="1" fillId="3" fontId="12" numFmtId="0" xfId="0">
      <alignment horizontal="center" vertical="center" wrapText="1"/>
    </xf>
    <xf applyNumberFormat="1" applyProtection="1" borderId="0" fillId="0" fontId="0" numFmtId="49" xfId="0"/>
    <xf applyAlignment="1" applyBorder="1" applyFill="1" applyFont="1" applyNumberFormat="1" applyProtection="1" borderId="1" fillId="3" fontId="12" numFmtId="1" xfId="0">
      <alignment horizontal="center" vertical="center" wrapText="1"/>
    </xf>
    <xf applyAlignment="1" applyBorder="1" applyFill="1" applyFont="1" applyProtection="1" borderId="1" fillId="3" fontId="11" numFmtId="0" xfId="0">
      <alignment horizontal="center" vertical="center" wrapText="1"/>
    </xf>
    <xf applyProtection="1" borderId="0" fillId="0" fontId="0" numFmtId="0" xfId="0"/>
    <xf applyNumberFormat="1" applyProtection="1" borderId="0" fillId="0" fontId="0" numFmtId="164" xfId="0"/>
    <xf applyNumberFormat="1" applyProtection="1" borderId="0" fillId="0" fontId="0" numFmtId="2" xfId="0"/>
    <xf applyNumberFormat="1" applyProtection="1" borderId="0" fillId="0" fontId="0" numFmtId="0" xfId="0"/>
  </cellXfs>
  <cellStyles count="10">
    <cellStyle builtinId="9" hidden="1" name="Followed Hyperlink" xfId="6"/>
    <cellStyle builtinId="9" hidden="1" name="Followed Hyperlink" xfId="7"/>
    <cellStyle builtinId="9" hidden="1" name="Followed Hyperlink" xfId="8"/>
    <cellStyle builtinId="9" hidden="1" name="Followed Hyperlink" xfId="9"/>
    <cellStyle builtinId="8" name="Hyperlink" xfId="3"/>
    <cellStyle builtinId="0" name="Normal" xfId="0"/>
    <cellStyle name="Normal 2" xfId="1" xr:uid="{00000000-0005-0000-0000-000006000000}"/>
    <cellStyle name="Normal 2 2" xfId="4" xr:uid="{00000000-0005-0000-0000-000007000000}"/>
    <cellStyle name="Normal 3" xfId="2" xr:uid="{00000000-0005-0000-0000-000008000000}"/>
    <cellStyle name="Normal 4 2" xfId="5" xr:uid="{00000000-0005-0000-0000-000009000000}"/>
  </cellStyles>
  <dxfs count="0"/>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2A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1</xdr:col>
          <xdr:colOff>1536700</xdr:colOff>
          <xdr:row>0</xdr:row>
          <xdr:rowOff>57150</xdr:rowOff>
        </xdr:from>
        <xdr:to>
          <xdr:col>3</xdr:col>
          <xdr:colOff>0</xdr:colOff>
          <xdr:row>2</xdr:row>
          <xdr:rowOff>19050</xdr:rowOff>
        </xdr:to>
        <xdr:sp macro="" textlink="">
          <xdr:nvSpPr>
            <xdr:cNvPr hidden="1" id="5121" name="Button 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anchor="ctr" bIns="32004" lIns="36576" rIns="36576" tIns="32004" upright="1" vertOverflow="clip" wrap="square"/>
            <a:lstStyle/>
            <a:p>
              <a:pPr algn="ctr" rtl="0">
                <a:defRPr sz="1000"/>
              </a:pPr>
              <a:r>
                <a:rPr b="1" baseline="0" i="0" lang="en-US" strike="noStrike" sz="1000" u="none">
                  <a:solidFill>
                    <a:srgbClr val="000000"/>
                  </a:solidFill>
                  <a:latin typeface="Calibri"/>
                  <a:ea typeface="Calibri"/>
                  <a:cs typeface="Calibri"/>
                </a:rPr>
                <a:t>Add/Remove Custom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1581150</xdr:colOff>
          <xdr:row>0</xdr:row>
          <xdr:rowOff>57150</xdr:rowOff>
        </xdr:from>
        <xdr:to>
          <xdr:col>4</xdr:col>
          <xdr:colOff>742950</xdr:colOff>
          <xdr:row>2</xdr:row>
          <xdr:rowOff>31750</xdr:rowOff>
        </xdr:to>
        <xdr:sp macro="" textlink="">
          <xdr:nvSpPr>
            <xdr:cNvPr hidden="1" id="5122" name="Button 2">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anchor="ctr" bIns="36576" lIns="36576" rIns="36576" tIns="36576" upright="1" vertOverflow="clip" wrap="square"/>
            <a:lstStyle/>
            <a:p>
              <a:pPr algn="ctr" rtl="0">
                <a:defRPr sz="1000"/>
              </a:pPr>
              <a:r>
                <a:rPr b="1" baseline="0" i="0" lang="en-US" strike="noStrike" sz="1100" u="none">
                  <a:solidFill>
                    <a:srgbClr val="000000"/>
                  </a:solidFill>
                  <a:latin typeface="Calibri"/>
                  <a:ea typeface="Calibri"/>
                  <a:cs typeface="Calibri"/>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38100</xdr:rowOff>
        </xdr:from>
        <xdr:to>
          <xdr:col>3</xdr:col>
          <xdr:colOff>1428750</xdr:colOff>
          <xdr:row>2</xdr:row>
          <xdr:rowOff>31750</xdr:rowOff>
        </xdr:to>
        <xdr:sp macro="" textlink="">
          <xdr:nvSpPr>
            <xdr:cNvPr hidden="1" id="5130" name="Button 10">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w="9525">
              <a:miter lim="800000"/>
              <a:headEnd/>
              <a:tailEnd/>
            </a:ln>
          </xdr:spPr>
          <xdr:txBody>
            <a:bodyPr anchor="ctr" bIns="32004" lIns="36576" rIns="36576" tIns="32004" upright="1" vertOverflow="clip" wrap="square"/>
            <a:lstStyle/>
            <a:p>
              <a:pPr algn="ctr" rtl="0">
                <a:defRPr sz="1000"/>
              </a:pPr>
              <a:r>
                <a:rPr b="1" baseline="0" i="0" lang="en-US" strike="noStrike" sz="1000" u="none">
                  <a:solidFill>
                    <a:srgbClr val="000000"/>
                  </a:solidFill>
                  <a:latin typeface="Calibri"/>
                  <a:ea typeface="Calibri"/>
                  <a:cs typeface="Calibri"/>
                </a:rPr>
                <a:t>Add/Remove Dependent Column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35921"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35921" rotWithShape="0">
                  <a:srgbClr val="808080"/>
                </a:outerShdw>
              </a:effectLst>
            </a14:hiddenEffects>
          </a:ext>
        </a:extLst>
      </a:spPr>
      <a:bodyPr bIns="0" lIns="18288" rIns="0" tIns="0" upright="1" vertOverflow="clip" wrap="square"/>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J27"/>
  <sheetViews>
    <sheetView workbookViewId="0">
      <selection sqref="A1:F3"/>
    </sheetView>
  </sheetViews>
  <sheetFormatPr defaultColWidth="8.81640625" defaultRowHeight="14.5" x14ac:dyDescent="0.35"/>
  <cols>
    <col min="1" max="1" customWidth="true" width="14.7265625" collapsed="false"/>
    <col min="2" max="2" customWidth="true" width="15.0" collapsed="false"/>
    <col min="3" max="3" customWidth="true" width="14.1796875" collapsed="false"/>
    <col min="4" max="5" customWidth="true" width="14.453125" collapsed="false"/>
    <col min="6" max="6" customWidth="true" width="17.453125" collapsed="false"/>
    <col min="9" max="9" customWidth="true" width="17.1796875" collapsed="false"/>
  </cols>
  <sheetData>
    <row r="1" spans="1:9" x14ac:dyDescent="0.35">
      <c r="A1" s="64" t="s">
        <v>252</v>
      </c>
      <c r="B1" s="65"/>
      <c r="C1" s="65"/>
      <c r="D1" s="65"/>
      <c r="E1" s="65"/>
      <c r="F1" s="66"/>
    </row>
    <row r="2" spans="1:9" x14ac:dyDescent="0.35">
      <c r="A2" s="67"/>
      <c r="B2" s="68"/>
      <c r="C2" s="68"/>
      <c r="D2" s="68"/>
      <c r="E2" s="68"/>
      <c r="F2" s="69"/>
    </row>
    <row ht="15" r="3" spans="1:9" thickBot="1" x14ac:dyDescent="0.4">
      <c r="A3" s="70"/>
      <c r="B3" s="71"/>
      <c r="C3" s="71"/>
      <c r="D3" s="71"/>
      <c r="E3" s="71"/>
      <c r="F3" s="72"/>
    </row>
    <row customHeight="1" ht="16.5" r="4" spans="1:9" thickBot="1" x14ac:dyDescent="0.4">
      <c r="A4" s="73" t="s">
        <v>263</v>
      </c>
      <c r="B4" s="74"/>
      <c r="C4" s="74"/>
      <c r="D4" s="74"/>
      <c r="E4" s="74"/>
      <c r="F4" s="75"/>
      <c r="H4" s="85" t="s">
        <v>2283</v>
      </c>
      <c r="I4" s="86"/>
    </row>
    <row customHeight="1" ht="15" r="5" spans="1:9" thickBot="1" x14ac:dyDescent="0.4">
      <c r="A5" s="76" t="s">
        <v>2356</v>
      </c>
      <c r="B5" s="77"/>
      <c r="C5" s="77"/>
      <c r="D5" s="77"/>
      <c r="E5" s="77"/>
      <c r="F5" s="78"/>
      <c r="H5" s="61"/>
      <c r="I5" s="58" t="s">
        <v>2281</v>
      </c>
    </row>
    <row ht="15" r="6" spans="1:9" thickBot="1" x14ac:dyDescent="0.4">
      <c r="A6" s="79"/>
      <c r="B6" s="80"/>
      <c r="C6" s="80"/>
      <c r="D6" s="80"/>
      <c r="E6" s="80"/>
      <c r="F6" s="81"/>
      <c r="H6" s="63"/>
      <c r="I6" s="60" t="s">
        <v>2348</v>
      </c>
    </row>
    <row ht="15" r="7" spans="1:9" thickBot="1" x14ac:dyDescent="0.4">
      <c r="A7" s="79"/>
      <c r="B7" s="80"/>
      <c r="C7" s="80"/>
      <c r="D7" s="80"/>
      <c r="E7" s="80"/>
      <c r="F7" s="81"/>
      <c r="H7" s="62"/>
      <c r="I7" s="59" t="s">
        <v>2282</v>
      </c>
    </row>
    <row r="8" spans="1:9" x14ac:dyDescent="0.35">
      <c r="A8" s="79"/>
      <c r="B8" s="80"/>
      <c r="C8" s="80"/>
      <c r="D8" s="80"/>
      <c r="E8" s="80"/>
      <c r="F8" s="81"/>
    </row>
    <row r="9" spans="1:9" x14ac:dyDescent="0.35">
      <c r="A9" s="79"/>
      <c r="B9" s="80"/>
      <c r="C9" s="80"/>
      <c r="D9" s="80"/>
      <c r="E9" s="80"/>
      <c r="F9" s="81"/>
    </row>
    <row r="10" spans="1:9" x14ac:dyDescent="0.35">
      <c r="A10" s="79"/>
      <c r="B10" s="80"/>
      <c r="C10" s="80"/>
      <c r="D10" s="80"/>
      <c r="E10" s="80"/>
      <c r="F10" s="81"/>
    </row>
    <row r="11" spans="1:9" x14ac:dyDescent="0.35">
      <c r="A11" s="79"/>
      <c r="B11" s="80"/>
      <c r="C11" s="80"/>
      <c r="D11" s="80"/>
      <c r="E11" s="80"/>
      <c r="F11" s="81"/>
    </row>
    <row r="12" spans="1:9" x14ac:dyDescent="0.35">
      <c r="A12" s="79"/>
      <c r="B12" s="80"/>
      <c r="C12" s="80"/>
      <c r="D12" s="80"/>
      <c r="E12" s="80"/>
      <c r="F12" s="81"/>
    </row>
    <row r="13" spans="1:9" x14ac:dyDescent="0.35">
      <c r="A13" s="79"/>
      <c r="B13" s="80"/>
      <c r="C13" s="80"/>
      <c r="D13" s="80"/>
      <c r="E13" s="80"/>
      <c r="F13" s="81"/>
    </row>
    <row r="14" spans="1:9" x14ac:dyDescent="0.35">
      <c r="A14" s="79"/>
      <c r="B14" s="80"/>
      <c r="C14" s="80"/>
      <c r="D14" s="80"/>
      <c r="E14" s="80"/>
      <c r="F14" s="81"/>
    </row>
    <row r="15" spans="1:9" x14ac:dyDescent="0.35">
      <c r="A15" s="79"/>
      <c r="B15" s="80"/>
      <c r="C15" s="80"/>
      <c r="D15" s="80"/>
      <c r="E15" s="80"/>
      <c r="F15" s="81"/>
    </row>
    <row r="16" spans="1:9" x14ac:dyDescent="0.35">
      <c r="A16" s="79"/>
      <c r="B16" s="80"/>
      <c r="C16" s="80"/>
      <c r="D16" s="80"/>
      <c r="E16" s="80"/>
      <c r="F16" s="81"/>
    </row>
    <row r="17" spans="1:6" x14ac:dyDescent="0.35">
      <c r="A17" s="79"/>
      <c r="B17" s="80"/>
      <c r="C17" s="80"/>
      <c r="D17" s="80"/>
      <c r="E17" s="80"/>
      <c r="F17" s="81"/>
    </row>
    <row r="18" spans="1:6" x14ac:dyDescent="0.35">
      <c r="A18" s="79"/>
      <c r="B18" s="80"/>
      <c r="C18" s="80"/>
      <c r="D18" s="80"/>
      <c r="E18" s="80"/>
      <c r="F18" s="81"/>
    </row>
    <row r="19" spans="1:6" x14ac:dyDescent="0.35">
      <c r="A19" s="79"/>
      <c r="B19" s="80"/>
      <c r="C19" s="80"/>
      <c r="D19" s="80"/>
      <c r="E19" s="80"/>
      <c r="F19" s="81"/>
    </row>
    <row r="20" spans="1:6" x14ac:dyDescent="0.35">
      <c r="A20" s="79"/>
      <c r="B20" s="80"/>
      <c r="C20" s="80"/>
      <c r="D20" s="80"/>
      <c r="E20" s="80"/>
      <c r="F20" s="81"/>
    </row>
    <row r="21" spans="1:6" x14ac:dyDescent="0.35">
      <c r="A21" s="79"/>
      <c r="B21" s="80"/>
      <c r="C21" s="80"/>
      <c r="D21" s="80"/>
      <c r="E21" s="80"/>
      <c r="F21" s="81"/>
    </row>
    <row r="22" spans="1:6" x14ac:dyDescent="0.35">
      <c r="A22" s="79"/>
      <c r="B22" s="80"/>
      <c r="C22" s="80"/>
      <c r="D22" s="80"/>
      <c r="E22" s="80"/>
      <c r="F22" s="81"/>
    </row>
    <row r="23" spans="1:6" x14ac:dyDescent="0.35">
      <c r="A23" s="79"/>
      <c r="B23" s="80"/>
      <c r="C23" s="80"/>
      <c r="D23" s="80"/>
      <c r="E23" s="80"/>
      <c r="F23" s="81"/>
    </row>
    <row r="24" spans="1:6" x14ac:dyDescent="0.35">
      <c r="A24" s="79"/>
      <c r="B24" s="80"/>
      <c r="C24" s="80"/>
      <c r="D24" s="80"/>
      <c r="E24" s="80"/>
      <c r="F24" s="81"/>
    </row>
    <row r="25" spans="1:6" x14ac:dyDescent="0.35">
      <c r="A25" s="79"/>
      <c r="B25" s="80"/>
      <c r="C25" s="80"/>
      <c r="D25" s="80"/>
      <c r="E25" s="80"/>
      <c r="F25" s="81"/>
    </row>
    <row customHeight="1" ht="93.75" r="26" spans="1:6" thickBot="1" x14ac:dyDescent="0.4">
      <c r="A26" s="82"/>
      <c r="B26" s="83"/>
      <c r="C26" s="83"/>
      <c r="D26" s="83"/>
      <c r="E26" s="83"/>
      <c r="F26" s="84"/>
    </row>
    <row customHeight="1" ht="15" r="27" spans="1:6" x14ac:dyDescent="0.35"/>
  </sheetData>
  <mergeCells count="4">
    <mergeCell ref="A1:F3"/>
    <mergeCell ref="A4:F4"/>
    <mergeCell ref="A5:F26"/>
    <mergeCell ref="H4:I4"/>
  </mergeCells>
  <pageMargins bottom="0.75" footer="0.3" header="0.3" left="0.7" right="0.7" top="0.75"/>
  <pageSetup orientation="portrait" paperSize="9" r:id="rId1"/>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V1293"/>
  <sheetViews>
    <sheetView tabSelected="1" workbookViewId="0">
      <pane activePane="bottomRight" state="frozen" topLeftCell="M5" xSplit="3" ySplit="4"/>
      <selection activeCell="D1" pane="topRight" sqref="D1"/>
      <selection activeCell="A5" pane="bottomLeft" sqref="A5"/>
      <selection activeCell="P6" pane="bottomRight" sqref="P6"/>
    </sheetView>
  </sheetViews>
  <sheetFormatPr defaultColWidth="9.1796875" defaultRowHeight="14.5" x14ac:dyDescent="0.35"/>
  <cols>
    <col min="90" max="445" style="33" width="9.1796875" collapsed="true"/>
    <col min="89" max="89" style="33" width="9.1796875" collapsed="true" customWidth="true"/>
    <col min="88" max="88" style="33" width="9.1796875" collapsed="true" customWidth="true"/>
    <col min="87" max="87" style="33" width="9.1796875" collapsed="true" customWidth="true"/>
    <col min="86" max="86" style="33" width="9.1796875" collapsed="true" customWidth="true"/>
    <col min="85" max="85" style="33" width="9.1796875" collapsed="true" customWidth="true"/>
    <col min="84" max="84" style="33" width="9.1796875" collapsed="true" customWidth="true"/>
    <col min="83" max="83" style="33" width="9.1796875" collapsed="true" customWidth="true"/>
    <col min="82" max="82" style="33" width="9.1796875" collapsed="true" customWidth="true"/>
    <col min="81" max="81" style="33" width="9.1796875" collapsed="true" customWidth="true"/>
    <col min="80" max="80" style="33" width="9.1796875" collapsed="true" customWidth="true"/>
    <col min="79" max="79" style="33" width="9.1796875" collapsed="true" customWidth="true"/>
    <col min="78" max="78" style="33" width="9.1796875" collapsed="true" customWidth="true"/>
    <col min="77" max="77" style="33" width="9.1796875" collapsed="true" customWidth="true"/>
    <col min="76" max="76" style="33" width="9.1796875" collapsed="true" customWidth="true"/>
    <col min="75" max="75" style="33" width="9.1796875" collapsed="true" customWidth="true"/>
    <col min="74" max="74" style="33" width="9.1796875" collapsed="true" customWidth="true"/>
    <col min="73" max="73" style="33" width="9.1796875" collapsed="true" customWidth="true"/>
    <col min="72" max="72" style="33" width="9.1796875" collapsed="true" customWidth="true"/>
    <col min="71" max="71" style="33" width="9.1796875" collapsed="true" customWidth="true"/>
    <col min="70" max="70" style="33" width="9.1796875" collapsed="true" customWidth="true"/>
    <col min="69" max="69" style="33" width="9.1796875" collapsed="true" customWidth="true"/>
    <col min="68" max="68" style="33" width="9.1796875" collapsed="true" customWidth="true"/>
    <col min="67" max="67" style="33" width="9.1796875" collapsed="true" customWidth="true"/>
    <col min="66" max="66" style="33" width="9.1796875" collapsed="true" customWidth="true"/>
    <col min="65" max="65" style="33" width="9.1796875" collapsed="true" customWidth="true"/>
    <col min="64" max="64" style="33" width="9.1796875" collapsed="true" customWidth="true"/>
    <col min="63" max="63" style="33" width="9.1796875" collapsed="true" customWidth="true"/>
    <col min="62" max="62" style="33" width="9.1796875" collapsed="true" customWidth="true"/>
    <col min="61" max="61" style="33" width="9.1796875" collapsed="true" customWidth="true"/>
    <col min="60" max="60" style="33" width="9.1796875" collapsed="true" customWidth="true"/>
    <col min="59" max="59" style="33" width="17.26953125" collapsed="true" customWidth="true"/>
    <col min="58" max="58" style="33" width="17.26953125" collapsed="true" customWidth="true"/>
    <col min="57" max="57" style="33" width="17.26953125" collapsed="true" customWidth="true"/>
    <col min="45" max="45" customWidth="true" style="33" width="17.26953125" collapsed="true"/>
    <col min="44" max="44" customWidth="true" style="33" width="17.26953125" collapsed="true"/>
    <col min="42" max="42" customWidth="true" style="33" width="17.26953125" collapsed="true"/>
    <col min="1" max="1" customWidth="true" style="33" width="30.26953125" collapsed="false"/>
    <col min="2" max="2" customWidth="true" style="33" width="20.26953125" collapsed="false"/>
    <col min="3" max="3" customWidth="true" style="33" width="20.54296875" collapsed="false"/>
    <col min="4" max="4" customWidth="true" style="33" width="26.453125" collapsed="false"/>
    <col min="5" max="5" customWidth="true" style="33" width="19.7265625" collapsed="false"/>
    <col min="6" max="6" customWidth="true" style="55" width="14.81640625" collapsed="false"/>
    <col min="7" max="7" customWidth="true" style="55" width="16.54296875" collapsed="false"/>
    <col min="8" max="8" customWidth="true" style="51" width="17.453125" collapsed="false"/>
    <col min="9" max="9" customWidth="true" style="33" width="15.453125" collapsed="false"/>
    <col min="10" max="10" customWidth="true" style="51" width="15.0" collapsed="false"/>
    <col min="11" max="11" customWidth="true" style="33" width="14.0" collapsed="false"/>
    <col min="12" max="12" customWidth="true" style="55" width="15.1796875" collapsed="false"/>
    <col min="13" max="13" customWidth="true" style="55" width="12.81640625" collapsed="false"/>
    <col min="14" max="14" customWidth="true" style="55" width="13.26953125" collapsed="false"/>
    <col min="15" max="15" customWidth="true" style="33" width="11.453125" collapsed="false"/>
    <col min="16" max="16" customWidth="true" style="33" width="16.7265625" collapsed="false"/>
    <col min="17" max="17" customWidth="true" style="33" width="21.0" collapsed="false"/>
    <col min="18" max="18" customWidth="true" style="33" width="13.453125" collapsed="false"/>
    <col min="19" max="19" customWidth="true" style="56" width="15.0" collapsed="false"/>
    <col min="20" max="20" customWidth="true" style="57" width="15.0" collapsed="false"/>
    <col min="21" max="21" customWidth="true" style="33" width="15.26953125" collapsed="false"/>
    <col min="22" max="22" customWidth="true" style="94" width="17.81640625" collapsed="false"/>
    <col min="23" max="23" customWidth="true" style="94" width="11.453125" collapsed="false"/>
    <col min="24" max="25" customWidth="true" style="33" width="11.453125" collapsed="false"/>
    <col min="26" max="26" customWidth="true" style="33" width="20.0" collapsed="false"/>
    <col min="27" max="27" bestFit="true" customWidth="true" style="33" width="10.7265625" collapsed="false"/>
    <col min="28" max="28" customWidth="true" style="33" width="13.0" collapsed="false"/>
    <col min="29" max="29" customWidth="true" style="33" width="12.1796875" collapsed="false"/>
    <col min="30" max="30" customWidth="true" style="33" width="13.0" collapsed="false"/>
    <col min="31" max="31" customWidth="true" style="33" width="23.0" collapsed="false"/>
    <col min="32" max="32" customWidth="true" style="33" width="15.1796875" collapsed="false"/>
    <col min="33" max="33" customWidth="true" style="33" width="29.81640625" collapsed="false"/>
    <col min="34" max="34" customWidth="true" style="33" width="32.26953125" collapsed="false"/>
    <col min="35" max="35" customWidth="true" style="33" width="17.453125" collapsed="false"/>
    <col min="36" max="36" customWidth="true" style="94" width="37.7265625" collapsed="false"/>
    <col min="37" max="37" customWidth="true" style="33" width="36.26953125" collapsed="false"/>
    <col min="38" max="38" customWidth="true" style="33" width="20.7265625" collapsed="false"/>
    <col min="39" max="39" customWidth="true" style="51" width="13.26953125" collapsed="false"/>
    <col min="40" max="40" customWidth="true" style="33" width="17.453125" collapsed="false"/>
    <col min="41" max="41" customWidth="true" style="33" width="17.26953125" collapsed="true"/>
    <col min="43" max="43" customWidth="true" style="33" width="17.26953125" collapsed="false"/>
    <col min="46" max="46" customWidth="true" style="33" width="17.26953125" collapsed="true"/>
    <col min="47" max="47" customWidth="true" style="33" width="17.26953125" collapsed="true"/>
    <col min="48" max="48" customWidth="true" style="33" width="17.26953125" collapsed="true"/>
    <col min="49" max="49" customWidth="true" style="33" width="17.26953125" collapsed="true"/>
    <col min="50" max="50" customWidth="true" style="33" width="17.26953125" collapsed="true"/>
    <col min="51" max="51" customWidth="true" style="55" width="17.26953125" collapsed="true"/>
    <col min="52" max="52" customWidth="true" style="55" width="17.26953125" collapsed="true"/>
    <col min="53" max="53" customWidth="true" style="33" width="17.26953125" collapsed="true"/>
    <col min="54" max="54" customWidth="true" style="33" width="17.26953125" collapsed="true"/>
    <col min="55" max="55" customWidth="true" style="33" width="17.26953125" collapsed="true"/>
    <col min="56" max="56" style="33" width="17.26953125" collapsed="true" customWidth="true"/>
    <col min="446" max="496" style="33" width="9.1796875" collapsed="false"/>
    <col min="497" max="16384" style="33" width="9.1796875" collapsed="true"/>
  </cols>
  <sheetData>
    <row r="1" spans="1:57" x14ac:dyDescent="0.35">
      <c r="A1" s="96" t="s">
        <v>2395</v>
      </c>
      <c r="B1" s="51"/>
      <c r="AM1" s="33"/>
    </row>
    <row customHeight="1" ht="17.149999999999999" r="2" spans="1:57" x14ac:dyDescent="0.35">
      <c r="A2" s="51"/>
      <c r="B2" s="51"/>
      <c r="C2" s="53"/>
      <c r="D2" s="53"/>
      <c r="E2" s="51"/>
      <c r="K2" s="51"/>
      <c r="O2" s="51"/>
      <c r="P2" s="51"/>
      <c r="Q2" s="51"/>
      <c r="R2" s="51"/>
      <c r="T2" s="56"/>
      <c r="Z2" s="51"/>
      <c r="AA2" s="51"/>
      <c r="AB2" s="51"/>
      <c r="AC2" s="51"/>
      <c r="AD2" s="51"/>
      <c r="AE2" s="51"/>
      <c r="AF2" s="51"/>
      <c r="AG2" s="51"/>
      <c r="AH2" s="51"/>
      <c r="AK2" s="51"/>
      <c r="AL2" s="51"/>
      <c r="AN2" s="51"/>
      <c r="AO2" s="51"/>
      <c r="AP2" s="51"/>
      <c r="AQ2" s="51"/>
      <c r="AR2" s="51"/>
      <c r="AS2" s="51"/>
    </row>
    <row customFormat="1" r="3" s="111" spans="1:57" x14ac:dyDescent="0.35">
      <c r="A3" s="108"/>
      <c r="B3" s="108"/>
      <c r="C3" s="108"/>
      <c r="D3" s="108"/>
      <c r="E3" s="108"/>
      <c r="F3" s="112"/>
      <c r="G3" s="112"/>
      <c r="H3" s="108"/>
      <c r="I3" s="108"/>
      <c r="J3" s="108"/>
      <c r="K3" s="108"/>
      <c r="L3" s="112"/>
      <c r="M3" s="112"/>
      <c r="N3" s="112"/>
      <c r="O3" s="108"/>
      <c r="P3" s="108"/>
      <c r="Q3" s="108"/>
      <c r="R3" s="108"/>
      <c r="S3" s="113"/>
      <c r="T3" s="113"/>
      <c r="V3" s="114"/>
      <c r="W3" s="114"/>
      <c r="Z3" s="108"/>
      <c r="AA3" s="108"/>
      <c r="AB3" s="108"/>
      <c r="AC3" s="108"/>
      <c r="AD3" s="108"/>
      <c r="AE3" s="108"/>
      <c r="AF3" s="108"/>
      <c r="AG3" s="108"/>
      <c r="AH3" s="108"/>
      <c r="AJ3" s="114"/>
      <c r="AK3" s="108"/>
      <c r="AL3" s="108"/>
      <c r="AM3" s="108"/>
      <c r="AN3" s="108"/>
      <c r="AO3" s="108"/>
      <c r="AP3" s="108"/>
      <c r="AQ3" s="108"/>
      <c r="AR3" s="108"/>
      <c r="AS3" s="108"/>
      <c r="AY3" s="112"/>
      <c r="AZ3" s="112"/>
    </row>
    <row customFormat="1" customHeight="1" ht="63.75" r="4" s="111" spans="1:57" x14ac:dyDescent="0.35">
      <c r="A4" s="97" t="s">
        <v>2340</v>
      </c>
      <c r="B4" s="97" t="s">
        <v>230</v>
      </c>
      <c r="C4" s="98" t="s">
        <v>265</v>
      </c>
      <c r="D4" s="97" t="s">
        <v>1</v>
      </c>
      <c r="E4" s="98" t="s">
        <v>264</v>
      </c>
      <c r="F4" s="97" t="s">
        <v>3</v>
      </c>
      <c r="G4" s="99" t="s">
        <v>266</v>
      </c>
      <c r="H4" s="98" t="s">
        <v>2341</v>
      </c>
      <c r="I4" s="100" t="s">
        <v>267</v>
      </c>
      <c r="J4" s="100" t="s">
        <v>2343</v>
      </c>
      <c r="K4" s="98" t="s">
        <v>228</v>
      </c>
      <c r="L4" s="98" t="s">
        <v>232</v>
      </c>
      <c r="M4" s="99" t="s">
        <v>155</v>
      </c>
      <c r="N4" s="101" t="s">
        <v>240</v>
      </c>
      <c r="O4" s="102" t="s">
        <v>241</v>
      </c>
      <c r="P4" s="98" t="s">
        <v>2393</v>
      </c>
      <c r="Q4" s="98" t="s">
        <v>2394</v>
      </c>
      <c r="R4" s="98" t="s">
        <v>140</v>
      </c>
      <c r="S4" s="103" t="s">
        <v>2388</v>
      </c>
      <c r="T4" s="104" t="s">
        <v>2351</v>
      </c>
      <c r="U4" s="105" t="s">
        <v>2240</v>
      </c>
      <c r="V4" s="106" t="s">
        <v>2352</v>
      </c>
      <c r="W4" s="106" t="s">
        <v>2353</v>
      </c>
      <c r="X4" s="97" t="s">
        <v>2379</v>
      </c>
      <c r="Y4" s="97" t="s">
        <v>2385</v>
      </c>
      <c r="Z4" s="97" t="s">
        <v>2396</v>
      </c>
      <c r="AA4" s="97" t="s">
        <v>259</v>
      </c>
      <c r="AB4" s="97" t="s">
        <v>19</v>
      </c>
      <c r="AC4" s="97" t="s">
        <v>2392</v>
      </c>
      <c r="AD4" s="97" t="s">
        <v>2391</v>
      </c>
      <c r="AE4" s="97" t="s">
        <v>2390</v>
      </c>
      <c r="AF4" s="97" t="s">
        <v>2235</v>
      </c>
      <c r="AG4" s="97" t="s">
        <v>2236</v>
      </c>
      <c r="AH4" s="100" t="s">
        <v>20</v>
      </c>
      <c r="AI4" s="98" t="s">
        <v>141</v>
      </c>
      <c r="AJ4" s="107" t="s">
        <v>22</v>
      </c>
      <c r="AK4" s="100" t="s">
        <v>23</v>
      </c>
      <c r="AL4" s="97" t="s">
        <v>24</v>
      </c>
      <c r="AM4" s="98" t="s">
        <v>142</v>
      </c>
      <c r="AN4" s="98" t="s">
        <v>229</v>
      </c>
      <c r="AO4" s="98" t="s">
        <v>143</v>
      </c>
      <c r="AP4" s="100" t="s">
        <v>28</v>
      </c>
      <c r="AQ4" s="109" t="s">
        <v>2397</v>
      </c>
      <c r="AR4" s="109" t="s">
        <v>2398</v>
      </c>
      <c r="AS4" s="109" t="s">
        <v>2399</v>
      </c>
      <c r="AT4" s="109" t="s">
        <v>2400</v>
      </c>
      <c r="AU4" s="109" t="s">
        <v>2401</v>
      </c>
      <c r="AV4" s="109" t="s">
        <v>2402</v>
      </c>
      <c r="AW4" s="109" t="s">
        <v>2403</v>
      </c>
      <c r="AX4" s="109" t="s">
        <v>2404</v>
      </c>
      <c r="AY4" s="109" t="s">
        <v>2405</v>
      </c>
      <c r="AZ4" s="109" t="s">
        <v>2406</v>
      </c>
      <c r="BA4" s="109" t="s">
        <v>2407</v>
      </c>
      <c r="BB4" s="109" t="s">
        <v>2408</v>
      </c>
      <c r="BC4" s="109" t="s">
        <v>2409</v>
      </c>
      <c r="BD4" s="109" t="s">
        <v>2410</v>
      </c>
      <c r="BE4" s="109" t="s">
        <v>2411</v>
      </c>
      <c r="BF4" s="109" t="s">
        <v>2412</v>
      </c>
      <c r="BG4" s="109" t="s">
        <v>2413</v>
      </c>
      <c r="BH4" s="110" t="s">
        <v>29</v>
      </c>
      <c r="BI4" s="110" t="s">
        <v>2414</v>
      </c>
      <c r="BJ4" s="110" t="s">
        <v>31</v>
      </c>
      <c r="BK4" s="110" t="s">
        <v>2415</v>
      </c>
      <c r="BL4" s="110" t="s">
        <v>33</v>
      </c>
      <c r="BM4" s="101" t="s">
        <v>2416</v>
      </c>
      <c r="BN4" s="101" t="s">
        <v>2417</v>
      </c>
      <c r="BO4" s="110" t="s">
        <v>2345</v>
      </c>
      <c r="BP4" s="110" t="s">
        <v>2418</v>
      </c>
      <c r="BQ4" s="110" t="s">
        <v>2289</v>
      </c>
      <c r="BR4" s="110" t="s">
        <v>40</v>
      </c>
      <c r="BS4" s="110" t="s">
        <v>2419</v>
      </c>
      <c r="BT4" s="110" t="s">
        <v>42</v>
      </c>
      <c r="BU4" s="110" t="s">
        <v>2420</v>
      </c>
      <c r="BV4" s="110" t="s">
        <v>44</v>
      </c>
      <c r="BW4" s="101" t="s">
        <v>2421</v>
      </c>
      <c r="BX4" s="101" t="s">
        <v>2422</v>
      </c>
      <c r="BY4" s="110" t="s">
        <v>2423</v>
      </c>
      <c r="BZ4" s="110" t="s">
        <v>2424</v>
      </c>
      <c r="CA4" s="110" t="s">
        <v>2425</v>
      </c>
      <c r="CB4" s="110" t="s">
        <v>51</v>
      </c>
      <c r="CC4" s="110" t="s">
        <v>2426</v>
      </c>
      <c r="CD4" s="110" t="s">
        <v>53</v>
      </c>
      <c r="CE4" s="110" t="s">
        <v>2427</v>
      </c>
      <c r="CF4" s="110" t="s">
        <v>55</v>
      </c>
      <c r="CG4" s="101" t="s">
        <v>2428</v>
      </c>
      <c r="CH4" s="101" t="s">
        <v>2429</v>
      </c>
      <c r="CI4" s="110" t="s">
        <v>2430</v>
      </c>
      <c r="CJ4" s="110" t="s">
        <v>2431</v>
      </c>
      <c r="CK4" s="110" t="s">
        <v>2432</v>
      </c>
      <c r="CL4" s="0"/>
      <c r="CM4" s="0"/>
      <c r="CN4" s="0"/>
      <c r="CO4" s="0"/>
      <c r="CP4" s="0"/>
      <c r="CQ4" s="0"/>
      <c r="CR4" s="0"/>
      <c r="CS4" s="0"/>
      <c r="CT4" s="0"/>
      <c r="CU4" s="0"/>
    </row>
    <row r="5" spans="1:57" x14ac:dyDescent="0.35" ht="15.0" customHeight="true">
      <c r="A5" s="51" t="s">
        <v>2435</v>
      </c>
      <c r="B5" s="33"/>
      <c r="C5" s="33" t="s">
        <v>2436</v>
      </c>
      <c r="D5" s="33"/>
      <c r="E5" s="33" t="s">
        <v>2437</v>
      </c>
      <c r="F5" s="33"/>
      <c r="G5" s="55" t="s">
        <v>2438</v>
      </c>
      <c r="H5" s="33"/>
      <c r="I5" s="51" t="s">
        <v>2439</v>
      </c>
      <c r="J5" s="33"/>
      <c r="K5" s="51" t="s">
        <v>2440</v>
      </c>
      <c r="L5" s="33" t="s">
        <v>2441</v>
      </c>
      <c r="M5" s="55" t="s">
        <v>2442</v>
      </c>
      <c r="N5" s="55"/>
      <c r="O5" s="33"/>
      <c r="P5" s="33" t="s">
        <v>2251</v>
      </c>
      <c r="Q5" s="33"/>
      <c r="R5" s="33" t="s">
        <v>2263</v>
      </c>
      <c r="S5" s="56" t="s">
        <v>2277</v>
      </c>
      <c r="T5" s="56"/>
      <c r="U5" s="33" t="s">
        <v>2442</v>
      </c>
      <c r="V5" s="94" t="s">
        <v>2443</v>
      </c>
      <c r="W5" s="94" t="s">
        <v>2444</v>
      </c>
      <c r="X5" s="51"/>
      <c r="Y5" s="51"/>
      <c r="Z5" s="33" t="s">
        <v>2445</v>
      </c>
      <c r="AA5" s="33" t="s">
        <v>2446</v>
      </c>
      <c r="AB5" s="33"/>
      <c r="AC5" s="33" t="s">
        <v>2254</v>
      </c>
      <c r="AD5" s="33"/>
      <c r="AE5" s="33" t="s">
        <v>2267</v>
      </c>
      <c r="AF5" s="33" t="s">
        <v>2447</v>
      </c>
      <c r="AG5" s="33"/>
      <c r="AH5" s="33"/>
      <c r="AI5" s="33" t="s">
        <v>2448</v>
      </c>
      <c r="AJ5" s="94" t="s">
        <v>2449</v>
      </c>
      <c r="AK5" s="33" t="s">
        <v>2450</v>
      </c>
      <c r="AL5" s="33"/>
      <c r="AM5" s="33" t="s">
        <v>2451</v>
      </c>
      <c r="AN5" s="51" t="s">
        <v>2452</v>
      </c>
      <c r="AO5" s="51" t="s">
        <v>188</v>
      </c>
      <c r="AP5" s="33"/>
      <c r="AQ5" s="54"/>
      <c r="AR5" s="54"/>
      <c r="AS5" s="54"/>
      <c r="AT5" s="54"/>
      <c r="AU5" s="54"/>
      <c r="AV5" s="54"/>
      <c r="AW5" s="54"/>
      <c r="AX5" s="54"/>
      <c r="AY5" s="54"/>
      <c r="AZ5" s="54"/>
      <c r="BA5" s="54"/>
      <c r="BB5" s="54"/>
      <c r="BC5" s="54" t="s">
        <v>2434</v>
      </c>
      <c r="BD5" s="54"/>
      <c r="BE5" s="54"/>
      <c r="BF5" s="54"/>
      <c r="BG5" s="54"/>
      <c r="BH5" s="0"/>
      <c r="BI5" s="0"/>
      <c r="BJ5" s="0"/>
      <c r="BK5" s="0"/>
      <c r="BL5" s="0"/>
      <c r="BM5" s="0"/>
      <c r="BN5"/>
      <c r="BO5"/>
      <c r="BP5"/>
      <c r="BQ5"/>
      <c r="BR5"/>
      <c r="BS5"/>
      <c r="BT5"/>
      <c r="BU5"/>
      <c r="BV5"/>
      <c r="BW5"/>
      <c r="BX5"/>
      <c r="BY5"/>
      <c r="BZ5"/>
    </row>
    <row r="6" ht="15.0" customHeight="true">
      <c r="A6" s="51" t="s">
        <v>2435</v>
      </c>
      <c r="B6" s="33"/>
      <c r="C6" s="33" t="s">
        <v>2453</v>
      </c>
      <c r="D6" s="33"/>
      <c r="E6" s="33" t="s">
        <v>2454</v>
      </c>
      <c r="F6" s="33"/>
      <c r="G6" s="55" t="s">
        <v>2455</v>
      </c>
      <c r="H6" s="33" t="s">
        <v>2247</v>
      </c>
      <c r="I6" s="51" t="s">
        <v>2456</v>
      </c>
      <c r="J6" s="33"/>
      <c r="K6" s="51" t="s">
        <v>2457</v>
      </c>
      <c r="L6" s="33" t="s">
        <v>2458</v>
      </c>
      <c r="M6" s="55" t="s">
        <v>2459</v>
      </c>
      <c r="N6" s="55" t="s">
        <v>2459</v>
      </c>
      <c r="O6" s="33" t="s">
        <v>2276</v>
      </c>
      <c r="P6" s="33" t="s">
        <v>2262</v>
      </c>
      <c r="Q6" s="33"/>
      <c r="R6" s="33" t="s">
        <v>2263</v>
      </c>
      <c r="S6" s="56" t="s">
        <v>2277</v>
      </c>
      <c r="T6" s="56"/>
      <c r="U6" s="33" t="s">
        <v>2459</v>
      </c>
      <c r="V6" s="94" t="s">
        <v>2443</v>
      </c>
      <c r="W6" s="94" t="s">
        <v>2444</v>
      </c>
      <c r="X6" s="51"/>
      <c r="Y6" s="51"/>
      <c r="Z6" s="33" t="s">
        <v>2445</v>
      </c>
      <c r="AA6" s="33" t="s">
        <v>2446</v>
      </c>
      <c r="AB6" s="33"/>
      <c r="AC6" s="33" t="s">
        <v>2254</v>
      </c>
      <c r="AD6" s="33"/>
      <c r="AE6" s="33" t="s">
        <v>2267</v>
      </c>
      <c r="AF6" s="33" t="s">
        <v>2447</v>
      </c>
      <c r="AG6" s="33"/>
      <c r="AH6" s="33"/>
      <c r="AI6" s="33" t="s">
        <v>2460</v>
      </c>
      <c r="AJ6" s="94" t="s">
        <v>2461</v>
      </c>
      <c r="AK6" s="33" t="s">
        <v>2462</v>
      </c>
      <c r="AL6" s="33"/>
      <c r="AM6" s="33" t="s">
        <v>2463</v>
      </c>
      <c r="AN6" s="51" t="s">
        <v>2464</v>
      </c>
      <c r="AO6" s="51" t="s">
        <v>188</v>
      </c>
      <c r="AP6" s="33"/>
      <c r="AQ6" s="54"/>
      <c r="AR6" s="54"/>
      <c r="AS6" s="54"/>
      <c r="AT6" s="54"/>
      <c r="AU6" s="54"/>
      <c r="AV6" s="54"/>
      <c r="AW6" s="54"/>
      <c r="AX6" s="54"/>
      <c r="AY6" s="54"/>
      <c r="AZ6" s="54"/>
      <c r="BA6" s="54"/>
      <c r="BB6" s="54"/>
      <c r="BC6" s="54"/>
      <c r="BD6" s="54"/>
      <c r="BE6" s="54"/>
      <c r="BF6" s="54"/>
      <c r="BG6" s="54"/>
      <c r="BH6" s="0"/>
      <c r="BI6" s="0"/>
      <c r="BJ6" s="0"/>
      <c r="BK6" s="0"/>
      <c r="BL6" s="0"/>
      <c r="BM6" s="0"/>
      <c r="BN6"/>
      <c r="BO6"/>
      <c r="BP6"/>
      <c r="BQ6"/>
      <c r="BR6"/>
      <c r="BS6"/>
      <c r="BT6"/>
      <c r="BU6"/>
      <c r="BV6"/>
      <c r="BW6"/>
      <c r="BX6"/>
      <c r="BY6"/>
      <c r="BZ6"/>
    </row>
    <row r="7" ht="15.0" customHeight="true">
      <c r="A7" s="51" t="s">
        <v>2435</v>
      </c>
      <c r="B7" s="33"/>
      <c r="C7" s="33" t="s">
        <v>2465</v>
      </c>
      <c r="D7" s="33"/>
      <c r="E7" s="33" t="s">
        <v>2466</v>
      </c>
      <c r="F7" s="33"/>
      <c r="G7" s="55" t="s">
        <v>2467</v>
      </c>
      <c r="H7" s="33"/>
      <c r="I7" s="51" t="s">
        <v>2468</v>
      </c>
      <c r="J7" s="33"/>
      <c r="K7" s="51" t="s">
        <v>2469</v>
      </c>
      <c r="L7" s="33" t="s">
        <v>2441</v>
      </c>
      <c r="M7" s="55" t="s">
        <v>2459</v>
      </c>
      <c r="N7" s="55"/>
      <c r="O7" s="33"/>
      <c r="P7" s="33" t="s">
        <v>2251</v>
      </c>
      <c r="Q7" s="33"/>
      <c r="R7" s="33" t="s">
        <v>2263</v>
      </c>
      <c r="S7" s="56" t="s">
        <v>2277</v>
      </c>
      <c r="T7" s="56"/>
      <c r="U7" s="33" t="s">
        <v>2459</v>
      </c>
      <c r="V7" s="94" t="s">
        <v>2443</v>
      </c>
      <c r="W7" s="94" t="s">
        <v>2444</v>
      </c>
      <c r="X7" s="51"/>
      <c r="Y7" s="51"/>
      <c r="Z7" s="33" t="s">
        <v>2445</v>
      </c>
      <c r="AA7" s="33" t="s">
        <v>2446</v>
      </c>
      <c r="AB7" s="33"/>
      <c r="AC7" s="33" t="s">
        <v>2254</v>
      </c>
      <c r="AD7" s="33"/>
      <c r="AE7" s="33" t="s">
        <v>2267</v>
      </c>
      <c r="AF7" s="33" t="s">
        <v>2447</v>
      </c>
      <c r="AG7" s="33"/>
      <c r="AH7" s="33"/>
      <c r="AI7" s="33" t="s">
        <v>2470</v>
      </c>
      <c r="AJ7" s="94" t="s">
        <v>2471</v>
      </c>
      <c r="AK7" s="33" t="s">
        <v>2472</v>
      </c>
      <c r="AL7" s="33"/>
      <c r="AM7" s="33" t="s">
        <v>2473</v>
      </c>
      <c r="AN7" s="51" t="s">
        <v>2474</v>
      </c>
      <c r="AO7" s="51" t="s">
        <v>188</v>
      </c>
      <c r="AP7" s="33"/>
      <c r="AQ7" s="54"/>
      <c r="AR7" s="54"/>
      <c r="AS7" s="54"/>
      <c r="AT7" s="54"/>
      <c r="AU7" s="54"/>
      <c r="AV7" s="54"/>
      <c r="AW7" s="54"/>
      <c r="AX7" s="54"/>
      <c r="AY7" s="54"/>
      <c r="AZ7" s="54"/>
      <c r="BA7" s="54"/>
      <c r="BB7" s="54"/>
      <c r="BC7" s="54" t="s">
        <v>2434</v>
      </c>
      <c r="BD7" s="54"/>
      <c r="BE7" s="54"/>
      <c r="BF7" s="54"/>
      <c r="BG7" s="54"/>
      <c r="BH7" s="0"/>
      <c r="BI7" s="0"/>
      <c r="BJ7" s="0"/>
      <c r="BK7" s="0"/>
      <c r="BL7" s="0"/>
      <c r="BM7" s="0"/>
      <c r="BN7"/>
      <c r="BO7"/>
      <c r="BP7"/>
      <c r="BQ7"/>
      <c r="BR7"/>
      <c r="BS7"/>
      <c r="BT7"/>
      <c r="BU7"/>
      <c r="BV7"/>
      <c r="BW7"/>
      <c r="BX7"/>
      <c r="BY7"/>
      <c r="BZ7"/>
    </row>
    <row r="8" ht="15.0" customHeight="true">
      <c r="A8" s="51" t="s">
        <v>2435</v>
      </c>
      <c r="B8" s="33"/>
      <c r="C8" s="33" t="s">
        <v>2475</v>
      </c>
      <c r="D8" s="33"/>
      <c r="E8" s="33" t="s">
        <v>2476</v>
      </c>
      <c r="F8" s="33"/>
      <c r="G8" s="55" t="s">
        <v>2477</v>
      </c>
      <c r="H8" s="33"/>
      <c r="I8" s="51" t="s">
        <v>2478</v>
      </c>
      <c r="J8" s="33"/>
      <c r="K8" s="51" t="s">
        <v>2479</v>
      </c>
      <c r="L8" s="33" t="s">
        <v>2441</v>
      </c>
      <c r="M8" s="55" t="s">
        <v>2480</v>
      </c>
      <c r="N8" s="55"/>
      <c r="O8" s="33"/>
      <c r="P8" s="33" t="s">
        <v>2251</v>
      </c>
      <c r="Q8" s="33"/>
      <c r="R8" s="33" t="s">
        <v>2263</v>
      </c>
      <c r="S8" s="56" t="s">
        <v>2277</v>
      </c>
      <c r="T8" s="56"/>
      <c r="U8" s="33" t="s">
        <v>2480</v>
      </c>
      <c r="V8" s="94" t="s">
        <v>2443</v>
      </c>
      <c r="W8" s="94" t="s">
        <v>2481</v>
      </c>
      <c r="X8" s="51"/>
      <c r="Y8" s="51"/>
      <c r="Z8" s="33" t="s">
        <v>2445</v>
      </c>
      <c r="AA8" s="33" t="s">
        <v>2482</v>
      </c>
      <c r="AB8" s="33"/>
      <c r="AC8" s="33" t="s">
        <v>2254</v>
      </c>
      <c r="AD8" s="33"/>
      <c r="AE8" s="33" t="s">
        <v>2267</v>
      </c>
      <c r="AF8" s="33" t="s">
        <v>2447</v>
      </c>
      <c r="AG8" s="33"/>
      <c r="AH8" s="33"/>
      <c r="AI8" s="33" t="s">
        <v>2483</v>
      </c>
      <c r="AJ8" s="94" t="s">
        <v>2484</v>
      </c>
      <c r="AK8" s="33" t="s">
        <v>2485</v>
      </c>
      <c r="AL8" s="33"/>
      <c r="AM8" s="33" t="s">
        <v>2486</v>
      </c>
      <c r="AN8" s="51" t="s">
        <v>2487</v>
      </c>
      <c r="AO8" s="51" t="s">
        <v>188</v>
      </c>
      <c r="AP8" s="33"/>
      <c r="AQ8" s="54"/>
      <c r="AR8" s="54"/>
      <c r="AS8" s="54"/>
      <c r="AT8" s="54"/>
      <c r="AU8" s="54"/>
      <c r="AV8" s="54"/>
      <c r="AW8" s="54"/>
      <c r="AX8" s="54"/>
      <c r="AY8" s="54"/>
      <c r="AZ8" s="54"/>
      <c r="BA8" s="54"/>
      <c r="BB8" s="54"/>
      <c r="BC8" s="54" t="s">
        <v>2434</v>
      </c>
      <c r="BD8" s="54"/>
      <c r="BE8" s="54"/>
      <c r="BF8" s="54"/>
      <c r="BG8" s="54"/>
      <c r="BH8" s="0"/>
      <c r="BI8" s="0"/>
      <c r="BJ8" s="0"/>
      <c r="BK8" s="0"/>
      <c r="BL8" s="0"/>
      <c r="BM8" s="0"/>
      <c r="BN8"/>
      <c r="BO8"/>
      <c r="BP8"/>
      <c r="BQ8"/>
      <c r="BR8"/>
      <c r="BS8"/>
      <c r="BT8"/>
      <c r="BU8"/>
      <c r="BV8"/>
      <c r="BW8"/>
      <c r="BX8"/>
      <c r="BY8"/>
      <c r="BZ8"/>
    </row>
    <row r="9" ht="15.0" customHeight="true">
      <c r="A9" s="51" t="s">
        <v>2435</v>
      </c>
      <c r="B9" s="33"/>
      <c r="C9" s="33" t="s">
        <v>2488</v>
      </c>
      <c r="D9" s="33"/>
      <c r="E9" s="33" t="s">
        <v>2489</v>
      </c>
      <c r="F9" s="33"/>
      <c r="G9" s="55" t="s">
        <v>2490</v>
      </c>
      <c r="H9" s="33"/>
      <c r="I9" s="51" t="s">
        <v>2491</v>
      </c>
      <c r="J9" s="33"/>
      <c r="K9" s="51" t="s">
        <v>2492</v>
      </c>
      <c r="L9" s="33" t="s">
        <v>2441</v>
      </c>
      <c r="M9" s="55" t="s">
        <v>2493</v>
      </c>
      <c r="N9" s="55"/>
      <c r="O9" s="33"/>
      <c r="P9" s="33" t="s">
        <v>2251</v>
      </c>
      <c r="Q9" s="33"/>
      <c r="R9" s="33" t="s">
        <v>2263</v>
      </c>
      <c r="S9" s="56" t="s">
        <v>2277</v>
      </c>
      <c r="T9" s="56"/>
      <c r="U9" s="33" t="s">
        <v>2493</v>
      </c>
      <c r="V9" s="94" t="s">
        <v>2443</v>
      </c>
      <c r="W9" s="94" t="s">
        <v>2494</v>
      </c>
      <c r="X9" s="51"/>
      <c r="Y9" s="51"/>
      <c r="Z9" s="33" t="s">
        <v>2445</v>
      </c>
      <c r="AA9" s="33" t="s">
        <v>2495</v>
      </c>
      <c r="AB9" s="33"/>
      <c r="AC9" s="33" t="s">
        <v>2254</v>
      </c>
      <c r="AD9" s="33"/>
      <c r="AE9" s="33" t="s">
        <v>2267</v>
      </c>
      <c r="AF9" s="33" t="s">
        <v>2447</v>
      </c>
      <c r="AG9" s="33"/>
      <c r="AH9" s="33"/>
      <c r="AI9" s="33" t="s">
        <v>2496</v>
      </c>
      <c r="AJ9" s="94" t="s">
        <v>2497</v>
      </c>
      <c r="AK9" s="33" t="s">
        <v>2498</v>
      </c>
      <c r="AL9" s="33"/>
      <c r="AM9" s="33" t="s">
        <v>2499</v>
      </c>
      <c r="AN9" s="51" t="s">
        <v>2500</v>
      </c>
      <c r="AO9" s="51" t="s">
        <v>188</v>
      </c>
      <c r="AP9" s="33"/>
      <c r="AQ9" s="54"/>
      <c r="AR9" s="54"/>
      <c r="AS9" s="54"/>
      <c r="AT9" s="54"/>
      <c r="AU9" s="54"/>
      <c r="AV9" s="54"/>
      <c r="AW9" s="54"/>
      <c r="AX9" s="54"/>
      <c r="AY9" s="54"/>
      <c r="AZ9" s="54"/>
      <c r="BA9" s="54"/>
      <c r="BB9" s="54"/>
      <c r="BC9" s="54" t="s">
        <v>2434</v>
      </c>
      <c r="BD9" s="54"/>
      <c r="BE9" s="54"/>
      <c r="BF9" s="54"/>
      <c r="BG9" s="54"/>
      <c r="BH9" s="0"/>
      <c r="BI9" s="0"/>
      <c r="BJ9" s="0"/>
      <c r="BK9" s="0"/>
      <c r="BL9" s="0"/>
      <c r="BM9" s="0"/>
      <c r="BN9"/>
      <c r="BO9"/>
      <c r="BP9"/>
      <c r="BQ9"/>
      <c r="BR9"/>
      <c r="BS9"/>
      <c r="BT9"/>
      <c r="BU9"/>
      <c r="BV9"/>
      <c r="BW9"/>
      <c r="BX9"/>
      <c r="BY9"/>
      <c r="BZ9"/>
    </row>
    <row r="10" ht="15.0" customHeight="true">
      <c r="A10" s="51" t="s">
        <v>2435</v>
      </c>
      <c r="B10" s="33"/>
      <c r="C10" s="33" t="s">
        <v>2501</v>
      </c>
      <c r="D10" s="33"/>
      <c r="E10" s="33" t="s">
        <v>2502</v>
      </c>
      <c r="F10" s="33"/>
      <c r="G10" s="55" t="s">
        <v>2503</v>
      </c>
      <c r="H10" s="33"/>
      <c r="I10" s="51" t="s">
        <v>2504</v>
      </c>
      <c r="J10" s="33"/>
      <c r="K10" s="51" t="s">
        <v>2505</v>
      </c>
      <c r="L10" s="33" t="s">
        <v>2441</v>
      </c>
      <c r="M10" s="55" t="s">
        <v>2459</v>
      </c>
      <c r="N10" s="55"/>
      <c r="O10" s="33"/>
      <c r="P10" s="33" t="s">
        <v>2251</v>
      </c>
      <c r="Q10" s="33"/>
      <c r="R10" s="33" t="s">
        <v>2263</v>
      </c>
      <c r="S10" s="56" t="s">
        <v>2277</v>
      </c>
      <c r="T10" s="56"/>
      <c r="U10" s="33" t="s">
        <v>2459</v>
      </c>
      <c r="V10" s="94" t="s">
        <v>2443</v>
      </c>
      <c r="W10" s="94" t="s">
        <v>2444</v>
      </c>
      <c r="X10" s="51"/>
      <c r="Y10" s="51"/>
      <c r="Z10" s="33" t="s">
        <v>2445</v>
      </c>
      <c r="AA10" s="33" t="s">
        <v>2446</v>
      </c>
      <c r="AB10" s="33"/>
      <c r="AC10" s="33" t="s">
        <v>2254</v>
      </c>
      <c r="AD10" s="33"/>
      <c r="AE10" s="33" t="s">
        <v>2267</v>
      </c>
      <c r="AF10" s="33" t="s">
        <v>2447</v>
      </c>
      <c r="AG10" s="33"/>
      <c r="AH10" s="33"/>
      <c r="AI10" s="33" t="s">
        <v>2506</v>
      </c>
      <c r="AJ10" s="94" t="s">
        <v>2507</v>
      </c>
      <c r="AK10" s="33" t="s">
        <v>2508</v>
      </c>
      <c r="AL10" s="33"/>
      <c r="AM10" s="33" t="s">
        <v>2509</v>
      </c>
      <c r="AN10" s="51" t="s">
        <v>2510</v>
      </c>
      <c r="AO10" s="51" t="s">
        <v>188</v>
      </c>
      <c r="AP10" s="33"/>
      <c r="AQ10" s="54"/>
      <c r="AR10" s="54"/>
      <c r="AS10" s="54"/>
      <c r="AT10" s="54"/>
      <c r="AU10" s="54"/>
      <c r="AV10" s="54"/>
      <c r="AW10" s="54"/>
      <c r="AX10" s="54"/>
      <c r="AY10" s="54"/>
      <c r="AZ10" s="54"/>
      <c r="BA10" s="54"/>
      <c r="BB10" s="54"/>
      <c r="BC10" s="54" t="s">
        <v>2434</v>
      </c>
      <c r="BD10" s="54"/>
      <c r="BE10" s="54"/>
      <c r="BF10" s="54"/>
      <c r="BG10" s="54"/>
      <c r="BH10" s="0"/>
      <c r="BI10" s="0"/>
      <c r="BJ10" s="0"/>
      <c r="BK10" s="0"/>
      <c r="BL10" s="0"/>
      <c r="BM10" s="0"/>
      <c r="BN10"/>
      <c r="BO10"/>
      <c r="BP10"/>
      <c r="BQ10"/>
      <c r="BR10"/>
      <c r="BS10"/>
      <c r="BT10"/>
      <c r="BU10"/>
      <c r="BV10"/>
      <c r="BW10"/>
      <c r="BX10"/>
      <c r="BY10"/>
      <c r="BZ10"/>
    </row>
    <row r="11" ht="15.0" customHeight="true">
      <c r="A11" s="51" t="s">
        <v>2435</v>
      </c>
      <c r="B11" s="33"/>
      <c r="C11" s="33" t="s">
        <v>2511</v>
      </c>
      <c r="D11" s="33"/>
      <c r="E11" s="33" t="s">
        <v>2512</v>
      </c>
      <c r="F11" s="33"/>
      <c r="G11" s="55" t="s">
        <v>2513</v>
      </c>
      <c r="H11" s="33"/>
      <c r="I11" s="51" t="s">
        <v>2514</v>
      </c>
      <c r="J11" s="33"/>
      <c r="K11" s="51" t="s">
        <v>2515</v>
      </c>
      <c r="L11" s="33" t="s">
        <v>2441</v>
      </c>
      <c r="M11" s="55" t="s">
        <v>2516</v>
      </c>
      <c r="N11" s="55"/>
      <c r="O11" s="33"/>
      <c r="P11" s="33" t="s">
        <v>2251</v>
      </c>
      <c r="Q11" s="33"/>
      <c r="R11" s="33" t="s">
        <v>2263</v>
      </c>
      <c r="S11" s="56" t="s">
        <v>2277</v>
      </c>
      <c r="T11" s="56"/>
      <c r="U11" s="33" t="s">
        <v>2516</v>
      </c>
      <c r="V11" s="94" t="s">
        <v>2443</v>
      </c>
      <c r="W11" s="94" t="s">
        <v>2517</v>
      </c>
      <c r="X11" s="51"/>
      <c r="Y11" s="51"/>
      <c r="Z11" s="33" t="s">
        <v>2445</v>
      </c>
      <c r="AA11" s="33" t="s">
        <v>2482</v>
      </c>
      <c r="AB11" s="33"/>
      <c r="AC11" s="33" t="s">
        <v>2254</v>
      </c>
      <c r="AD11" s="33"/>
      <c r="AE11" s="33" t="s">
        <v>2267</v>
      </c>
      <c r="AF11" s="33" t="s">
        <v>2447</v>
      </c>
      <c r="AG11" s="33"/>
      <c r="AH11" s="33"/>
      <c r="AI11" s="33" t="s">
        <v>2518</v>
      </c>
      <c r="AJ11" s="94" t="s">
        <v>2519</v>
      </c>
      <c r="AK11" s="33" t="s">
        <v>2520</v>
      </c>
      <c r="AL11" s="33"/>
      <c r="AM11" s="33" t="s">
        <v>2509</v>
      </c>
      <c r="AN11" s="51" t="s">
        <v>2510</v>
      </c>
      <c r="AO11" s="51" t="s">
        <v>188</v>
      </c>
      <c r="AP11" s="33"/>
      <c r="AQ11" s="54"/>
      <c r="AR11" s="54"/>
      <c r="AS11" s="54"/>
      <c r="AT11" s="54"/>
      <c r="AU11" s="54"/>
      <c r="AV11" s="54"/>
      <c r="AW11" s="54"/>
      <c r="AX11" s="54"/>
      <c r="AY11" s="54"/>
      <c r="AZ11" s="54"/>
      <c r="BA11" s="54"/>
      <c r="BB11" s="54"/>
      <c r="BC11" s="54" t="s">
        <v>2434</v>
      </c>
      <c r="BD11" s="54"/>
      <c r="BE11" s="54"/>
      <c r="BF11" s="54"/>
      <c r="BG11" s="54"/>
      <c r="BH11" s="0"/>
      <c r="BI11" s="0"/>
      <c r="BJ11" s="0"/>
      <c r="BK11" s="0"/>
      <c r="BL11" s="0"/>
      <c r="BM11" s="0"/>
      <c r="BN11"/>
      <c r="BO11"/>
      <c r="BP11"/>
      <c r="BQ11"/>
      <c r="BR11"/>
      <c r="BS11"/>
      <c r="BT11"/>
      <c r="BU11"/>
      <c r="BV11"/>
      <c r="BW11"/>
      <c r="BX11"/>
      <c r="BY11"/>
      <c r="BZ11"/>
    </row>
    <row r="12" ht="15.0" customHeight="true">
      <c r="A12" s="51" t="s">
        <v>2435</v>
      </c>
      <c r="B12" s="33"/>
      <c r="C12" s="33" t="s">
        <v>2521</v>
      </c>
      <c r="D12" s="33"/>
      <c r="E12" s="33" t="s">
        <v>2522</v>
      </c>
      <c r="F12" s="33"/>
      <c r="G12" s="55" t="s">
        <v>2523</v>
      </c>
      <c r="H12" s="33"/>
      <c r="I12" s="51" t="s">
        <v>2524</v>
      </c>
      <c r="J12" s="33"/>
      <c r="K12" s="51" t="s">
        <v>2525</v>
      </c>
      <c r="L12" s="33" t="s">
        <v>2441</v>
      </c>
      <c r="M12" s="55" t="s">
        <v>2526</v>
      </c>
      <c r="N12" s="55"/>
      <c r="O12" s="33"/>
      <c r="P12" s="33" t="s">
        <v>2262</v>
      </c>
      <c r="Q12" s="33"/>
      <c r="R12" s="33" t="s">
        <v>2263</v>
      </c>
      <c r="S12" s="56" t="s">
        <v>2277</v>
      </c>
      <c r="T12" s="56"/>
      <c r="U12" s="33" t="s">
        <v>2526</v>
      </c>
      <c r="V12" s="94" t="s">
        <v>2443</v>
      </c>
      <c r="W12" s="94" t="s">
        <v>2444</v>
      </c>
      <c r="X12" s="51"/>
      <c r="Y12" s="51"/>
      <c r="Z12" s="33" t="s">
        <v>2445</v>
      </c>
      <c r="AA12" s="33" t="s">
        <v>2446</v>
      </c>
      <c r="AB12" s="33"/>
      <c r="AC12" s="33" t="s">
        <v>2254</v>
      </c>
      <c r="AD12" s="33"/>
      <c r="AE12" s="33" t="s">
        <v>2267</v>
      </c>
      <c r="AF12" s="33" t="s">
        <v>2447</v>
      </c>
      <c r="AG12" s="33"/>
      <c r="AH12" s="33"/>
      <c r="AI12" s="33" t="s">
        <v>2527</v>
      </c>
      <c r="AJ12" s="94" t="s">
        <v>2528</v>
      </c>
      <c r="AK12" s="33" t="s">
        <v>2529</v>
      </c>
      <c r="AL12" s="33"/>
      <c r="AM12" s="33" t="s">
        <v>2530</v>
      </c>
      <c r="AN12" s="51" t="s">
        <v>2531</v>
      </c>
      <c r="AO12" s="51" t="s">
        <v>188</v>
      </c>
      <c r="AP12" s="33"/>
      <c r="AQ12" s="54"/>
      <c r="AR12" s="54"/>
      <c r="AS12" s="54"/>
      <c r="AT12" s="54"/>
      <c r="AU12" s="54"/>
      <c r="AV12" s="54"/>
      <c r="AW12" s="54"/>
      <c r="AX12" s="54"/>
      <c r="AY12" s="54"/>
      <c r="AZ12" s="54"/>
      <c r="BA12" s="54"/>
      <c r="BB12" s="54"/>
      <c r="BC12" s="54" t="s">
        <v>2434</v>
      </c>
      <c r="BD12" s="54"/>
      <c r="BE12" s="54"/>
      <c r="BF12" s="54"/>
      <c r="BG12" s="54"/>
      <c r="BH12" s="0"/>
      <c r="BI12" s="0"/>
      <c r="BJ12" s="0"/>
      <c r="BK12" s="0"/>
      <c r="BL12" s="0"/>
      <c r="BM12" s="0"/>
      <c r="BN12"/>
      <c r="BO12"/>
      <c r="BP12"/>
      <c r="BQ12"/>
      <c r="BR12"/>
      <c r="BS12"/>
      <c r="BT12"/>
      <c r="BU12"/>
      <c r="BV12"/>
      <c r="BW12"/>
      <c r="BX12"/>
      <c r="BY12"/>
      <c r="BZ12"/>
    </row>
    <row r="13" ht="15.0" customHeight="true">
      <c r="A13" s="51" t="s">
        <v>2435</v>
      </c>
      <c r="B13" s="33"/>
      <c r="C13" s="33" t="s">
        <v>2532</v>
      </c>
      <c r="D13" s="33"/>
      <c r="E13" s="33" t="s">
        <v>2533</v>
      </c>
      <c r="F13" s="33"/>
      <c r="G13" s="55" t="s">
        <v>2534</v>
      </c>
      <c r="H13" s="33"/>
      <c r="I13" s="51" t="s">
        <v>2535</v>
      </c>
      <c r="J13" s="33"/>
      <c r="K13" s="51" t="s">
        <v>2536</v>
      </c>
      <c r="L13" s="33" t="s">
        <v>2441</v>
      </c>
      <c r="M13" s="55" t="s">
        <v>2526</v>
      </c>
      <c r="N13" s="55"/>
      <c r="O13" s="33"/>
      <c r="P13" s="33" t="s">
        <v>2262</v>
      </c>
      <c r="Q13" s="33"/>
      <c r="R13" s="33" t="s">
        <v>2263</v>
      </c>
      <c r="S13" s="56" t="s">
        <v>2277</v>
      </c>
      <c r="T13" s="56"/>
      <c r="U13" s="33" t="s">
        <v>2526</v>
      </c>
      <c r="V13" s="94" t="s">
        <v>2443</v>
      </c>
      <c r="W13" s="94" t="s">
        <v>2444</v>
      </c>
      <c r="X13" s="51"/>
      <c r="Y13" s="51"/>
      <c r="Z13" s="33" t="s">
        <v>2445</v>
      </c>
      <c r="AA13" s="33" t="s">
        <v>2446</v>
      </c>
      <c r="AB13" s="33"/>
      <c r="AC13" s="33" t="s">
        <v>2254</v>
      </c>
      <c r="AD13" s="33"/>
      <c r="AE13" s="33" t="s">
        <v>2267</v>
      </c>
      <c r="AF13" s="33" t="s">
        <v>2447</v>
      </c>
      <c r="AG13" s="33"/>
      <c r="AH13" s="33"/>
      <c r="AI13" s="33" t="s">
        <v>2537</v>
      </c>
      <c r="AJ13" s="94" t="s">
        <v>2538</v>
      </c>
      <c r="AK13" s="33" t="s">
        <v>2539</v>
      </c>
      <c r="AL13" s="33"/>
      <c r="AM13" s="33" t="s">
        <v>2530</v>
      </c>
      <c r="AN13" s="51" t="s">
        <v>2531</v>
      </c>
      <c r="AO13" s="51" t="s">
        <v>188</v>
      </c>
      <c r="AP13" s="33"/>
      <c r="AQ13" s="54"/>
      <c r="AR13" s="54"/>
      <c r="AS13" s="54"/>
      <c r="AT13" s="54"/>
      <c r="AU13" s="54"/>
      <c r="AV13" s="54"/>
      <c r="AW13" s="54"/>
      <c r="AX13" s="54"/>
      <c r="AY13" s="54"/>
      <c r="AZ13" s="54"/>
      <c r="BA13" s="54"/>
      <c r="BB13" s="54"/>
      <c r="BC13" s="54" t="s">
        <v>2434</v>
      </c>
      <c r="BD13" s="54"/>
      <c r="BE13" s="54"/>
      <c r="BF13" s="54"/>
      <c r="BG13" s="54"/>
      <c r="BH13" s="0"/>
      <c r="BI13" s="0"/>
      <c r="BJ13" s="0"/>
      <c r="BK13" s="0"/>
      <c r="BL13" s="0"/>
      <c r="BM13" s="0"/>
      <c r="BN13"/>
      <c r="BO13"/>
      <c r="BP13"/>
      <c r="BQ13"/>
      <c r="BR13"/>
      <c r="BS13"/>
      <c r="BT13"/>
      <c r="BU13"/>
      <c r="BV13"/>
      <c r="BW13"/>
      <c r="BX13"/>
      <c r="BY13"/>
      <c r="BZ13"/>
    </row>
    <row r="14" ht="15.0" customHeight="true">
      <c r="A14" s="51" t="s">
        <v>2435</v>
      </c>
      <c r="B14" s="33"/>
      <c r="C14" s="33" t="s">
        <v>2540</v>
      </c>
      <c r="D14" s="33"/>
      <c r="E14" s="33" t="s">
        <v>2541</v>
      </c>
      <c r="F14" s="33"/>
      <c r="G14" s="55" t="s">
        <v>2542</v>
      </c>
      <c r="H14" s="33"/>
      <c r="I14" s="51" t="s">
        <v>2543</v>
      </c>
      <c r="J14" s="33"/>
      <c r="K14" s="51" t="s">
        <v>2544</v>
      </c>
      <c r="L14" s="33" t="s">
        <v>2441</v>
      </c>
      <c r="M14" s="55" t="s">
        <v>2545</v>
      </c>
      <c r="N14" s="55"/>
      <c r="O14" s="33"/>
      <c r="P14" s="33" t="s">
        <v>2262</v>
      </c>
      <c r="Q14" s="33"/>
      <c r="R14" s="33" t="s">
        <v>2263</v>
      </c>
      <c r="S14" s="56" t="s">
        <v>2277</v>
      </c>
      <c r="T14" s="56"/>
      <c r="U14" s="33" t="s">
        <v>2545</v>
      </c>
      <c r="V14" s="94" t="s">
        <v>2443</v>
      </c>
      <c r="W14" s="94" t="s">
        <v>2444</v>
      </c>
      <c r="X14" s="51"/>
      <c r="Y14" s="51"/>
      <c r="Z14" s="33" t="s">
        <v>2445</v>
      </c>
      <c r="AA14" s="33" t="s">
        <v>2446</v>
      </c>
      <c r="AB14" s="33"/>
      <c r="AC14" s="33" t="s">
        <v>2254</v>
      </c>
      <c r="AD14" s="33"/>
      <c r="AE14" s="33" t="s">
        <v>2267</v>
      </c>
      <c r="AF14" s="33" t="s">
        <v>2447</v>
      </c>
      <c r="AG14" s="33"/>
      <c r="AH14" s="33"/>
      <c r="AI14" s="33" t="s">
        <v>2546</v>
      </c>
      <c r="AJ14" s="94" t="s">
        <v>2547</v>
      </c>
      <c r="AK14" s="33" t="s">
        <v>2548</v>
      </c>
      <c r="AL14" s="33"/>
      <c r="AM14" s="33" t="s">
        <v>2549</v>
      </c>
      <c r="AN14" s="51" t="s">
        <v>2550</v>
      </c>
      <c r="AO14" s="51" t="s">
        <v>188</v>
      </c>
      <c r="AP14" s="33"/>
      <c r="AQ14" s="54"/>
      <c r="AR14" s="54"/>
      <c r="AS14" s="54"/>
      <c r="AT14" s="54"/>
      <c r="AU14" s="54"/>
      <c r="AV14" s="54"/>
      <c r="AW14" s="54"/>
      <c r="AX14" s="54"/>
      <c r="AY14" s="54"/>
      <c r="AZ14" s="54"/>
      <c r="BA14" s="54"/>
      <c r="BB14" s="54"/>
      <c r="BC14" s="54" t="s">
        <v>2434</v>
      </c>
      <c r="BD14" s="54"/>
      <c r="BE14" s="54"/>
      <c r="BF14" s="54"/>
      <c r="BG14" s="54"/>
      <c r="BH14" s="0"/>
      <c r="BI14" s="0"/>
      <c r="BJ14" s="0"/>
      <c r="BK14" s="0"/>
      <c r="BL14" s="0"/>
      <c r="BM14" s="0"/>
      <c r="BN14"/>
      <c r="BO14"/>
      <c r="BP14"/>
      <c r="BQ14"/>
      <c r="BR14"/>
      <c r="BS14"/>
      <c r="BT14"/>
      <c r="BU14"/>
      <c r="BV14"/>
      <c r="BW14"/>
      <c r="BX14"/>
      <c r="BY14"/>
      <c r="BZ14"/>
    </row>
    <row r="15" ht="15.0" customHeight="true">
      <c r="A15" s="51" t="s">
        <v>2435</v>
      </c>
      <c r="B15" s="33"/>
      <c r="C15" s="33" t="s">
        <v>2551</v>
      </c>
      <c r="D15" s="33"/>
      <c r="E15" s="33" t="s">
        <v>2552</v>
      </c>
      <c r="F15" s="33"/>
      <c r="G15" s="55" t="s">
        <v>2553</v>
      </c>
      <c r="H15" s="33"/>
      <c r="I15" s="51" t="s">
        <v>2554</v>
      </c>
      <c r="J15" s="33"/>
      <c r="K15" s="51" t="s">
        <v>2555</v>
      </c>
      <c r="L15" s="33" t="s">
        <v>2441</v>
      </c>
      <c r="M15" s="55" t="s">
        <v>2556</v>
      </c>
      <c r="N15" s="55"/>
      <c r="O15" s="33"/>
      <c r="P15" s="33" t="s">
        <v>2251</v>
      </c>
      <c r="Q15" s="33"/>
      <c r="R15" s="33" t="s">
        <v>2263</v>
      </c>
      <c r="S15" s="56" t="s">
        <v>2277</v>
      </c>
      <c r="T15" s="56"/>
      <c r="U15" s="33" t="s">
        <v>2556</v>
      </c>
      <c r="V15" s="94" t="s">
        <v>2443</v>
      </c>
      <c r="W15" s="94" t="s">
        <v>2557</v>
      </c>
      <c r="X15" s="51"/>
      <c r="Y15" s="51"/>
      <c r="Z15" s="33" t="s">
        <v>2445</v>
      </c>
      <c r="AA15" s="33" t="s">
        <v>2482</v>
      </c>
      <c r="AB15" s="33"/>
      <c r="AC15" s="33" t="s">
        <v>2254</v>
      </c>
      <c r="AD15" s="33"/>
      <c r="AE15" s="33" t="s">
        <v>2267</v>
      </c>
      <c r="AF15" s="33" t="s">
        <v>2447</v>
      </c>
      <c r="AG15" s="33"/>
      <c r="AH15" s="33"/>
      <c r="AI15" s="33" t="s">
        <v>2558</v>
      </c>
      <c r="AJ15" s="94" t="s">
        <v>2559</v>
      </c>
      <c r="AK15" s="33" t="s">
        <v>2560</v>
      </c>
      <c r="AL15" s="33"/>
      <c r="AM15" s="33" t="s">
        <v>2561</v>
      </c>
      <c r="AN15" s="51" t="s">
        <v>2562</v>
      </c>
      <c r="AO15" s="51" t="s">
        <v>188</v>
      </c>
      <c r="AP15" s="33"/>
      <c r="AQ15" s="54"/>
      <c r="AR15" s="54"/>
      <c r="AS15" s="54"/>
      <c r="AT15" s="54"/>
      <c r="AU15" s="54"/>
      <c r="AV15" s="54"/>
      <c r="AW15" s="54"/>
      <c r="AX15" s="54"/>
      <c r="AY15" s="54"/>
      <c r="AZ15" s="54"/>
      <c r="BA15" s="54"/>
      <c r="BB15" s="54"/>
      <c r="BC15" s="54" t="s">
        <v>2434</v>
      </c>
      <c r="BD15" s="54"/>
      <c r="BE15" s="54"/>
      <c r="BF15" s="54"/>
      <c r="BG15" s="54"/>
      <c r="BH15" s="0"/>
      <c r="BI15" s="0"/>
      <c r="BJ15" s="0"/>
      <c r="BK15" s="0"/>
      <c r="BL15" s="0"/>
      <c r="BM15" s="0"/>
      <c r="BN15"/>
      <c r="BO15"/>
      <c r="BP15"/>
      <c r="BQ15"/>
      <c r="BR15"/>
      <c r="BS15"/>
      <c r="BT15"/>
      <c r="BU15"/>
      <c r="BV15"/>
      <c r="BW15"/>
      <c r="BX15"/>
      <c r="BY15"/>
      <c r="BZ15"/>
    </row>
    <row r="16" ht="15.0" customHeight="true">
      <c r="A16" s="51" t="s">
        <v>2435</v>
      </c>
      <c r="B16" s="33"/>
      <c r="C16" s="33" t="s">
        <v>2563</v>
      </c>
      <c r="D16" s="33"/>
      <c r="E16" s="33" t="s">
        <v>2564</v>
      </c>
      <c r="F16" s="33"/>
      <c r="G16" s="55" t="s">
        <v>2565</v>
      </c>
      <c r="H16" s="33"/>
      <c r="I16" s="51" t="s">
        <v>2566</v>
      </c>
      <c r="J16" s="33"/>
      <c r="K16" s="51" t="s">
        <v>2567</v>
      </c>
      <c r="L16" s="33" t="s">
        <v>2441</v>
      </c>
      <c r="M16" s="55" t="s">
        <v>2568</v>
      </c>
      <c r="N16" s="55"/>
      <c r="O16" s="33"/>
      <c r="P16" s="33" t="s">
        <v>2251</v>
      </c>
      <c r="Q16" s="33"/>
      <c r="R16" s="33" t="s">
        <v>2263</v>
      </c>
      <c r="S16" s="56" t="s">
        <v>2277</v>
      </c>
      <c r="T16" s="56"/>
      <c r="U16" s="33" t="s">
        <v>2568</v>
      </c>
      <c r="V16" s="94" t="s">
        <v>2443</v>
      </c>
      <c r="W16" s="94" t="s">
        <v>2517</v>
      </c>
      <c r="X16" s="51"/>
      <c r="Y16" s="51"/>
      <c r="Z16" s="33" t="s">
        <v>2445</v>
      </c>
      <c r="AA16" s="33" t="s">
        <v>2446</v>
      </c>
      <c r="AB16" s="33"/>
      <c r="AC16" s="33" t="s">
        <v>2254</v>
      </c>
      <c r="AD16" s="33"/>
      <c r="AE16" s="33" t="s">
        <v>2267</v>
      </c>
      <c r="AF16" s="33" t="s">
        <v>2447</v>
      </c>
      <c r="AG16" s="33"/>
      <c r="AH16" s="33"/>
      <c r="AI16" s="33" t="s">
        <v>2569</v>
      </c>
      <c r="AJ16" s="94" t="s">
        <v>2570</v>
      </c>
      <c r="AK16" s="33" t="s">
        <v>2571</v>
      </c>
      <c r="AL16" s="33"/>
      <c r="AM16" s="33" t="s">
        <v>2572</v>
      </c>
      <c r="AN16" s="51" t="s">
        <v>2573</v>
      </c>
      <c r="AO16" s="51" t="s">
        <v>188</v>
      </c>
      <c r="AP16" s="33"/>
      <c r="AQ16" s="54"/>
      <c r="AR16" s="54"/>
      <c r="AS16" s="54"/>
      <c r="AT16" s="54"/>
      <c r="AU16" s="54"/>
      <c r="AV16" s="54"/>
      <c r="AW16" s="54"/>
      <c r="AX16" s="54"/>
      <c r="AY16" s="54"/>
      <c r="AZ16" s="54"/>
      <c r="BA16" s="54"/>
      <c r="BB16" s="54"/>
      <c r="BC16" s="54" t="s">
        <v>2434</v>
      </c>
      <c r="BD16" s="54"/>
      <c r="BE16" s="54"/>
      <c r="BF16" s="54"/>
      <c r="BG16" s="54"/>
      <c r="BH16" s="0"/>
      <c r="BI16" s="0"/>
      <c r="BJ16" s="0"/>
      <c r="BK16" s="0"/>
      <c r="BL16" s="0"/>
      <c r="BM16" s="0"/>
      <c r="BN16"/>
      <c r="BO16"/>
      <c r="BP16"/>
      <c r="BQ16"/>
      <c r="BR16"/>
      <c r="BS16"/>
      <c r="BT16"/>
      <c r="BU16"/>
      <c r="BV16"/>
      <c r="BW16"/>
      <c r="BX16"/>
      <c r="BY16"/>
      <c r="BZ16"/>
    </row>
    <row r="17" ht="15.0" customHeight="true">
      <c r="A17" s="51" t="s">
        <v>2435</v>
      </c>
      <c r="B17" s="33"/>
      <c r="C17" s="33" t="s">
        <v>2574</v>
      </c>
      <c r="D17" s="33"/>
      <c r="E17" s="33" t="s">
        <v>2575</v>
      </c>
      <c r="F17" s="33"/>
      <c r="G17" s="55" t="s">
        <v>2576</v>
      </c>
      <c r="H17" s="33" t="s">
        <v>2247</v>
      </c>
      <c r="I17" s="51" t="s">
        <v>2577</v>
      </c>
      <c r="J17" s="33"/>
      <c r="K17" s="51" t="s">
        <v>2578</v>
      </c>
      <c r="L17" s="33" t="s">
        <v>2458</v>
      </c>
      <c r="M17" s="55" t="s">
        <v>2579</v>
      </c>
      <c r="N17" s="55" t="s">
        <v>2580</v>
      </c>
      <c r="O17" s="33" t="s">
        <v>2271</v>
      </c>
      <c r="P17" s="33" t="s">
        <v>2251</v>
      </c>
      <c r="Q17" s="33"/>
      <c r="R17" s="33" t="s">
        <v>2263</v>
      </c>
      <c r="S17" s="56" t="s">
        <v>2277</v>
      </c>
      <c r="T17" s="56"/>
      <c r="U17" s="33" t="s">
        <v>2579</v>
      </c>
      <c r="V17" s="94" t="s">
        <v>2443</v>
      </c>
      <c r="W17" s="94" t="s">
        <v>2444</v>
      </c>
      <c r="X17" s="51"/>
      <c r="Y17" s="51"/>
      <c r="Z17" s="33" t="s">
        <v>2445</v>
      </c>
      <c r="AA17" s="33" t="s">
        <v>2446</v>
      </c>
      <c r="AB17" s="33"/>
      <c r="AC17" s="33" t="s">
        <v>2254</v>
      </c>
      <c r="AD17" s="33"/>
      <c r="AE17" s="33" t="s">
        <v>2267</v>
      </c>
      <c r="AF17" s="33" t="s">
        <v>2447</v>
      </c>
      <c r="AG17" s="33"/>
      <c r="AH17" s="33"/>
      <c r="AI17" s="33" t="s">
        <v>2581</v>
      </c>
      <c r="AJ17" s="94" t="s">
        <v>2582</v>
      </c>
      <c r="AK17" s="33" t="s">
        <v>2583</v>
      </c>
      <c r="AL17" s="33"/>
      <c r="AM17" s="33" t="s">
        <v>2584</v>
      </c>
      <c r="AN17" s="51" t="s">
        <v>2585</v>
      </c>
      <c r="AO17" s="51" t="s">
        <v>188</v>
      </c>
      <c r="AP17" s="33"/>
      <c r="AQ17" s="54"/>
      <c r="AR17" s="54"/>
      <c r="AS17" s="54"/>
      <c r="AT17" s="54"/>
      <c r="AU17" s="54"/>
      <c r="AV17" s="54"/>
      <c r="AW17" s="54"/>
      <c r="AX17" s="54"/>
      <c r="AY17" s="54"/>
      <c r="AZ17" s="54"/>
      <c r="BA17" s="54"/>
      <c r="BB17" s="54"/>
      <c r="BC17" s="54"/>
      <c r="BD17" s="54"/>
      <c r="BE17" s="54"/>
      <c r="BF17" s="54"/>
      <c r="BG17" s="54"/>
      <c r="BH17" s="0"/>
      <c r="BI17" s="0"/>
      <c r="BJ17" s="0"/>
      <c r="BK17" s="0"/>
      <c r="BL17" s="0"/>
      <c r="BM17" s="0"/>
      <c r="BN17"/>
      <c r="BO17"/>
      <c r="BP17"/>
      <c r="BQ17"/>
      <c r="BR17"/>
      <c r="BS17"/>
      <c r="BT17"/>
      <c r="BU17"/>
      <c r="BV17"/>
      <c r="BW17"/>
      <c r="BX17"/>
      <c r="BY17"/>
      <c r="BZ17"/>
    </row>
    <row r="18" ht="15.0" customHeight="true">
      <c r="A18" s="51" t="s">
        <v>2435</v>
      </c>
      <c r="B18" s="33"/>
      <c r="C18" s="33" t="s">
        <v>2587</v>
      </c>
      <c r="D18" s="33"/>
      <c r="E18" s="33" t="s">
        <v>2588</v>
      </c>
      <c r="F18" s="33"/>
      <c r="G18" s="55" t="s">
        <v>2589</v>
      </c>
      <c r="H18" s="33"/>
      <c r="I18" s="51" t="s">
        <v>2590</v>
      </c>
      <c r="J18" s="33"/>
      <c r="K18" s="51" t="s">
        <v>2591</v>
      </c>
      <c r="L18" s="33" t="s">
        <v>2441</v>
      </c>
      <c r="M18" s="55" t="s">
        <v>2442</v>
      </c>
      <c r="N18" s="55"/>
      <c r="O18" s="33"/>
      <c r="P18" s="33" t="s">
        <v>2251</v>
      </c>
      <c r="Q18" s="33"/>
      <c r="R18" s="33" t="s">
        <v>2263</v>
      </c>
      <c r="S18" s="56" t="s">
        <v>2277</v>
      </c>
      <c r="T18" s="56"/>
      <c r="U18" s="33" t="s">
        <v>2592</v>
      </c>
      <c r="V18" s="94" t="s">
        <v>2443</v>
      </c>
      <c r="W18" s="94" t="s">
        <v>2444</v>
      </c>
      <c r="X18" s="51"/>
      <c r="Y18" s="51"/>
      <c r="Z18" s="33" t="s">
        <v>2445</v>
      </c>
      <c r="AA18" s="33" t="s">
        <v>2593</v>
      </c>
      <c r="AB18" s="33"/>
      <c r="AC18" s="33" t="s">
        <v>2254</v>
      </c>
      <c r="AD18" s="33"/>
      <c r="AE18" s="33" t="s">
        <v>2267</v>
      </c>
      <c r="AF18" s="33" t="s">
        <v>2447</v>
      </c>
      <c r="AG18" s="33"/>
      <c r="AH18" s="33"/>
      <c r="AI18" s="33" t="s">
        <v>2594</v>
      </c>
      <c r="AJ18" s="94" t="s">
        <v>2595</v>
      </c>
      <c r="AK18" s="33" t="s">
        <v>2596</v>
      </c>
      <c r="AL18" s="33"/>
      <c r="AM18" s="33" t="s">
        <v>2597</v>
      </c>
      <c r="AN18" s="51" t="s">
        <v>2598</v>
      </c>
      <c r="AO18" s="51" t="s">
        <v>188</v>
      </c>
      <c r="AP18" s="33"/>
      <c r="AQ18" s="54"/>
      <c r="AR18" s="54"/>
      <c r="AS18" s="54"/>
      <c r="AT18" s="54"/>
      <c r="AU18" s="54"/>
      <c r="AV18" s="54"/>
      <c r="AW18" s="54"/>
      <c r="AX18" s="54"/>
      <c r="AY18" s="54"/>
      <c r="AZ18" s="54"/>
      <c r="BA18" s="54"/>
      <c r="BB18" s="54"/>
      <c r="BC18" s="54" t="s">
        <v>2586</v>
      </c>
      <c r="BD18" s="54"/>
      <c r="BE18" s="54"/>
      <c r="BF18" s="54"/>
      <c r="BG18" s="54"/>
      <c r="BH18" s="0"/>
      <c r="BI18" s="0"/>
      <c r="BJ18" s="0"/>
      <c r="BK18" s="0"/>
      <c r="BL18" s="0"/>
      <c r="BM18" s="0"/>
      <c r="BN18"/>
      <c r="BO18"/>
      <c r="BP18"/>
      <c r="BQ18"/>
      <c r="BR18"/>
      <c r="BS18"/>
      <c r="BT18"/>
      <c r="BU18"/>
      <c r="BV18"/>
      <c r="BW18"/>
      <c r="BX18"/>
      <c r="BY18"/>
      <c r="BZ18"/>
    </row>
    <row r="19" ht="15.0" customHeight="true">
      <c r="A19" s="51" t="s">
        <v>2435</v>
      </c>
      <c r="B19" s="33"/>
      <c r="C19" s="33" t="s">
        <v>2575</v>
      </c>
      <c r="D19" s="33"/>
      <c r="E19" s="33" t="s">
        <v>2599</v>
      </c>
      <c r="F19" s="33"/>
      <c r="G19" s="55" t="s">
        <v>2600</v>
      </c>
      <c r="H19" s="33"/>
      <c r="I19" s="51" t="s">
        <v>2601</v>
      </c>
      <c r="J19" s="33"/>
      <c r="K19" s="51" t="s">
        <v>2602</v>
      </c>
      <c r="L19" s="33" t="s">
        <v>2441</v>
      </c>
      <c r="M19" s="55" t="s">
        <v>2603</v>
      </c>
      <c r="N19" s="55"/>
      <c r="O19" s="33"/>
      <c r="P19" s="33" t="s">
        <v>2251</v>
      </c>
      <c r="Q19" s="33"/>
      <c r="R19" s="33" t="s">
        <v>2263</v>
      </c>
      <c r="S19" s="56" t="s">
        <v>2277</v>
      </c>
      <c r="T19" s="56"/>
      <c r="U19" s="33" t="s">
        <v>2603</v>
      </c>
      <c r="V19" s="94" t="s">
        <v>2443</v>
      </c>
      <c r="W19" s="94" t="s">
        <v>2604</v>
      </c>
      <c r="X19" s="51"/>
      <c r="Y19" s="51"/>
      <c r="Z19" s="33" t="s">
        <v>2445</v>
      </c>
      <c r="AA19" s="33" t="s">
        <v>2446</v>
      </c>
      <c r="AB19" s="33"/>
      <c r="AC19" s="33" t="s">
        <v>2254</v>
      </c>
      <c r="AD19" s="33"/>
      <c r="AE19" s="33" t="s">
        <v>2267</v>
      </c>
      <c r="AF19" s="33" t="s">
        <v>2447</v>
      </c>
      <c r="AG19" s="33"/>
      <c r="AH19" s="33"/>
      <c r="AI19" s="33" t="s">
        <v>2605</v>
      </c>
      <c r="AJ19" s="94" t="s">
        <v>2606</v>
      </c>
      <c r="AK19" s="33" t="s">
        <v>2607</v>
      </c>
      <c r="AL19" s="33" t="s">
        <v>2608</v>
      </c>
      <c r="AM19" s="33" t="s">
        <v>2609</v>
      </c>
      <c r="AN19" s="51" t="s">
        <v>2610</v>
      </c>
      <c r="AO19" s="51" t="s">
        <v>188</v>
      </c>
      <c r="AP19" s="33"/>
      <c r="AQ19" s="54"/>
      <c r="AR19" s="54"/>
      <c r="AS19" s="54"/>
      <c r="AT19" s="54"/>
      <c r="AU19" s="54"/>
      <c r="AV19" s="54"/>
      <c r="AW19" s="54"/>
      <c r="AX19" s="54"/>
      <c r="AY19" s="54"/>
      <c r="AZ19" s="54"/>
      <c r="BA19" s="54"/>
      <c r="BB19" s="54"/>
      <c r="BC19" s="54" t="s">
        <v>2434</v>
      </c>
      <c r="BD19" s="54"/>
      <c r="BE19" s="54"/>
      <c r="BF19" s="54"/>
      <c r="BG19" s="54"/>
      <c r="BH19" s="0"/>
      <c r="BI19" s="0"/>
      <c r="BJ19" s="0"/>
      <c r="BK19" s="0"/>
      <c r="BL19" s="0"/>
      <c r="BM19" s="0"/>
      <c r="BN19"/>
      <c r="BO19"/>
      <c r="BP19"/>
      <c r="BQ19"/>
      <c r="BR19"/>
      <c r="BS19"/>
      <c r="BT19"/>
      <c r="BU19"/>
      <c r="BV19"/>
      <c r="BW19"/>
      <c r="BX19"/>
      <c r="BY19"/>
      <c r="BZ19"/>
    </row>
    <row r="20" ht="15.0" customHeight="true">
      <c r="A20" s="51" t="s">
        <v>2435</v>
      </c>
      <c r="B20" s="33"/>
      <c r="C20" s="33" t="s">
        <v>2611</v>
      </c>
      <c r="D20" s="33" t="s">
        <v>2612</v>
      </c>
      <c r="E20" s="33" t="s">
        <v>2522</v>
      </c>
      <c r="F20" s="33"/>
      <c r="G20" s="55" t="s">
        <v>2613</v>
      </c>
      <c r="H20" s="33" t="s">
        <v>2258</v>
      </c>
      <c r="I20" s="51" t="s">
        <v>2614</v>
      </c>
      <c r="J20" s="33"/>
      <c r="K20" s="51" t="s">
        <v>2615</v>
      </c>
      <c r="L20" s="33" t="s">
        <v>2458</v>
      </c>
      <c r="M20" s="55" t="s">
        <v>2616</v>
      </c>
      <c r="N20" s="55" t="s">
        <v>2617</v>
      </c>
      <c r="O20" s="33" t="s">
        <v>2618</v>
      </c>
      <c r="P20" s="33" t="s">
        <v>2262</v>
      </c>
      <c r="Q20" s="33"/>
      <c r="R20" s="33" t="s">
        <v>2263</v>
      </c>
      <c r="S20" s="56" t="s">
        <v>2277</v>
      </c>
      <c r="T20" s="56"/>
      <c r="U20" s="33" t="s">
        <v>2616</v>
      </c>
      <c r="V20" s="94" t="s">
        <v>2443</v>
      </c>
      <c r="W20" s="94" t="s">
        <v>2494</v>
      </c>
      <c r="X20" s="51"/>
      <c r="Y20" s="51"/>
      <c r="Z20" s="33" t="s">
        <v>2445</v>
      </c>
      <c r="AA20" s="33" t="s">
        <v>2593</v>
      </c>
      <c r="AB20" s="33"/>
      <c r="AC20" s="33" t="s">
        <v>2254</v>
      </c>
      <c r="AD20" s="33"/>
      <c r="AE20" s="33" t="s">
        <v>2256</v>
      </c>
      <c r="AF20" s="33" t="s">
        <v>2447</v>
      </c>
      <c r="AG20" s="33"/>
      <c r="AH20" s="33"/>
      <c r="AI20" s="33" t="s">
        <v>2619</v>
      </c>
      <c r="AJ20" s="94" t="s">
        <v>2620</v>
      </c>
      <c r="AK20" s="33" t="s">
        <v>2621</v>
      </c>
      <c r="AL20" s="33"/>
      <c r="AM20" s="33" t="s">
        <v>2622</v>
      </c>
      <c r="AN20" s="51" t="s">
        <v>2623</v>
      </c>
      <c r="AO20" s="51" t="s">
        <v>188</v>
      </c>
      <c r="AP20" s="33"/>
      <c r="AQ20" s="54"/>
      <c r="AR20" s="54"/>
      <c r="AS20" s="54"/>
      <c r="AT20" s="54"/>
      <c r="AU20" s="54"/>
      <c r="AV20" s="54"/>
      <c r="AW20" s="54"/>
      <c r="AX20" s="54"/>
      <c r="AY20" s="54"/>
      <c r="AZ20" s="54"/>
      <c r="BA20" s="54"/>
      <c r="BB20" s="54"/>
      <c r="BC20" s="54"/>
      <c r="BD20" s="54"/>
      <c r="BE20" s="54"/>
      <c r="BF20" s="54"/>
      <c r="BG20" s="54"/>
      <c r="BH20" s="0"/>
      <c r="BI20" s="0"/>
      <c r="BJ20" s="0"/>
      <c r="BK20" s="0"/>
      <c r="BL20" s="0"/>
      <c r="BM20" s="0"/>
      <c r="BN20"/>
      <c r="BO20"/>
      <c r="BP20"/>
      <c r="BQ20"/>
      <c r="BR20"/>
      <c r="BS20"/>
      <c r="BT20"/>
      <c r="BU20"/>
      <c r="BV20"/>
      <c r="BW20"/>
      <c r="BX20"/>
      <c r="BY20"/>
      <c r="BZ20"/>
    </row>
    <row r="21" ht="15.0" customHeight="true">
      <c r="A21" s="51" t="s">
        <v>2435</v>
      </c>
      <c r="B21" s="33"/>
      <c r="C21" s="33" t="s">
        <v>2624</v>
      </c>
      <c r="D21" s="33"/>
      <c r="E21" s="33" t="s">
        <v>2625</v>
      </c>
      <c r="F21" s="33"/>
      <c r="G21" s="55" t="s">
        <v>2626</v>
      </c>
      <c r="H21" s="33"/>
      <c r="I21" s="51" t="s">
        <v>2627</v>
      </c>
      <c r="J21" s="33"/>
      <c r="K21" s="51" t="s">
        <v>2628</v>
      </c>
      <c r="L21" s="33" t="s">
        <v>2441</v>
      </c>
      <c r="M21" s="55" t="s">
        <v>2629</v>
      </c>
      <c r="N21" s="55"/>
      <c r="O21" s="33"/>
      <c r="P21" s="33" t="s">
        <v>2262</v>
      </c>
      <c r="Q21" s="33"/>
      <c r="R21" s="33" t="s">
        <v>2263</v>
      </c>
      <c r="S21" s="56" t="s">
        <v>2277</v>
      </c>
      <c r="T21" s="56"/>
      <c r="U21" s="33" t="s">
        <v>2629</v>
      </c>
      <c r="V21" s="94" t="s">
        <v>2443</v>
      </c>
      <c r="W21" s="94" t="s">
        <v>2604</v>
      </c>
      <c r="X21" s="51"/>
      <c r="Y21" s="51"/>
      <c r="Z21" s="33" t="s">
        <v>2445</v>
      </c>
      <c r="AA21" s="33" t="s">
        <v>2446</v>
      </c>
      <c r="AB21" s="33"/>
      <c r="AC21" s="33" t="s">
        <v>2254</v>
      </c>
      <c r="AD21" s="33"/>
      <c r="AE21" s="33" t="s">
        <v>2267</v>
      </c>
      <c r="AF21" s="33" t="s">
        <v>2447</v>
      </c>
      <c r="AG21" s="33"/>
      <c r="AH21" s="33"/>
      <c r="AI21" s="33" t="s">
        <v>2630</v>
      </c>
      <c r="AJ21" s="94" t="s">
        <v>2631</v>
      </c>
      <c r="AK21" s="33" t="s">
        <v>2632</v>
      </c>
      <c r="AL21" s="33" t="s">
        <v>2633</v>
      </c>
      <c r="AM21" s="33" t="s">
        <v>2549</v>
      </c>
      <c r="AN21" s="51" t="s">
        <v>2550</v>
      </c>
      <c r="AO21" s="51" t="s">
        <v>188</v>
      </c>
      <c r="AP21" s="33"/>
      <c r="AQ21" s="54"/>
      <c r="AR21" s="54"/>
      <c r="AS21" s="54"/>
      <c r="AT21" s="54"/>
      <c r="AU21" s="54"/>
      <c r="AV21" s="54"/>
      <c r="AW21" s="54"/>
      <c r="AX21" s="54"/>
      <c r="AY21" s="54"/>
      <c r="AZ21" s="54"/>
      <c r="BA21" s="54"/>
      <c r="BB21" s="54"/>
      <c r="BC21" s="54" t="s">
        <v>2434</v>
      </c>
      <c r="BD21" s="54"/>
      <c r="BE21" s="54"/>
      <c r="BF21" s="54"/>
      <c r="BG21" s="54"/>
      <c r="BH21" s="0"/>
      <c r="BI21" s="0"/>
      <c r="BJ21" s="0"/>
      <c r="BK21" s="0"/>
      <c r="BL21" s="0"/>
      <c r="BM21" s="0"/>
      <c r="BN21"/>
      <c r="BO21"/>
      <c r="BP21"/>
      <c r="BQ21"/>
      <c r="BR21"/>
      <c r="BS21"/>
      <c r="BT21"/>
      <c r="BU21"/>
      <c r="BV21"/>
      <c r="BW21"/>
      <c r="BX21"/>
      <c r="BY21"/>
      <c r="BZ21"/>
    </row>
    <row r="22" ht="15.0" customHeight="true">
      <c r="A22" s="51" t="s">
        <v>2435</v>
      </c>
      <c r="B22" s="33"/>
      <c r="C22" s="33" t="s">
        <v>2634</v>
      </c>
      <c r="D22" s="33"/>
      <c r="E22" s="33" t="s">
        <v>2635</v>
      </c>
      <c r="F22" s="33"/>
      <c r="G22" s="55" t="s">
        <v>2636</v>
      </c>
      <c r="H22" s="33"/>
      <c r="I22" s="51" t="s">
        <v>2637</v>
      </c>
      <c r="J22" s="33"/>
      <c r="K22" s="51" t="s">
        <v>2638</v>
      </c>
      <c r="L22" s="33" t="s">
        <v>2441</v>
      </c>
      <c r="M22" s="55" t="s">
        <v>2639</v>
      </c>
      <c r="N22" s="55"/>
      <c r="O22" s="33"/>
      <c r="P22" s="33" t="s">
        <v>2251</v>
      </c>
      <c r="Q22" s="33"/>
      <c r="R22" s="33" t="s">
        <v>2263</v>
      </c>
      <c r="S22" s="56" t="s">
        <v>2277</v>
      </c>
      <c r="T22" s="56"/>
      <c r="U22" s="33" t="s">
        <v>2639</v>
      </c>
      <c r="V22" s="94" t="s">
        <v>2443</v>
      </c>
      <c r="W22" s="94" t="s">
        <v>2444</v>
      </c>
      <c r="X22" s="51"/>
      <c r="Y22" s="51"/>
      <c r="Z22" s="33" t="s">
        <v>2445</v>
      </c>
      <c r="AA22" s="33" t="s">
        <v>2446</v>
      </c>
      <c r="AB22" s="33"/>
      <c r="AC22" s="33" t="s">
        <v>2254</v>
      </c>
      <c r="AD22" s="33"/>
      <c r="AE22" s="33" t="s">
        <v>2267</v>
      </c>
      <c r="AF22" s="33" t="s">
        <v>2447</v>
      </c>
      <c r="AG22" s="33"/>
      <c r="AH22" s="33"/>
      <c r="AI22" s="33" t="s">
        <v>2640</v>
      </c>
      <c r="AJ22" s="94" t="s">
        <v>2641</v>
      </c>
      <c r="AK22" s="33" t="s">
        <v>2642</v>
      </c>
      <c r="AL22" s="33" t="s">
        <v>2643</v>
      </c>
      <c r="AM22" s="33" t="s">
        <v>2451</v>
      </c>
      <c r="AN22" s="51" t="s">
        <v>2644</v>
      </c>
      <c r="AO22" s="51" t="s">
        <v>188</v>
      </c>
      <c r="AP22" s="33"/>
      <c r="AQ22" s="54"/>
      <c r="AR22" s="54"/>
      <c r="AS22" s="54"/>
      <c r="AT22" s="54"/>
      <c r="AU22" s="54"/>
      <c r="AV22" s="54"/>
      <c r="AW22" s="54"/>
      <c r="AX22" s="54"/>
      <c r="AY22" s="54"/>
      <c r="AZ22" s="54"/>
      <c r="BA22" s="54"/>
      <c r="BB22" s="54"/>
      <c r="BC22" s="54" t="s">
        <v>2434</v>
      </c>
      <c r="BD22" s="54"/>
      <c r="BE22" s="54"/>
      <c r="BF22" s="54"/>
      <c r="BG22" s="54"/>
      <c r="BH22" s="0"/>
      <c r="BI22" s="0"/>
      <c r="BJ22" s="0"/>
      <c r="BK22" s="0"/>
      <c r="BL22" s="0"/>
      <c r="BM22" s="0"/>
      <c r="BN22"/>
      <c r="BO22"/>
      <c r="BP22"/>
      <c r="BQ22"/>
      <c r="BR22"/>
      <c r="BS22"/>
      <c r="BT22"/>
      <c r="BU22"/>
      <c r="BV22"/>
      <c r="BW22"/>
      <c r="BX22"/>
      <c r="BY22"/>
      <c r="BZ22"/>
    </row>
    <row r="23" ht="15.0" customHeight="true">
      <c r="A23" s="51" t="s">
        <v>2435</v>
      </c>
      <c r="B23" s="33"/>
      <c r="C23" s="33" t="s">
        <v>2645</v>
      </c>
      <c r="D23" s="33"/>
      <c r="E23" s="33" t="s">
        <v>2646</v>
      </c>
      <c r="F23" s="33"/>
      <c r="G23" s="55" t="s">
        <v>2647</v>
      </c>
      <c r="H23" s="33"/>
      <c r="I23" s="51" t="s">
        <v>2648</v>
      </c>
      <c r="J23" s="33"/>
      <c r="K23" s="51" t="s">
        <v>2649</v>
      </c>
      <c r="L23" s="33" t="s">
        <v>2441</v>
      </c>
      <c r="M23" s="55" t="s">
        <v>2650</v>
      </c>
      <c r="N23" s="55"/>
      <c r="O23" s="33"/>
      <c r="P23" s="33" t="s">
        <v>2262</v>
      </c>
      <c r="Q23" s="33"/>
      <c r="R23" s="33" t="s">
        <v>2263</v>
      </c>
      <c r="S23" s="56" t="s">
        <v>2277</v>
      </c>
      <c r="T23" s="56"/>
      <c r="U23" s="33" t="s">
        <v>2650</v>
      </c>
      <c r="V23" s="94" t="s">
        <v>2443</v>
      </c>
      <c r="W23" s="94" t="s">
        <v>2444</v>
      </c>
      <c r="X23" s="51"/>
      <c r="Y23" s="51"/>
      <c r="Z23" s="33" t="s">
        <v>2445</v>
      </c>
      <c r="AA23" s="33" t="s">
        <v>2446</v>
      </c>
      <c r="AB23" s="33"/>
      <c r="AC23" s="33" t="s">
        <v>2254</v>
      </c>
      <c r="AD23" s="33"/>
      <c r="AE23" s="33" t="s">
        <v>2267</v>
      </c>
      <c r="AF23" s="33" t="s">
        <v>2447</v>
      </c>
      <c r="AG23" s="33"/>
      <c r="AH23" s="33"/>
      <c r="AI23" s="33" t="s">
        <v>2651</v>
      </c>
      <c r="AJ23" s="94" t="s">
        <v>2652</v>
      </c>
      <c r="AK23" s="33" t="s">
        <v>2653</v>
      </c>
      <c r="AL23" s="33"/>
      <c r="AM23" s="33" t="s">
        <v>2549</v>
      </c>
      <c r="AN23" s="51" t="s">
        <v>2654</v>
      </c>
      <c r="AO23" s="51" t="s">
        <v>188</v>
      </c>
      <c r="AP23" s="33"/>
      <c r="AQ23" s="54"/>
      <c r="AR23" s="54"/>
      <c r="AS23" s="54"/>
      <c r="AT23" s="54"/>
      <c r="AU23" s="54"/>
      <c r="AV23" s="54"/>
      <c r="AW23" s="54"/>
      <c r="AX23" s="54"/>
      <c r="AY23" s="54"/>
      <c r="AZ23" s="54"/>
      <c r="BA23" s="54"/>
      <c r="BB23" s="54"/>
      <c r="BC23" s="54" t="s">
        <v>2434</v>
      </c>
      <c r="BD23" s="54"/>
      <c r="BE23" s="54"/>
      <c r="BF23" s="54"/>
      <c r="BG23" s="54"/>
      <c r="BH23" s="0"/>
      <c r="BI23" s="0"/>
      <c r="BJ23" s="0"/>
      <c r="BK23" s="0"/>
      <c r="BL23" s="0"/>
      <c r="BM23" s="0"/>
      <c r="BN23"/>
      <c r="BO23"/>
      <c r="BP23"/>
      <c r="BQ23"/>
      <c r="BR23"/>
      <c r="BS23"/>
      <c r="BT23"/>
      <c r="BU23"/>
      <c r="BV23"/>
      <c r="BW23"/>
      <c r="BX23"/>
      <c r="BY23"/>
      <c r="BZ23"/>
    </row>
    <row r="24" ht="15.0" customHeight="true">
      <c r="A24" s="51" t="s">
        <v>2435</v>
      </c>
      <c r="B24" s="33"/>
      <c r="C24" s="33" t="s">
        <v>2655</v>
      </c>
      <c r="D24" s="33"/>
      <c r="E24" s="33" t="s">
        <v>2656</v>
      </c>
      <c r="F24" s="33"/>
      <c r="G24" s="55" t="s">
        <v>2657</v>
      </c>
      <c r="H24" s="33" t="s">
        <v>2258</v>
      </c>
      <c r="I24" s="51" t="s">
        <v>2658</v>
      </c>
      <c r="J24" s="33"/>
      <c r="K24" s="51" t="s">
        <v>2659</v>
      </c>
      <c r="L24" s="33" t="s">
        <v>2458</v>
      </c>
      <c r="M24" s="55" t="s">
        <v>2660</v>
      </c>
      <c r="N24" s="55" t="s">
        <v>2661</v>
      </c>
      <c r="O24" s="33" t="s">
        <v>2271</v>
      </c>
      <c r="P24" s="33" t="s">
        <v>2251</v>
      </c>
      <c r="Q24" s="33"/>
      <c r="R24" s="33" t="s">
        <v>2263</v>
      </c>
      <c r="S24" s="56" t="s">
        <v>2277</v>
      </c>
      <c r="T24" s="56"/>
      <c r="U24" s="33" t="s">
        <v>2660</v>
      </c>
      <c r="V24" s="94" t="s">
        <v>2443</v>
      </c>
      <c r="W24" s="94" t="s">
        <v>2662</v>
      </c>
      <c r="X24" s="51"/>
      <c r="Y24" s="51"/>
      <c r="Z24" s="33" t="s">
        <v>2445</v>
      </c>
      <c r="AA24" s="33" t="s">
        <v>2446</v>
      </c>
      <c r="AB24" s="33"/>
      <c r="AC24" s="33" t="s">
        <v>2254</v>
      </c>
      <c r="AD24" s="33"/>
      <c r="AE24" s="33" t="s">
        <v>2267</v>
      </c>
      <c r="AF24" s="33" t="s">
        <v>2447</v>
      </c>
      <c r="AG24" s="33"/>
      <c r="AH24" s="33"/>
      <c r="AI24" s="33" t="s">
        <v>2663</v>
      </c>
      <c r="AJ24" s="94" t="s">
        <v>2664</v>
      </c>
      <c r="AK24" s="33" t="s">
        <v>2665</v>
      </c>
      <c r="AL24" s="33"/>
      <c r="AM24" s="33" t="s">
        <v>2666</v>
      </c>
      <c r="AN24" s="51" t="s">
        <v>2667</v>
      </c>
      <c r="AO24" s="51" t="s">
        <v>188</v>
      </c>
      <c r="AP24" s="33"/>
      <c r="AQ24" s="54"/>
      <c r="AR24" s="54"/>
      <c r="AS24" s="54"/>
      <c r="AT24" s="54"/>
      <c r="AU24" s="54"/>
      <c r="AV24" s="54"/>
      <c r="AW24" s="54"/>
      <c r="AX24" s="54"/>
      <c r="AY24" s="54"/>
      <c r="AZ24" s="54"/>
      <c r="BA24" s="54"/>
      <c r="BB24" s="54"/>
      <c r="BC24" s="54"/>
      <c r="BD24" s="54"/>
      <c r="BE24" s="54"/>
      <c r="BF24" s="54"/>
      <c r="BG24" s="54"/>
      <c r="BH24" s="0"/>
      <c r="BI24" s="0"/>
      <c r="BJ24" s="0"/>
      <c r="BK24" s="0"/>
      <c r="BL24" s="0"/>
      <c r="BM24" s="0"/>
      <c r="BN24"/>
      <c r="BO24"/>
      <c r="BP24"/>
      <c r="BQ24"/>
      <c r="BR24"/>
      <c r="BS24"/>
      <c r="BT24"/>
      <c r="BU24"/>
      <c r="BV24"/>
      <c r="BW24"/>
      <c r="BX24"/>
      <c r="BY24"/>
      <c r="BZ24"/>
    </row>
    <row r="25" ht="15.0" customHeight="true">
      <c r="A25" s="51" t="s">
        <v>2435</v>
      </c>
      <c r="B25" s="33"/>
      <c r="C25" s="33" t="s">
        <v>2668</v>
      </c>
      <c r="D25" s="33"/>
      <c r="E25" s="33" t="s">
        <v>2669</v>
      </c>
      <c r="F25" s="33"/>
      <c r="G25" s="55" t="s">
        <v>2670</v>
      </c>
      <c r="H25" s="33"/>
      <c r="I25" s="51" t="s">
        <v>2671</v>
      </c>
      <c r="J25" s="33"/>
      <c r="K25" s="51" t="s">
        <v>2672</v>
      </c>
      <c r="L25" s="33" t="s">
        <v>2441</v>
      </c>
      <c r="M25" s="55" t="s">
        <v>2673</v>
      </c>
      <c r="N25" s="55"/>
      <c r="O25" s="33"/>
      <c r="P25" s="33" t="s">
        <v>2251</v>
      </c>
      <c r="Q25" s="33"/>
      <c r="R25" s="33" t="s">
        <v>2263</v>
      </c>
      <c r="S25" s="56" t="s">
        <v>2277</v>
      </c>
      <c r="T25" s="56"/>
      <c r="U25" s="33" t="s">
        <v>2673</v>
      </c>
      <c r="V25" s="94" t="s">
        <v>2443</v>
      </c>
      <c r="W25" s="94" t="s">
        <v>2444</v>
      </c>
      <c r="X25" s="51"/>
      <c r="Y25" s="51"/>
      <c r="Z25" s="33" t="s">
        <v>2445</v>
      </c>
      <c r="AA25" s="33" t="s">
        <v>2446</v>
      </c>
      <c r="AB25" s="33"/>
      <c r="AC25" s="33" t="s">
        <v>2254</v>
      </c>
      <c r="AD25" s="33"/>
      <c r="AE25" s="33" t="s">
        <v>2267</v>
      </c>
      <c r="AF25" s="33" t="s">
        <v>2447</v>
      </c>
      <c r="AG25" s="33"/>
      <c r="AH25" s="33"/>
      <c r="AI25" s="33" t="s">
        <v>2674</v>
      </c>
      <c r="AJ25" s="94" t="s">
        <v>2675</v>
      </c>
      <c r="AK25" s="33" t="s">
        <v>2676</v>
      </c>
      <c r="AL25" s="33"/>
      <c r="AM25" s="33" t="s">
        <v>2677</v>
      </c>
      <c r="AN25" s="51" t="s">
        <v>2678</v>
      </c>
      <c r="AO25" s="51" t="s">
        <v>188</v>
      </c>
      <c r="AP25" s="33"/>
      <c r="AQ25" s="54"/>
      <c r="AR25" s="54"/>
      <c r="AS25" s="54"/>
      <c r="AT25" s="54"/>
      <c r="AU25" s="54"/>
      <c r="AV25" s="54"/>
      <c r="AW25" s="54"/>
      <c r="AX25" s="54"/>
      <c r="AY25" s="54"/>
      <c r="AZ25" s="54"/>
      <c r="BA25" s="54"/>
      <c r="BB25" s="54"/>
      <c r="BC25" s="54" t="s">
        <v>2434</v>
      </c>
      <c r="BD25" s="54"/>
      <c r="BE25" s="54"/>
      <c r="BF25" s="54"/>
      <c r="BG25" s="54"/>
      <c r="BH25" s="0"/>
      <c r="BI25" s="0"/>
      <c r="BJ25" s="0"/>
      <c r="BK25" s="0"/>
      <c r="BL25" s="0"/>
      <c r="BM25" s="0"/>
      <c r="BN25"/>
      <c r="BO25"/>
      <c r="BP25"/>
      <c r="BQ25"/>
      <c r="BR25"/>
      <c r="BS25"/>
      <c r="BT25"/>
      <c r="BU25"/>
      <c r="BV25"/>
      <c r="BW25"/>
      <c r="BX25"/>
      <c r="BY25"/>
      <c r="BZ25"/>
    </row>
    <row r="26" ht="15.0" customHeight="true">
      <c r="A26" s="51" t="s">
        <v>2435</v>
      </c>
      <c r="B26" s="33"/>
      <c r="C26" s="33" t="s">
        <v>2679</v>
      </c>
      <c r="D26" s="33"/>
      <c r="E26" s="33" t="s">
        <v>2680</v>
      </c>
      <c r="F26" s="33"/>
      <c r="G26" s="55" t="s">
        <v>2681</v>
      </c>
      <c r="H26" s="33"/>
      <c r="I26" s="51" t="s">
        <v>2682</v>
      </c>
      <c r="J26" s="33"/>
      <c r="K26" s="51" t="s">
        <v>2683</v>
      </c>
      <c r="L26" s="33" t="s">
        <v>2441</v>
      </c>
      <c r="M26" s="55" t="s">
        <v>2684</v>
      </c>
      <c r="N26" s="55"/>
      <c r="O26" s="33"/>
      <c r="P26" s="33" t="s">
        <v>2262</v>
      </c>
      <c r="Q26" s="33"/>
      <c r="R26" s="33" t="s">
        <v>2263</v>
      </c>
      <c r="S26" s="56" t="s">
        <v>2277</v>
      </c>
      <c r="T26" s="56"/>
      <c r="U26" s="33" t="s">
        <v>2684</v>
      </c>
      <c r="V26" s="94" t="s">
        <v>2443</v>
      </c>
      <c r="W26" s="94" t="s">
        <v>2444</v>
      </c>
      <c r="X26" s="51"/>
      <c r="Y26" s="51"/>
      <c r="Z26" s="33" t="s">
        <v>2445</v>
      </c>
      <c r="AA26" s="33" t="s">
        <v>2446</v>
      </c>
      <c r="AB26" s="33"/>
      <c r="AC26" s="33" t="s">
        <v>2254</v>
      </c>
      <c r="AD26" s="33"/>
      <c r="AE26" s="33" t="s">
        <v>2267</v>
      </c>
      <c r="AF26" s="33" t="s">
        <v>2447</v>
      </c>
      <c r="AG26" s="33"/>
      <c r="AH26" s="33"/>
      <c r="AI26" s="33" t="s">
        <v>2685</v>
      </c>
      <c r="AJ26" s="94" t="s">
        <v>2686</v>
      </c>
      <c r="AK26" s="33" t="s">
        <v>2687</v>
      </c>
      <c r="AL26" s="33"/>
      <c r="AM26" s="33" t="s">
        <v>2688</v>
      </c>
      <c r="AN26" s="51" t="s">
        <v>2689</v>
      </c>
      <c r="AO26" s="51" t="s">
        <v>188</v>
      </c>
      <c r="AP26" s="33"/>
      <c r="AQ26" s="54"/>
      <c r="AR26" s="54"/>
      <c r="AS26" s="54"/>
      <c r="AT26" s="54"/>
      <c r="AU26" s="54"/>
      <c r="AV26" s="54"/>
      <c r="AW26" s="54"/>
      <c r="AX26" s="54"/>
      <c r="AY26" s="54"/>
      <c r="AZ26" s="54"/>
      <c r="BA26" s="54"/>
      <c r="BB26" s="54"/>
      <c r="BC26" s="54" t="s">
        <v>2434</v>
      </c>
      <c r="BD26" s="54"/>
      <c r="BE26" s="54"/>
      <c r="BF26" s="54"/>
      <c r="BG26" s="54"/>
      <c r="BH26" s="0"/>
      <c r="BI26" s="0"/>
      <c r="BJ26" s="0"/>
      <c r="BK26" s="0"/>
      <c r="BL26" s="0"/>
      <c r="BM26" s="0"/>
      <c r="BN26"/>
      <c r="BO26"/>
      <c r="BP26"/>
      <c r="BQ26"/>
      <c r="BR26"/>
      <c r="BS26"/>
      <c r="BT26"/>
      <c r="BU26"/>
      <c r="BV26"/>
      <c r="BW26"/>
      <c r="BX26"/>
      <c r="BY26"/>
      <c r="BZ26"/>
    </row>
    <row r="27" ht="15.0" customHeight="true">
      <c r="A27" s="51" t="s">
        <v>2435</v>
      </c>
      <c r="B27" s="33"/>
      <c r="C27" s="33" t="s">
        <v>2690</v>
      </c>
      <c r="D27" s="33"/>
      <c r="E27" s="33" t="s">
        <v>2691</v>
      </c>
      <c r="F27" s="33"/>
      <c r="G27" s="55" t="s">
        <v>2692</v>
      </c>
      <c r="H27" s="33"/>
      <c r="I27" s="51" t="s">
        <v>2693</v>
      </c>
      <c r="J27" s="33"/>
      <c r="K27" s="51" t="s">
        <v>2694</v>
      </c>
      <c r="L27" s="33" t="s">
        <v>2441</v>
      </c>
      <c r="M27" s="55" t="s">
        <v>2695</v>
      </c>
      <c r="N27" s="55"/>
      <c r="O27" s="33"/>
      <c r="P27" s="33" t="s">
        <v>2251</v>
      </c>
      <c r="Q27" s="33"/>
      <c r="R27" s="33" t="s">
        <v>2263</v>
      </c>
      <c r="S27" s="56" t="s">
        <v>2277</v>
      </c>
      <c r="T27" s="56"/>
      <c r="U27" s="33" t="s">
        <v>2695</v>
      </c>
      <c r="V27" s="94" t="s">
        <v>2443</v>
      </c>
      <c r="W27" s="94" t="s">
        <v>2444</v>
      </c>
      <c r="X27" s="51"/>
      <c r="Y27" s="51"/>
      <c r="Z27" s="33" t="s">
        <v>2445</v>
      </c>
      <c r="AA27" s="33" t="s">
        <v>2446</v>
      </c>
      <c r="AB27" s="33"/>
      <c r="AC27" s="33" t="s">
        <v>2254</v>
      </c>
      <c r="AD27" s="33"/>
      <c r="AE27" s="33" t="s">
        <v>2267</v>
      </c>
      <c r="AF27" s="33" t="s">
        <v>2447</v>
      </c>
      <c r="AG27" s="33"/>
      <c r="AH27" s="33"/>
      <c r="AI27" s="33" t="s">
        <v>2696</v>
      </c>
      <c r="AJ27" s="94" t="s">
        <v>2697</v>
      </c>
      <c r="AK27" s="33" t="s">
        <v>2698</v>
      </c>
      <c r="AL27" s="33"/>
      <c r="AM27" s="33" t="s">
        <v>2699</v>
      </c>
      <c r="AN27" s="51" t="s">
        <v>2700</v>
      </c>
      <c r="AO27" s="51" t="s">
        <v>188</v>
      </c>
      <c r="AP27" s="33"/>
      <c r="AQ27" s="54"/>
      <c r="AR27" s="54"/>
      <c r="AS27" s="54"/>
      <c r="AT27" s="54"/>
      <c r="AU27" s="54"/>
      <c r="AV27" s="54"/>
      <c r="AW27" s="54"/>
      <c r="AX27" s="54"/>
      <c r="AY27" s="54"/>
      <c r="AZ27" s="54"/>
      <c r="BA27" s="54"/>
      <c r="BB27" s="54"/>
      <c r="BC27" s="54" t="s">
        <v>2434</v>
      </c>
      <c r="BD27" s="54"/>
      <c r="BE27" s="54"/>
      <c r="BF27" s="54"/>
      <c r="BG27" s="54"/>
      <c r="BH27" s="0"/>
      <c r="BI27" s="0"/>
      <c r="BJ27" s="0"/>
      <c r="BK27" s="0"/>
      <c r="BL27" s="0"/>
      <c r="BM27" s="0"/>
      <c r="BN27"/>
      <c r="BO27"/>
      <c r="BP27"/>
      <c r="BQ27"/>
      <c r="BR27"/>
      <c r="BS27"/>
      <c r="BT27"/>
      <c r="BU27"/>
      <c r="BV27"/>
      <c r="BW27"/>
      <c r="BX27"/>
      <c r="BY27"/>
      <c r="BZ27"/>
    </row>
    <row r="28" ht="15.0" customHeight="true">
      <c r="A28" s="51" t="s">
        <v>2435</v>
      </c>
      <c r="B28" s="33"/>
      <c r="C28" s="33" t="s">
        <v>2701</v>
      </c>
      <c r="D28" s="33"/>
      <c r="E28" s="33" t="s">
        <v>2702</v>
      </c>
      <c r="F28" s="33"/>
      <c r="G28" s="55" t="s">
        <v>2703</v>
      </c>
      <c r="H28" s="33"/>
      <c r="I28" s="51" t="s">
        <v>2704</v>
      </c>
      <c r="J28" s="33"/>
      <c r="K28" s="51" t="s">
        <v>2705</v>
      </c>
      <c r="L28" s="33" t="s">
        <v>2441</v>
      </c>
      <c r="M28" s="55" t="s">
        <v>2706</v>
      </c>
      <c r="N28" s="55"/>
      <c r="O28" s="33"/>
      <c r="P28" s="33" t="s">
        <v>2251</v>
      </c>
      <c r="Q28" s="33"/>
      <c r="R28" s="33" t="s">
        <v>2263</v>
      </c>
      <c r="S28" s="56" t="s">
        <v>2277</v>
      </c>
      <c r="T28" s="56"/>
      <c r="U28" s="33" t="s">
        <v>2706</v>
      </c>
      <c r="V28" s="94" t="s">
        <v>2443</v>
      </c>
      <c r="W28" s="94" t="s">
        <v>2444</v>
      </c>
      <c r="X28" s="51"/>
      <c r="Y28" s="51"/>
      <c r="Z28" s="33" t="s">
        <v>2445</v>
      </c>
      <c r="AA28" s="33" t="s">
        <v>2446</v>
      </c>
      <c r="AB28" s="33"/>
      <c r="AC28" s="33" t="s">
        <v>2254</v>
      </c>
      <c r="AD28" s="33"/>
      <c r="AE28" s="33" t="s">
        <v>2267</v>
      </c>
      <c r="AF28" s="33" t="s">
        <v>2447</v>
      </c>
      <c r="AG28" s="33"/>
      <c r="AH28" s="33"/>
      <c r="AI28" s="33" t="s">
        <v>2707</v>
      </c>
      <c r="AJ28" s="94" t="s">
        <v>2708</v>
      </c>
      <c r="AK28" s="33" t="s">
        <v>2709</v>
      </c>
      <c r="AL28" s="33"/>
      <c r="AM28" s="33" t="s">
        <v>2549</v>
      </c>
      <c r="AN28" s="51" t="s">
        <v>2550</v>
      </c>
      <c r="AO28" s="51" t="s">
        <v>188</v>
      </c>
      <c r="AP28" s="33"/>
      <c r="AQ28" s="54"/>
      <c r="AR28" s="54"/>
      <c r="AS28" s="54"/>
      <c r="AT28" s="54"/>
      <c r="AU28" s="54"/>
      <c r="AV28" s="54"/>
      <c r="AW28" s="54"/>
      <c r="AX28" s="54"/>
      <c r="AY28" s="54"/>
      <c r="AZ28" s="54"/>
      <c r="BA28" s="54"/>
      <c r="BB28" s="54"/>
      <c r="BC28" s="54" t="s">
        <v>2434</v>
      </c>
      <c r="BD28" s="54"/>
      <c r="BE28" s="54"/>
      <c r="BF28" s="54"/>
      <c r="BG28" s="54"/>
      <c r="BH28" s="0"/>
      <c r="BI28" s="0"/>
      <c r="BJ28" s="0"/>
      <c r="BK28" s="0"/>
      <c r="BL28" s="0"/>
      <c r="BM28" s="0"/>
      <c r="BN28"/>
      <c r="BO28"/>
      <c r="BP28"/>
      <c r="BQ28"/>
      <c r="BR28"/>
      <c r="BS28"/>
      <c r="BT28"/>
      <c r="BU28"/>
      <c r="BV28"/>
      <c r="BW28"/>
      <c r="BX28"/>
      <c r="BY28"/>
      <c r="BZ28"/>
    </row>
    <row r="29" ht="15.0" customHeight="true">
      <c r="A29" s="51" t="s">
        <v>2435</v>
      </c>
      <c r="B29" s="33"/>
      <c r="C29" s="33" t="s">
        <v>2710</v>
      </c>
      <c r="D29" s="33"/>
      <c r="E29" s="33" t="s">
        <v>2711</v>
      </c>
      <c r="F29" s="33"/>
      <c r="G29" s="55" t="s">
        <v>2712</v>
      </c>
      <c r="H29" s="33" t="s">
        <v>2247</v>
      </c>
      <c r="I29" s="51" t="s">
        <v>2713</v>
      </c>
      <c r="J29" s="33"/>
      <c r="K29" s="51" t="s">
        <v>2714</v>
      </c>
      <c r="L29" s="33" t="s">
        <v>2458</v>
      </c>
      <c r="M29" s="55" t="s">
        <v>2715</v>
      </c>
      <c r="N29" s="55" t="s">
        <v>2661</v>
      </c>
      <c r="O29" s="33" t="s">
        <v>2271</v>
      </c>
      <c r="P29" s="33" t="s">
        <v>2251</v>
      </c>
      <c r="Q29" s="33"/>
      <c r="R29" s="33" t="s">
        <v>2263</v>
      </c>
      <c r="S29" s="56" t="s">
        <v>2277</v>
      </c>
      <c r="T29" s="56"/>
      <c r="U29" s="33" t="s">
        <v>2715</v>
      </c>
      <c r="V29" s="94" t="s">
        <v>2443</v>
      </c>
      <c r="W29" s="94" t="s">
        <v>2444</v>
      </c>
      <c r="X29" s="51"/>
      <c r="Y29" s="51"/>
      <c r="Z29" s="33" t="s">
        <v>2445</v>
      </c>
      <c r="AA29" s="33" t="s">
        <v>2446</v>
      </c>
      <c r="AB29" s="33"/>
      <c r="AC29" s="33" t="s">
        <v>2254</v>
      </c>
      <c r="AD29" s="33"/>
      <c r="AE29" s="33" t="s">
        <v>2267</v>
      </c>
      <c r="AF29" s="33" t="s">
        <v>2447</v>
      </c>
      <c r="AG29" s="33"/>
      <c r="AH29" s="33"/>
      <c r="AI29" s="33" t="s">
        <v>2716</v>
      </c>
      <c r="AJ29" s="94" t="s">
        <v>2717</v>
      </c>
      <c r="AK29" s="33" t="s">
        <v>2718</v>
      </c>
      <c r="AL29" s="33" t="s">
        <v>2719</v>
      </c>
      <c r="AM29" s="33" t="s">
        <v>2720</v>
      </c>
      <c r="AN29" s="51" t="s">
        <v>2721</v>
      </c>
      <c r="AO29" s="51" t="s">
        <v>188</v>
      </c>
      <c r="AP29" s="33"/>
      <c r="AQ29" s="54"/>
      <c r="AR29" s="54"/>
      <c r="AS29" s="54"/>
      <c r="AT29" s="54"/>
      <c r="AU29" s="54"/>
      <c r="AV29" s="54"/>
      <c r="AW29" s="54"/>
      <c r="AX29" s="54"/>
      <c r="AY29" s="54"/>
      <c r="AZ29" s="54"/>
      <c r="BA29" s="54"/>
      <c r="BB29" s="54"/>
      <c r="BC29" s="54"/>
      <c r="BD29" s="54"/>
      <c r="BE29" s="54"/>
      <c r="BF29" s="54"/>
      <c r="BG29" s="54"/>
      <c r="BH29" s="0"/>
      <c r="BI29" s="0"/>
      <c r="BJ29" s="0"/>
      <c r="BK29" s="0"/>
      <c r="BL29" s="0"/>
      <c r="BM29" s="0"/>
      <c r="BN29"/>
      <c r="BO29"/>
      <c r="BP29"/>
      <c r="BQ29"/>
      <c r="BR29"/>
      <c r="BS29"/>
      <c r="BT29"/>
      <c r="BU29"/>
      <c r="BV29"/>
      <c r="BW29"/>
      <c r="BX29"/>
      <c r="BY29"/>
      <c r="BZ29"/>
    </row>
    <row r="30" ht="15.0" customHeight="true">
      <c r="A30" s="51" t="s">
        <v>2435</v>
      </c>
      <c r="B30" s="33"/>
      <c r="C30" s="33" t="s">
        <v>2722</v>
      </c>
      <c r="D30" s="33"/>
      <c r="E30" s="33" t="s">
        <v>2723</v>
      </c>
      <c r="F30" s="33"/>
      <c r="G30" s="55" t="s">
        <v>2724</v>
      </c>
      <c r="H30" s="33"/>
      <c r="I30" s="51" t="s">
        <v>2725</v>
      </c>
      <c r="J30" s="33"/>
      <c r="K30" s="51" t="s">
        <v>2726</v>
      </c>
      <c r="L30" s="33" t="s">
        <v>2441</v>
      </c>
      <c r="M30" s="55" t="s">
        <v>2727</v>
      </c>
      <c r="N30" s="55"/>
      <c r="O30" s="33"/>
      <c r="P30" s="33" t="s">
        <v>2251</v>
      </c>
      <c r="Q30" s="33"/>
      <c r="R30" s="33" t="s">
        <v>2263</v>
      </c>
      <c r="S30" s="56" t="s">
        <v>2277</v>
      </c>
      <c r="T30" s="56"/>
      <c r="U30" s="33" t="s">
        <v>2727</v>
      </c>
      <c r="V30" s="94" t="s">
        <v>2443</v>
      </c>
      <c r="W30" s="94" t="s">
        <v>2662</v>
      </c>
      <c r="X30" s="51"/>
      <c r="Y30" s="51"/>
      <c r="Z30" s="33" t="s">
        <v>2445</v>
      </c>
      <c r="AA30" s="33" t="s">
        <v>2482</v>
      </c>
      <c r="AB30" s="33"/>
      <c r="AC30" s="33" t="s">
        <v>2254</v>
      </c>
      <c r="AD30" s="33"/>
      <c r="AE30" s="33" t="s">
        <v>2267</v>
      </c>
      <c r="AF30" s="33" t="s">
        <v>2447</v>
      </c>
      <c r="AG30" s="33"/>
      <c r="AH30" s="33"/>
      <c r="AI30" s="33" t="s">
        <v>2728</v>
      </c>
      <c r="AJ30" s="94" t="s">
        <v>2729</v>
      </c>
      <c r="AK30" s="33" t="s">
        <v>2730</v>
      </c>
      <c r="AL30" s="33"/>
      <c r="AM30" s="33" t="s">
        <v>2731</v>
      </c>
      <c r="AN30" s="51" t="s">
        <v>2732</v>
      </c>
      <c r="AO30" s="51" t="s">
        <v>188</v>
      </c>
      <c r="AP30" s="33"/>
      <c r="AQ30" s="54"/>
      <c r="AR30" s="54"/>
      <c r="AS30" s="54"/>
      <c r="AT30" s="54"/>
      <c r="AU30" s="54"/>
      <c r="AV30" s="54"/>
      <c r="AW30" s="54"/>
      <c r="AX30" s="54"/>
      <c r="AY30" s="54"/>
      <c r="AZ30" s="54"/>
      <c r="BA30" s="54"/>
      <c r="BB30" s="54"/>
      <c r="BC30" s="54" t="s">
        <v>2434</v>
      </c>
      <c r="BD30" s="54"/>
      <c r="BE30" s="54"/>
      <c r="BF30" s="54"/>
      <c r="BG30" s="54"/>
      <c r="BH30" s="0"/>
      <c r="BI30" s="0"/>
      <c r="BJ30" s="0"/>
      <c r="BK30" s="0"/>
      <c r="BL30" s="0"/>
      <c r="BM30" s="0"/>
      <c r="BN30"/>
      <c r="BO30"/>
      <c r="BP30"/>
      <c r="BQ30"/>
      <c r="BR30"/>
      <c r="BS30"/>
      <c r="BT30"/>
      <c r="BU30"/>
      <c r="BV30"/>
      <c r="BW30"/>
      <c r="BX30"/>
      <c r="BY30"/>
      <c r="BZ30"/>
    </row>
    <row r="31" ht="15.0" customHeight="true">
      <c r="A31" s="51" t="s">
        <v>2435</v>
      </c>
      <c r="B31" s="33"/>
      <c r="C31" s="33" t="s">
        <v>2733</v>
      </c>
      <c r="D31" s="33"/>
      <c r="E31" s="33" t="s">
        <v>2522</v>
      </c>
      <c r="F31" s="33"/>
      <c r="G31" s="55" t="s">
        <v>2734</v>
      </c>
      <c r="H31" s="33"/>
      <c r="I31" s="51" t="s">
        <v>2735</v>
      </c>
      <c r="J31" s="33"/>
      <c r="K31" s="51" t="s">
        <v>2736</v>
      </c>
      <c r="L31" s="33" t="s">
        <v>2441</v>
      </c>
      <c r="M31" s="55" t="s">
        <v>2737</v>
      </c>
      <c r="N31" s="55"/>
      <c r="O31" s="33"/>
      <c r="P31" s="33" t="s">
        <v>2251</v>
      </c>
      <c r="Q31" s="33"/>
      <c r="R31" s="33" t="s">
        <v>2263</v>
      </c>
      <c r="S31" s="56" t="s">
        <v>2277</v>
      </c>
      <c r="T31" s="56"/>
      <c r="U31" s="33" t="s">
        <v>2737</v>
      </c>
      <c r="V31" s="94" t="s">
        <v>2443</v>
      </c>
      <c r="W31" s="94" t="s">
        <v>2738</v>
      </c>
      <c r="X31" s="51"/>
      <c r="Y31" s="51"/>
      <c r="Z31" s="33" t="s">
        <v>2445</v>
      </c>
      <c r="AA31" s="33" t="s">
        <v>2593</v>
      </c>
      <c r="AB31" s="33"/>
      <c r="AC31" s="33" t="s">
        <v>2254</v>
      </c>
      <c r="AD31" s="33"/>
      <c r="AE31" s="33" t="s">
        <v>2267</v>
      </c>
      <c r="AF31" s="33" t="s">
        <v>2447</v>
      </c>
      <c r="AG31" s="33"/>
      <c r="AH31" s="33"/>
      <c r="AI31" s="33" t="s">
        <v>2739</v>
      </c>
      <c r="AJ31" s="94" t="s">
        <v>2740</v>
      </c>
      <c r="AK31" s="33" t="s">
        <v>2741</v>
      </c>
      <c r="AL31" s="33"/>
      <c r="AM31" s="33" t="s">
        <v>2742</v>
      </c>
      <c r="AN31" s="51" t="s">
        <v>2743</v>
      </c>
      <c r="AO31" s="51" t="s">
        <v>188</v>
      </c>
      <c r="AP31" s="33"/>
      <c r="AQ31" s="54"/>
      <c r="AR31" s="54"/>
      <c r="AS31" s="54"/>
      <c r="AT31" s="54"/>
      <c r="AU31" s="54"/>
      <c r="AV31" s="54"/>
      <c r="AW31" s="54"/>
      <c r="AX31" s="54"/>
      <c r="AY31" s="54"/>
      <c r="AZ31" s="54"/>
      <c r="BA31" s="54"/>
      <c r="BB31" s="54"/>
      <c r="BC31" s="54" t="s">
        <v>2586</v>
      </c>
      <c r="BD31" s="54"/>
      <c r="BE31" s="54"/>
      <c r="BF31" s="54"/>
      <c r="BG31" s="54"/>
      <c r="BH31" s="0"/>
      <c r="BI31" s="0"/>
      <c r="BJ31" s="0"/>
      <c r="BK31" s="0"/>
      <c r="BL31" s="0"/>
      <c r="BM31" s="0"/>
      <c r="BN31"/>
      <c r="BO31"/>
      <c r="BP31"/>
      <c r="BQ31"/>
      <c r="BR31"/>
      <c r="BS31"/>
      <c r="BT31"/>
      <c r="BU31"/>
      <c r="BV31"/>
      <c r="BW31"/>
      <c r="BX31"/>
      <c r="BY31"/>
      <c r="BZ31"/>
    </row>
    <row r="32" ht="15.0" customHeight="true">
      <c r="A32" s="51" t="s">
        <v>2435</v>
      </c>
      <c r="B32" s="33"/>
      <c r="C32" s="33" t="s">
        <v>2744</v>
      </c>
      <c r="D32" s="33"/>
      <c r="E32" s="33" t="s">
        <v>2745</v>
      </c>
      <c r="F32" s="33"/>
      <c r="G32" s="55" t="s">
        <v>2746</v>
      </c>
      <c r="H32" s="33"/>
      <c r="I32" s="51" t="s">
        <v>2747</v>
      </c>
      <c r="J32" s="33"/>
      <c r="K32" s="51" t="s">
        <v>2748</v>
      </c>
      <c r="L32" s="33" t="s">
        <v>2441</v>
      </c>
      <c r="M32" s="55" t="s">
        <v>2749</v>
      </c>
      <c r="N32" s="55"/>
      <c r="O32" s="33"/>
      <c r="P32" s="33" t="s">
        <v>2251</v>
      </c>
      <c r="Q32" s="33"/>
      <c r="R32" s="33" t="s">
        <v>2263</v>
      </c>
      <c r="S32" s="56" t="s">
        <v>2277</v>
      </c>
      <c r="T32" s="56"/>
      <c r="U32" s="33" t="s">
        <v>2749</v>
      </c>
      <c r="V32" s="94" t="s">
        <v>2443</v>
      </c>
      <c r="W32" s="94" t="s">
        <v>2662</v>
      </c>
      <c r="X32" s="51"/>
      <c r="Y32" s="51"/>
      <c r="Z32" s="33" t="s">
        <v>2445</v>
      </c>
      <c r="AA32" s="33" t="s">
        <v>2446</v>
      </c>
      <c r="AB32" s="33"/>
      <c r="AC32" s="33" t="s">
        <v>2254</v>
      </c>
      <c r="AD32" s="33"/>
      <c r="AE32" s="33" t="s">
        <v>2267</v>
      </c>
      <c r="AF32" s="33" t="s">
        <v>2447</v>
      </c>
      <c r="AG32" s="33"/>
      <c r="AH32" s="33"/>
      <c r="AI32" s="33" t="s">
        <v>2750</v>
      </c>
      <c r="AJ32" s="94" t="s">
        <v>2751</v>
      </c>
      <c r="AK32" s="33" t="s">
        <v>2752</v>
      </c>
      <c r="AL32" s="33"/>
      <c r="AM32" s="33" t="s">
        <v>2451</v>
      </c>
      <c r="AN32" s="51" t="s">
        <v>2753</v>
      </c>
      <c r="AO32" s="51" t="s">
        <v>188</v>
      </c>
      <c r="AP32" s="33"/>
      <c r="AQ32" s="54"/>
      <c r="AR32" s="54"/>
      <c r="AS32" s="54"/>
      <c r="AT32" s="54"/>
      <c r="AU32" s="54"/>
      <c r="AV32" s="54"/>
      <c r="AW32" s="54"/>
      <c r="AX32" s="54"/>
      <c r="AY32" s="54"/>
      <c r="AZ32" s="54"/>
      <c r="BA32" s="54"/>
      <c r="BB32" s="54"/>
      <c r="BC32" s="54" t="s">
        <v>2434</v>
      </c>
      <c r="BD32" s="54"/>
      <c r="BE32" s="54"/>
      <c r="BF32" s="54"/>
      <c r="BG32" s="54"/>
      <c r="BH32" s="0"/>
      <c r="BI32" s="0"/>
      <c r="BJ32" s="0"/>
      <c r="BK32" s="0"/>
      <c r="BL32" s="0"/>
      <c r="BM32" s="0"/>
      <c r="BN32"/>
      <c r="BO32"/>
      <c r="BP32"/>
      <c r="BQ32"/>
      <c r="BR32"/>
      <c r="BS32"/>
      <c r="BT32"/>
      <c r="BU32"/>
      <c r="BV32"/>
      <c r="BW32"/>
      <c r="BX32"/>
      <c r="BY32"/>
      <c r="BZ32"/>
    </row>
    <row r="33" ht="15.0" customHeight="true">
      <c r="A33" s="51" t="s">
        <v>2435</v>
      </c>
      <c r="B33" s="33"/>
      <c r="C33" s="33" t="s">
        <v>2754</v>
      </c>
      <c r="D33" s="33"/>
      <c r="E33" s="33" t="s">
        <v>2522</v>
      </c>
      <c r="F33" s="33"/>
      <c r="G33" s="55" t="s">
        <v>2755</v>
      </c>
      <c r="H33" s="33"/>
      <c r="I33" s="51" t="s">
        <v>2756</v>
      </c>
      <c r="J33" s="33"/>
      <c r="K33" s="51" t="s">
        <v>2586</v>
      </c>
      <c r="L33" s="33" t="s">
        <v>2441</v>
      </c>
      <c r="M33" s="55" t="s">
        <v>2757</v>
      </c>
      <c r="N33" s="55"/>
      <c r="O33" s="33"/>
      <c r="P33" s="33" t="s">
        <v>2251</v>
      </c>
      <c r="Q33" s="33"/>
      <c r="R33" s="33" t="s">
        <v>2263</v>
      </c>
      <c r="S33" s="56" t="s">
        <v>2277</v>
      </c>
      <c r="T33" s="56"/>
      <c r="U33" s="33" t="s">
        <v>2592</v>
      </c>
      <c r="V33" s="94" t="s">
        <v>2443</v>
      </c>
      <c r="W33" s="94" t="s">
        <v>2758</v>
      </c>
      <c r="X33" s="51"/>
      <c r="Y33" s="51"/>
      <c r="Z33" s="33" t="s">
        <v>2445</v>
      </c>
      <c r="AA33" s="33" t="s">
        <v>2759</v>
      </c>
      <c r="AB33" s="33"/>
      <c r="AC33" s="33" t="s">
        <v>2254</v>
      </c>
      <c r="AD33" s="33"/>
      <c r="AE33" s="33" t="s">
        <v>2267</v>
      </c>
      <c r="AF33" s="33" t="s">
        <v>2447</v>
      </c>
      <c r="AG33" s="33"/>
      <c r="AH33" s="33" t="s">
        <v>2760</v>
      </c>
      <c r="AI33" s="33" t="s">
        <v>2761</v>
      </c>
      <c r="AJ33" s="94" t="s">
        <v>2762</v>
      </c>
      <c r="AK33" s="33" t="s">
        <v>2763</v>
      </c>
      <c r="AL33" s="33"/>
      <c r="AM33" s="33" t="s">
        <v>2764</v>
      </c>
      <c r="AN33" s="51" t="s">
        <v>2765</v>
      </c>
      <c r="AO33" s="51" t="s">
        <v>188</v>
      </c>
      <c r="AP33" s="33"/>
      <c r="AQ33" s="54"/>
      <c r="AR33" s="54"/>
      <c r="AS33" s="54"/>
      <c r="AT33" s="54"/>
      <c r="AU33" s="54"/>
      <c r="AV33" s="54"/>
      <c r="AW33" s="54"/>
      <c r="AX33" s="54"/>
      <c r="AY33" s="54"/>
      <c r="AZ33" s="54"/>
      <c r="BA33" s="54"/>
      <c r="BB33" s="54"/>
      <c r="BC33" s="54"/>
      <c r="BD33" s="54"/>
      <c r="BE33" s="54"/>
      <c r="BF33" s="54"/>
      <c r="BG33" s="54"/>
      <c r="BH33" s="0"/>
      <c r="BI33" s="0"/>
      <c r="BJ33" s="0"/>
      <c r="BK33" s="0"/>
      <c r="BL33" s="0"/>
      <c r="BM33" s="0"/>
      <c r="BN33"/>
      <c r="BO33"/>
      <c r="BP33"/>
      <c r="BQ33"/>
      <c r="BR33"/>
      <c r="BS33"/>
      <c r="BT33"/>
      <c r="BU33"/>
      <c r="BV33"/>
      <c r="BW33"/>
      <c r="BX33"/>
      <c r="BY33"/>
      <c r="BZ33"/>
    </row>
    <row r="34" ht="15.0" customHeight="true">
      <c r="A34" s="51" t="s">
        <v>2435</v>
      </c>
      <c r="B34" s="33"/>
      <c r="C34" s="33" t="s">
        <v>2766</v>
      </c>
      <c r="D34" s="33"/>
      <c r="E34" s="33" t="s">
        <v>2767</v>
      </c>
      <c r="F34" s="33"/>
      <c r="G34" s="55" t="s">
        <v>2768</v>
      </c>
      <c r="H34" s="33"/>
      <c r="I34" s="51" t="s">
        <v>2769</v>
      </c>
      <c r="J34" s="33"/>
      <c r="K34" s="51" t="s">
        <v>2770</v>
      </c>
      <c r="L34" s="33" t="s">
        <v>2441</v>
      </c>
      <c r="M34" s="55" t="s">
        <v>2771</v>
      </c>
      <c r="N34" s="55"/>
      <c r="O34" s="33"/>
      <c r="P34" s="33" t="s">
        <v>2251</v>
      </c>
      <c r="Q34" s="33"/>
      <c r="R34" s="33" t="s">
        <v>2263</v>
      </c>
      <c r="S34" s="56" t="s">
        <v>2277</v>
      </c>
      <c r="T34" s="56"/>
      <c r="U34" s="33" t="s">
        <v>2771</v>
      </c>
      <c r="V34" s="94" t="s">
        <v>2443</v>
      </c>
      <c r="W34" s="94" t="s">
        <v>2557</v>
      </c>
      <c r="X34" s="51"/>
      <c r="Y34" s="51"/>
      <c r="Z34" s="33" t="s">
        <v>2445</v>
      </c>
      <c r="AA34" s="33" t="s">
        <v>2482</v>
      </c>
      <c r="AB34" s="33"/>
      <c r="AC34" s="33" t="s">
        <v>2254</v>
      </c>
      <c r="AD34" s="33"/>
      <c r="AE34" s="33" t="s">
        <v>2267</v>
      </c>
      <c r="AF34" s="33" t="s">
        <v>2447</v>
      </c>
      <c r="AG34" s="33"/>
      <c r="AH34" s="33"/>
      <c r="AI34" s="33" t="s">
        <v>2772</v>
      </c>
      <c r="AJ34" s="94" t="s">
        <v>2773</v>
      </c>
      <c r="AK34" s="33" t="s">
        <v>2774</v>
      </c>
      <c r="AL34" s="33"/>
      <c r="AM34" s="33" t="s">
        <v>2451</v>
      </c>
      <c r="AN34" s="51" t="s">
        <v>2775</v>
      </c>
      <c r="AO34" s="51" t="s">
        <v>188</v>
      </c>
      <c r="AP34" s="33"/>
      <c r="AQ34" s="54"/>
      <c r="AR34" s="54"/>
      <c r="AS34" s="54"/>
      <c r="AT34" s="54"/>
      <c r="AU34" s="54"/>
      <c r="AV34" s="54"/>
      <c r="AW34" s="54"/>
      <c r="AX34" s="54"/>
      <c r="AY34" s="54"/>
      <c r="AZ34" s="54"/>
      <c r="BA34" s="54"/>
      <c r="BB34" s="54"/>
      <c r="BC34" s="54" t="s">
        <v>2434</v>
      </c>
      <c r="BD34" s="54"/>
      <c r="BE34" s="54"/>
      <c r="BF34" s="54"/>
      <c r="BG34" s="54"/>
      <c r="BH34" s="0"/>
      <c r="BI34" s="0"/>
      <c r="BJ34" s="0"/>
      <c r="BK34" s="0"/>
      <c r="BL34" s="0"/>
      <c r="BM34" s="0"/>
      <c r="BN34"/>
      <c r="BO34"/>
      <c r="BP34"/>
      <c r="BQ34"/>
      <c r="BR34"/>
      <c r="BS34"/>
      <c r="BT34"/>
      <c r="BU34"/>
      <c r="BV34"/>
      <c r="BW34"/>
      <c r="BX34"/>
      <c r="BY34"/>
      <c r="BZ34"/>
    </row>
    <row r="35" ht="15.0" customHeight="true">
      <c r="A35" s="51" t="s">
        <v>2435</v>
      </c>
      <c r="B35" s="33"/>
      <c r="C35" s="33" t="s">
        <v>2776</v>
      </c>
      <c r="D35" s="33"/>
      <c r="E35" s="33" t="s">
        <v>2777</v>
      </c>
      <c r="F35" s="33"/>
      <c r="G35" s="55" t="s">
        <v>2778</v>
      </c>
      <c r="H35" s="33"/>
      <c r="I35" s="51" t="s">
        <v>2779</v>
      </c>
      <c r="J35" s="33"/>
      <c r="K35" s="51" t="s">
        <v>2780</v>
      </c>
      <c r="L35" s="33" t="s">
        <v>2441</v>
      </c>
      <c r="M35" s="55" t="s">
        <v>2781</v>
      </c>
      <c r="N35" s="55"/>
      <c r="O35" s="33"/>
      <c r="P35" s="33" t="s">
        <v>2251</v>
      </c>
      <c r="Q35" s="33"/>
      <c r="R35" s="33" t="s">
        <v>2263</v>
      </c>
      <c r="S35" s="56" t="s">
        <v>2277</v>
      </c>
      <c r="T35" s="56"/>
      <c r="U35" s="33" t="s">
        <v>2781</v>
      </c>
      <c r="V35" s="94" t="s">
        <v>2443</v>
      </c>
      <c r="W35" s="94" t="s">
        <v>2444</v>
      </c>
      <c r="X35" s="51"/>
      <c r="Y35" s="51"/>
      <c r="Z35" s="33" t="s">
        <v>2445</v>
      </c>
      <c r="AA35" s="33" t="s">
        <v>2446</v>
      </c>
      <c r="AB35" s="33"/>
      <c r="AC35" s="33" t="s">
        <v>2254</v>
      </c>
      <c r="AD35" s="33"/>
      <c r="AE35" s="33" t="s">
        <v>2267</v>
      </c>
      <c r="AF35" s="33" t="s">
        <v>2447</v>
      </c>
      <c r="AG35" s="33"/>
      <c r="AH35" s="33"/>
      <c r="AI35" s="33" t="s">
        <v>2782</v>
      </c>
      <c r="AJ35" s="94" t="s">
        <v>2783</v>
      </c>
      <c r="AK35" s="33" t="s">
        <v>2784</v>
      </c>
      <c r="AL35" s="33"/>
      <c r="AM35" s="33" t="s">
        <v>2785</v>
      </c>
      <c r="AN35" s="51" t="s">
        <v>2786</v>
      </c>
      <c r="AO35" s="51" t="s">
        <v>188</v>
      </c>
      <c r="AP35" s="33"/>
      <c r="AQ35" s="54"/>
      <c r="AR35" s="54"/>
      <c r="AS35" s="54"/>
      <c r="AT35" s="54"/>
      <c r="AU35" s="54"/>
      <c r="AV35" s="54"/>
      <c r="AW35" s="54"/>
      <c r="AX35" s="54"/>
      <c r="AY35" s="54"/>
      <c r="AZ35" s="54"/>
      <c r="BA35" s="54"/>
      <c r="BB35" s="54"/>
      <c r="BC35" s="54" t="s">
        <v>2434</v>
      </c>
      <c r="BD35" s="54"/>
      <c r="BE35" s="54"/>
      <c r="BF35" s="54"/>
      <c r="BG35" s="54"/>
      <c r="BH35" s="0"/>
      <c r="BI35" s="0"/>
      <c r="BJ35" s="0"/>
      <c r="BK35" s="0"/>
      <c r="BL35" s="0"/>
      <c r="BM35" s="0"/>
      <c r="BN35"/>
      <c r="BO35"/>
      <c r="BP35"/>
      <c r="BQ35"/>
      <c r="BR35"/>
      <c r="BS35"/>
      <c r="BT35"/>
      <c r="BU35"/>
      <c r="BV35"/>
      <c r="BW35"/>
      <c r="BX35"/>
      <c r="BY35"/>
      <c r="BZ35"/>
    </row>
    <row r="36" ht="15.0" customHeight="true">
      <c r="A36" s="51" t="s">
        <v>2435</v>
      </c>
      <c r="B36" s="33"/>
      <c r="C36" s="33" t="s">
        <v>2466</v>
      </c>
      <c r="D36" s="33"/>
      <c r="E36" s="33" t="s">
        <v>2787</v>
      </c>
      <c r="F36" s="33"/>
      <c r="G36" s="55" t="s">
        <v>2788</v>
      </c>
      <c r="H36" s="33"/>
      <c r="I36" s="51" t="s">
        <v>2789</v>
      </c>
      <c r="J36" s="33"/>
      <c r="K36" s="51" t="s">
        <v>2790</v>
      </c>
      <c r="L36" s="33" t="s">
        <v>2441</v>
      </c>
      <c r="M36" s="55" t="s">
        <v>2791</v>
      </c>
      <c r="N36" s="55"/>
      <c r="O36" s="33"/>
      <c r="P36" s="33" t="s">
        <v>2251</v>
      </c>
      <c r="Q36" s="33"/>
      <c r="R36" s="33" t="s">
        <v>2263</v>
      </c>
      <c r="S36" s="56" t="s">
        <v>2277</v>
      </c>
      <c r="T36" s="56"/>
      <c r="U36" s="33" t="s">
        <v>2791</v>
      </c>
      <c r="V36" s="94" t="s">
        <v>2443</v>
      </c>
      <c r="W36" s="94" t="s">
        <v>2792</v>
      </c>
      <c r="X36" s="51"/>
      <c r="Y36" s="51"/>
      <c r="Z36" s="33" t="s">
        <v>2445</v>
      </c>
      <c r="AA36" s="33" t="s">
        <v>2482</v>
      </c>
      <c r="AB36" s="33"/>
      <c r="AC36" s="33" t="s">
        <v>2254</v>
      </c>
      <c r="AD36" s="33"/>
      <c r="AE36" s="33" t="s">
        <v>2267</v>
      </c>
      <c r="AF36" s="33" t="s">
        <v>2447</v>
      </c>
      <c r="AG36" s="33"/>
      <c r="AH36" s="33"/>
      <c r="AI36" s="33" t="s">
        <v>2793</v>
      </c>
      <c r="AJ36" s="94" t="s">
        <v>2794</v>
      </c>
      <c r="AK36" s="33" t="s">
        <v>2795</v>
      </c>
      <c r="AL36" s="33"/>
      <c r="AM36" s="33" t="s">
        <v>2796</v>
      </c>
      <c r="AN36" s="51" t="s">
        <v>2797</v>
      </c>
      <c r="AO36" s="51" t="s">
        <v>188</v>
      </c>
      <c r="AP36" s="33"/>
      <c r="AQ36" s="54"/>
      <c r="AR36" s="54"/>
      <c r="AS36" s="54"/>
      <c r="AT36" s="54"/>
      <c r="AU36" s="54"/>
      <c r="AV36" s="54"/>
      <c r="AW36" s="54"/>
      <c r="AX36" s="54"/>
      <c r="AY36" s="54"/>
      <c r="AZ36" s="54"/>
      <c r="BA36" s="54"/>
      <c r="BB36" s="54"/>
      <c r="BC36" s="54" t="s">
        <v>2434</v>
      </c>
      <c r="BD36" s="54"/>
      <c r="BE36" s="54"/>
      <c r="BF36" s="54"/>
      <c r="BG36" s="54"/>
      <c r="BH36" s="0"/>
      <c r="BI36" s="0"/>
      <c r="BJ36" s="0"/>
      <c r="BK36" s="0"/>
      <c r="BL36" s="0"/>
      <c r="BM36" s="0"/>
      <c r="BN36"/>
      <c r="BO36"/>
      <c r="BP36"/>
      <c r="BQ36"/>
      <c r="BR36"/>
      <c r="BS36"/>
      <c r="BT36"/>
      <c r="BU36"/>
      <c r="BV36"/>
      <c r="BW36"/>
      <c r="BX36"/>
      <c r="BY36"/>
      <c r="BZ36"/>
    </row>
    <row r="37" ht="15.0" customHeight="true">
      <c r="A37" s="51" t="s">
        <v>2435</v>
      </c>
      <c r="B37" s="33"/>
      <c r="C37" s="33" t="s">
        <v>2798</v>
      </c>
      <c r="D37" s="33"/>
      <c r="E37" s="33" t="s">
        <v>2799</v>
      </c>
      <c r="F37" s="33"/>
      <c r="G37" s="55" t="s">
        <v>2800</v>
      </c>
      <c r="H37" s="33"/>
      <c r="I37" s="51" t="s">
        <v>2801</v>
      </c>
      <c r="J37" s="33"/>
      <c r="K37" s="51" t="s">
        <v>2802</v>
      </c>
      <c r="L37" s="33" t="s">
        <v>2441</v>
      </c>
      <c r="M37" s="55" t="s">
        <v>2803</v>
      </c>
      <c r="N37" s="55"/>
      <c r="O37" s="33"/>
      <c r="P37" s="33" t="s">
        <v>2251</v>
      </c>
      <c r="Q37" s="33"/>
      <c r="R37" s="33" t="s">
        <v>2263</v>
      </c>
      <c r="S37" s="56" t="s">
        <v>2277</v>
      </c>
      <c r="T37" s="56"/>
      <c r="U37" s="33" t="s">
        <v>2803</v>
      </c>
      <c r="V37" s="94" t="s">
        <v>2443</v>
      </c>
      <c r="W37" s="94" t="s">
        <v>2444</v>
      </c>
      <c r="X37" s="51"/>
      <c r="Y37" s="51"/>
      <c r="Z37" s="33" t="s">
        <v>2445</v>
      </c>
      <c r="AA37" s="33" t="s">
        <v>2446</v>
      </c>
      <c r="AB37" s="33"/>
      <c r="AC37" s="33" t="s">
        <v>2254</v>
      </c>
      <c r="AD37" s="33"/>
      <c r="AE37" s="33" t="s">
        <v>2267</v>
      </c>
      <c r="AF37" s="33" t="s">
        <v>2447</v>
      </c>
      <c r="AG37" s="33"/>
      <c r="AH37" s="33"/>
      <c r="AI37" s="33" t="s">
        <v>2804</v>
      </c>
      <c r="AJ37" s="94" t="s">
        <v>2805</v>
      </c>
      <c r="AK37" s="33" t="s">
        <v>2806</v>
      </c>
      <c r="AL37" s="33" t="s">
        <v>2807</v>
      </c>
      <c r="AM37" s="33" t="s">
        <v>2720</v>
      </c>
      <c r="AN37" s="51" t="s">
        <v>2721</v>
      </c>
      <c r="AO37" s="51" t="s">
        <v>188</v>
      </c>
      <c r="AP37" s="33"/>
      <c r="AQ37" s="54"/>
      <c r="AR37" s="54"/>
      <c r="AS37" s="54"/>
      <c r="AT37" s="54"/>
      <c r="AU37" s="54"/>
      <c r="AV37" s="54"/>
      <c r="AW37" s="54"/>
      <c r="AX37" s="54"/>
      <c r="AY37" s="54"/>
      <c r="AZ37" s="54"/>
      <c r="BA37" s="54"/>
      <c r="BB37" s="54"/>
      <c r="BC37" s="54" t="s">
        <v>2434</v>
      </c>
      <c r="BD37" s="54"/>
      <c r="BE37" s="54"/>
      <c r="BF37" s="54"/>
      <c r="BG37" s="54"/>
      <c r="BH37" s="0"/>
      <c r="BI37" s="0"/>
      <c r="BJ37" s="0"/>
      <c r="BK37" s="0"/>
      <c r="BL37" s="0"/>
      <c r="BM37" s="0"/>
      <c r="BN37"/>
      <c r="BO37"/>
      <c r="BP37"/>
      <c r="BQ37"/>
      <c r="BR37"/>
      <c r="BS37"/>
      <c r="BT37"/>
      <c r="BU37"/>
      <c r="BV37"/>
      <c r="BW37"/>
      <c r="BX37"/>
      <c r="BY37"/>
      <c r="BZ37"/>
    </row>
    <row r="38" ht="15.0" customHeight="true">
      <c r="A38" s="51" t="s">
        <v>2435</v>
      </c>
      <c r="B38" s="33"/>
      <c r="C38" s="33" t="s">
        <v>2808</v>
      </c>
      <c r="D38" s="33" t="s">
        <v>2809</v>
      </c>
      <c r="E38" s="33" t="s">
        <v>2745</v>
      </c>
      <c r="F38" s="33"/>
      <c r="G38" s="55" t="s">
        <v>2810</v>
      </c>
      <c r="H38" s="33" t="s">
        <v>2247</v>
      </c>
      <c r="I38" s="51" t="s">
        <v>2811</v>
      </c>
      <c r="J38" s="33"/>
      <c r="K38" s="51" t="s">
        <v>2812</v>
      </c>
      <c r="L38" s="33" t="s">
        <v>2458</v>
      </c>
      <c r="M38" s="55" t="s">
        <v>2813</v>
      </c>
      <c r="N38" s="55" t="s">
        <v>2814</v>
      </c>
      <c r="O38" s="33" t="s">
        <v>2271</v>
      </c>
      <c r="P38" s="33" t="s">
        <v>2251</v>
      </c>
      <c r="Q38" s="33"/>
      <c r="R38" s="33" t="s">
        <v>2263</v>
      </c>
      <c r="S38" s="56" t="s">
        <v>2277</v>
      </c>
      <c r="T38" s="56"/>
      <c r="U38" s="33" t="s">
        <v>2813</v>
      </c>
      <c r="V38" s="94" t="s">
        <v>2443</v>
      </c>
      <c r="W38" s="94" t="s">
        <v>2517</v>
      </c>
      <c r="X38" s="51"/>
      <c r="Y38" s="51"/>
      <c r="Z38" s="33" t="s">
        <v>2445</v>
      </c>
      <c r="AA38" s="33" t="s">
        <v>2446</v>
      </c>
      <c r="AB38" s="33"/>
      <c r="AC38" s="33" t="s">
        <v>2254</v>
      </c>
      <c r="AD38" s="33"/>
      <c r="AE38" s="33" t="s">
        <v>2267</v>
      </c>
      <c r="AF38" s="33" t="s">
        <v>2447</v>
      </c>
      <c r="AG38" s="33"/>
      <c r="AH38" s="33"/>
      <c r="AI38" s="33" t="s">
        <v>2815</v>
      </c>
      <c r="AJ38" s="94" t="s">
        <v>2816</v>
      </c>
      <c r="AK38" s="33" t="s">
        <v>2817</v>
      </c>
      <c r="AL38" s="33"/>
      <c r="AM38" s="33" t="s">
        <v>2818</v>
      </c>
      <c r="AN38" s="51" t="s">
        <v>2819</v>
      </c>
      <c r="AO38" s="51" t="s">
        <v>188</v>
      </c>
      <c r="AP38" s="33"/>
      <c r="AQ38" s="54"/>
      <c r="AR38" s="54"/>
      <c r="AS38" s="54"/>
      <c r="AT38" s="54"/>
      <c r="AU38" s="54"/>
      <c r="AV38" s="54"/>
      <c r="AW38" s="54"/>
      <c r="AX38" s="54"/>
      <c r="AY38" s="54"/>
      <c r="AZ38" s="54"/>
      <c r="BA38" s="54"/>
      <c r="BB38" s="54"/>
      <c r="BC38" s="54"/>
      <c r="BD38" s="54"/>
      <c r="BE38" s="54"/>
      <c r="BF38" s="54"/>
      <c r="BG38" s="54"/>
      <c r="BH38" s="0"/>
      <c r="BI38" s="0"/>
      <c r="BJ38" s="0"/>
      <c r="BK38" s="0"/>
      <c r="BL38" s="0"/>
      <c r="BM38" s="0"/>
      <c r="BN38"/>
      <c r="BO38"/>
      <c r="BP38"/>
      <c r="BQ38"/>
      <c r="BR38"/>
      <c r="BS38"/>
      <c r="BT38"/>
      <c r="BU38"/>
      <c r="BV38"/>
      <c r="BW38"/>
      <c r="BX38"/>
      <c r="BY38"/>
      <c r="BZ38"/>
    </row>
    <row r="39" ht="15.0" customHeight="true">
      <c r="A39" s="51" t="s">
        <v>2435</v>
      </c>
      <c r="B39" s="33"/>
      <c r="C39" s="33" t="s">
        <v>2820</v>
      </c>
      <c r="D39" s="33"/>
      <c r="E39" s="33" t="s">
        <v>2821</v>
      </c>
      <c r="F39" s="33"/>
      <c r="G39" s="55" t="s">
        <v>2822</v>
      </c>
      <c r="H39" s="33"/>
      <c r="I39" s="51" t="s">
        <v>2823</v>
      </c>
      <c r="J39" s="33"/>
      <c r="K39" s="51" t="s">
        <v>2824</v>
      </c>
      <c r="L39" s="33" t="s">
        <v>2441</v>
      </c>
      <c r="M39" s="55" t="s">
        <v>2825</v>
      </c>
      <c r="N39" s="55"/>
      <c r="O39" s="33"/>
      <c r="P39" s="33" t="s">
        <v>2251</v>
      </c>
      <c r="Q39" s="33"/>
      <c r="R39" s="33" t="s">
        <v>2263</v>
      </c>
      <c r="S39" s="56" t="s">
        <v>2277</v>
      </c>
      <c r="T39" s="56"/>
      <c r="U39" s="33" t="s">
        <v>2592</v>
      </c>
      <c r="V39" s="94" t="s">
        <v>2443</v>
      </c>
      <c r="W39" s="94" t="s">
        <v>2444</v>
      </c>
      <c r="X39" s="51"/>
      <c r="Y39" s="51"/>
      <c r="Z39" s="33" t="s">
        <v>2445</v>
      </c>
      <c r="AA39" s="33" t="s">
        <v>2446</v>
      </c>
      <c r="AB39" s="33"/>
      <c r="AC39" s="33" t="s">
        <v>2254</v>
      </c>
      <c r="AD39" s="33"/>
      <c r="AE39" s="33" t="s">
        <v>2267</v>
      </c>
      <c r="AF39" s="33" t="s">
        <v>2447</v>
      </c>
      <c r="AG39" s="33"/>
      <c r="AH39" s="33" t="s">
        <v>2826</v>
      </c>
      <c r="AI39" s="33" t="s">
        <v>2826</v>
      </c>
      <c r="AJ39" s="94" t="s">
        <v>2827</v>
      </c>
      <c r="AK39" s="33" t="s">
        <v>2828</v>
      </c>
      <c r="AL39" s="33"/>
      <c r="AM39" s="33" t="s">
        <v>2549</v>
      </c>
      <c r="AN39" s="51" t="s">
        <v>2550</v>
      </c>
      <c r="AO39" s="51" t="s">
        <v>188</v>
      </c>
      <c r="AP39" s="33"/>
      <c r="AQ39" s="54"/>
      <c r="AR39" s="54"/>
      <c r="AS39" s="54"/>
      <c r="AT39" s="54"/>
      <c r="AU39" s="54"/>
      <c r="AV39" s="54"/>
      <c r="AW39" s="54"/>
      <c r="AX39" s="54"/>
      <c r="AY39" s="54"/>
      <c r="AZ39" s="54"/>
      <c r="BA39" s="54"/>
      <c r="BB39" s="54"/>
      <c r="BC39" s="54" t="s">
        <v>2434</v>
      </c>
      <c r="BD39" s="54"/>
      <c r="BE39" s="54"/>
      <c r="BF39" s="54"/>
      <c r="BG39" s="54"/>
      <c r="BH39" s="0"/>
      <c r="BI39" s="0"/>
      <c r="BJ39" s="0"/>
      <c r="BK39" s="0"/>
      <c r="BL39" s="0"/>
      <c r="BM39" s="0"/>
      <c r="BN39"/>
      <c r="BO39"/>
      <c r="BP39"/>
      <c r="BQ39"/>
      <c r="BR39"/>
      <c r="BS39"/>
      <c r="BT39"/>
      <c r="BU39"/>
      <c r="BV39"/>
      <c r="BW39"/>
      <c r="BX39"/>
      <c r="BY39"/>
      <c r="BZ39"/>
    </row>
    <row r="40" ht="15.0" customHeight="true">
      <c r="A40" s="51" t="s">
        <v>2435</v>
      </c>
      <c r="B40" s="33"/>
      <c r="C40" s="33" t="s">
        <v>2829</v>
      </c>
      <c r="D40" s="33"/>
      <c r="E40" s="33" t="s">
        <v>2830</v>
      </c>
      <c r="F40" s="33"/>
      <c r="G40" s="55" t="s">
        <v>2831</v>
      </c>
      <c r="H40" s="33" t="s">
        <v>2258</v>
      </c>
      <c r="I40" s="51" t="s">
        <v>2832</v>
      </c>
      <c r="J40" s="33"/>
      <c r="K40" s="51" t="s">
        <v>2833</v>
      </c>
      <c r="L40" s="33" t="s">
        <v>2458</v>
      </c>
      <c r="M40" s="55" t="s">
        <v>2629</v>
      </c>
      <c r="N40" s="55" t="s">
        <v>2617</v>
      </c>
      <c r="O40" s="33" t="s">
        <v>2271</v>
      </c>
      <c r="P40" s="33" t="s">
        <v>2251</v>
      </c>
      <c r="Q40" s="33"/>
      <c r="R40" s="33" t="s">
        <v>2263</v>
      </c>
      <c r="S40" s="56" t="s">
        <v>2277</v>
      </c>
      <c r="T40" s="56"/>
      <c r="U40" s="33" t="s">
        <v>2629</v>
      </c>
      <c r="V40" s="94" t="s">
        <v>2443</v>
      </c>
      <c r="W40" s="94" t="s">
        <v>2444</v>
      </c>
      <c r="X40" s="51"/>
      <c r="Y40" s="51"/>
      <c r="Z40" s="33" t="s">
        <v>2445</v>
      </c>
      <c r="AA40" s="33" t="s">
        <v>2446</v>
      </c>
      <c r="AB40" s="33"/>
      <c r="AC40" s="33" t="s">
        <v>2254</v>
      </c>
      <c r="AD40" s="33"/>
      <c r="AE40" s="33" t="s">
        <v>2267</v>
      </c>
      <c r="AF40" s="33" t="s">
        <v>2447</v>
      </c>
      <c r="AG40" s="33"/>
      <c r="AH40" s="33"/>
      <c r="AI40" s="33" t="s">
        <v>2834</v>
      </c>
      <c r="AJ40" s="94" t="s">
        <v>2835</v>
      </c>
      <c r="AK40" s="33" t="s">
        <v>2836</v>
      </c>
      <c r="AL40" s="33"/>
      <c r="AM40" s="33" t="s">
        <v>2451</v>
      </c>
      <c r="AN40" s="51" t="s">
        <v>2837</v>
      </c>
      <c r="AO40" s="51" t="s">
        <v>188</v>
      </c>
      <c r="AP40" s="33"/>
      <c r="AQ40" s="54"/>
      <c r="AR40" s="54"/>
      <c r="AS40" s="54"/>
      <c r="AT40" s="54"/>
      <c r="AU40" s="54"/>
      <c r="AV40" s="54"/>
      <c r="AW40" s="54"/>
      <c r="AX40" s="54"/>
      <c r="AY40" s="54"/>
      <c r="AZ40" s="54"/>
      <c r="BA40" s="54"/>
      <c r="BB40" s="54"/>
      <c r="BC40" s="54"/>
      <c r="BD40" s="54"/>
      <c r="BE40" s="54"/>
      <c r="BF40" s="54"/>
      <c r="BG40" s="54"/>
      <c r="BH40" s="0"/>
      <c r="BI40" s="0"/>
      <c r="BJ40" s="0"/>
      <c r="BK40" s="0"/>
      <c r="BL40" s="0"/>
      <c r="BM40" s="0"/>
      <c r="BN40"/>
      <c r="BO40"/>
      <c r="BP40"/>
      <c r="BQ40"/>
      <c r="BR40"/>
      <c r="BS40"/>
      <c r="BT40"/>
      <c r="BU40"/>
      <c r="BV40"/>
      <c r="BW40"/>
      <c r="BX40"/>
      <c r="BY40"/>
      <c r="BZ40"/>
    </row>
    <row r="41" ht="15.0" customHeight="true">
      <c r="A41" s="51" t="s">
        <v>2435</v>
      </c>
      <c r="B41" s="33"/>
      <c r="C41" s="33" t="s">
        <v>2838</v>
      </c>
      <c r="D41" s="33"/>
      <c r="E41" s="33" t="s">
        <v>2839</v>
      </c>
      <c r="F41" s="33"/>
      <c r="G41" s="55" t="s">
        <v>2840</v>
      </c>
      <c r="H41" s="33"/>
      <c r="I41" s="51" t="s">
        <v>2841</v>
      </c>
      <c r="J41" s="33"/>
      <c r="K41" s="51" t="s">
        <v>2842</v>
      </c>
      <c r="L41" s="33" t="s">
        <v>2441</v>
      </c>
      <c r="M41" s="55" t="s">
        <v>2843</v>
      </c>
      <c r="N41" s="55"/>
      <c r="O41" s="33"/>
      <c r="P41" s="33" t="s">
        <v>2251</v>
      </c>
      <c r="Q41" s="33"/>
      <c r="R41" s="33" t="s">
        <v>2263</v>
      </c>
      <c r="S41" s="56" t="s">
        <v>2277</v>
      </c>
      <c r="T41" s="56"/>
      <c r="U41" s="33" t="s">
        <v>2843</v>
      </c>
      <c r="V41" s="94" t="s">
        <v>2443</v>
      </c>
      <c r="W41" s="94" t="s">
        <v>2604</v>
      </c>
      <c r="X41" s="51"/>
      <c r="Y41" s="51"/>
      <c r="Z41" s="33" t="s">
        <v>2445</v>
      </c>
      <c r="AA41" s="33" t="s">
        <v>2446</v>
      </c>
      <c r="AB41" s="33"/>
      <c r="AC41" s="33" t="s">
        <v>2254</v>
      </c>
      <c r="AD41" s="33"/>
      <c r="AE41" s="33" t="s">
        <v>2267</v>
      </c>
      <c r="AF41" s="33" t="s">
        <v>2447</v>
      </c>
      <c r="AG41" s="33"/>
      <c r="AH41" s="33"/>
      <c r="AI41" s="33" t="s">
        <v>2844</v>
      </c>
      <c r="AJ41" s="94" t="s">
        <v>2845</v>
      </c>
      <c r="AK41" s="33" t="s">
        <v>2846</v>
      </c>
      <c r="AL41" s="33"/>
      <c r="AM41" s="33" t="s">
        <v>2847</v>
      </c>
      <c r="AN41" s="51" t="s">
        <v>2848</v>
      </c>
      <c r="AO41" s="51" t="s">
        <v>188</v>
      </c>
      <c r="AP41" s="33"/>
      <c r="AQ41" s="54"/>
      <c r="AR41" s="54"/>
      <c r="AS41" s="54"/>
      <c r="AT41" s="54"/>
      <c r="AU41" s="54"/>
      <c r="AV41" s="54"/>
      <c r="AW41" s="54"/>
      <c r="AX41" s="54"/>
      <c r="AY41" s="54"/>
      <c r="AZ41" s="54"/>
      <c r="BA41" s="54"/>
      <c r="BB41" s="54"/>
      <c r="BC41" s="54" t="s">
        <v>2434</v>
      </c>
      <c r="BD41" s="54"/>
      <c r="BE41" s="54"/>
      <c r="BF41" s="54"/>
      <c r="BG41" s="54"/>
      <c r="BH41" s="0"/>
      <c r="BI41" s="0"/>
      <c r="BJ41" s="0"/>
      <c r="BK41" s="0"/>
      <c r="BL41" s="0"/>
      <c r="BM41" s="0"/>
      <c r="BN41"/>
      <c r="BO41"/>
      <c r="BP41"/>
      <c r="BQ41"/>
      <c r="BR41"/>
      <c r="BS41"/>
      <c r="BT41"/>
      <c r="BU41"/>
      <c r="BV41"/>
      <c r="BW41"/>
      <c r="BX41"/>
      <c r="BY41"/>
      <c r="BZ41"/>
    </row>
    <row r="42" ht="15.0" customHeight="true">
      <c r="A42" s="51" t="s">
        <v>2435</v>
      </c>
      <c r="B42" s="33"/>
      <c r="C42" s="33" t="s">
        <v>2849</v>
      </c>
      <c r="D42" s="33"/>
      <c r="E42" s="33" t="s">
        <v>2850</v>
      </c>
      <c r="F42" s="33"/>
      <c r="G42" s="55" t="s">
        <v>2851</v>
      </c>
      <c r="H42" s="33"/>
      <c r="I42" s="51" t="s">
        <v>2852</v>
      </c>
      <c r="J42" s="33"/>
      <c r="K42" s="51" t="s">
        <v>2853</v>
      </c>
      <c r="L42" s="33" t="s">
        <v>2441</v>
      </c>
      <c r="M42" s="55" t="s">
        <v>2854</v>
      </c>
      <c r="N42" s="55"/>
      <c r="O42" s="33"/>
      <c r="P42" s="33" t="s">
        <v>2251</v>
      </c>
      <c r="Q42" s="33"/>
      <c r="R42" s="33" t="s">
        <v>2263</v>
      </c>
      <c r="S42" s="56" t="s">
        <v>2277</v>
      </c>
      <c r="T42" s="56"/>
      <c r="U42" s="33" t="s">
        <v>2854</v>
      </c>
      <c r="V42" s="94" t="s">
        <v>2443</v>
      </c>
      <c r="W42" s="94" t="s">
        <v>2444</v>
      </c>
      <c r="X42" s="51"/>
      <c r="Y42" s="51"/>
      <c r="Z42" s="33" t="s">
        <v>2445</v>
      </c>
      <c r="AA42" s="33" t="s">
        <v>2446</v>
      </c>
      <c r="AB42" s="33"/>
      <c r="AC42" s="33" t="s">
        <v>2254</v>
      </c>
      <c r="AD42" s="33"/>
      <c r="AE42" s="33" t="s">
        <v>2267</v>
      </c>
      <c r="AF42" s="33" t="s">
        <v>2447</v>
      </c>
      <c r="AG42" s="33"/>
      <c r="AH42" s="33"/>
      <c r="AI42" s="33" t="s">
        <v>2855</v>
      </c>
      <c r="AJ42" s="94" t="s">
        <v>2856</v>
      </c>
      <c r="AK42" s="33" t="s">
        <v>2857</v>
      </c>
      <c r="AL42" s="33"/>
      <c r="AM42" s="33" t="s">
        <v>2451</v>
      </c>
      <c r="AN42" s="51" t="s">
        <v>2858</v>
      </c>
      <c r="AO42" s="51" t="s">
        <v>188</v>
      </c>
      <c r="AP42" s="33"/>
      <c r="AQ42" s="54"/>
      <c r="AR42" s="54"/>
      <c r="AS42" s="54"/>
      <c r="AT42" s="54"/>
      <c r="AU42" s="54"/>
      <c r="AV42" s="54"/>
      <c r="AW42" s="54"/>
      <c r="AX42" s="54"/>
      <c r="AY42" s="54"/>
      <c r="AZ42" s="54"/>
      <c r="BA42" s="54"/>
      <c r="BB42" s="54"/>
      <c r="BC42" s="54" t="s">
        <v>2434</v>
      </c>
      <c r="BD42" s="54"/>
      <c r="BE42" s="54"/>
      <c r="BF42" s="54"/>
      <c r="BG42" s="54"/>
      <c r="BH42" s="0"/>
      <c r="BI42" s="0"/>
      <c r="BJ42" s="0"/>
      <c r="BK42" s="0"/>
      <c r="BL42" s="0"/>
      <c r="BM42" s="0"/>
      <c r="BN42"/>
      <c r="BO42"/>
      <c r="BP42"/>
      <c r="BQ42"/>
      <c r="BR42"/>
      <c r="BS42"/>
      <c r="BT42"/>
      <c r="BU42"/>
      <c r="BV42"/>
      <c r="BW42"/>
      <c r="BX42"/>
      <c r="BY42"/>
      <c r="BZ42"/>
    </row>
    <row r="43" ht="15.0" customHeight="true">
      <c r="A43" s="51" t="s">
        <v>2435</v>
      </c>
      <c r="B43" s="33"/>
      <c r="C43" s="33" t="s">
        <v>2859</v>
      </c>
      <c r="D43" s="33"/>
      <c r="E43" s="33" t="s">
        <v>2860</v>
      </c>
      <c r="F43" s="33"/>
      <c r="G43" s="55" t="s">
        <v>2861</v>
      </c>
      <c r="H43" s="33"/>
      <c r="I43" s="51" t="s">
        <v>2862</v>
      </c>
      <c r="J43" s="33"/>
      <c r="K43" s="51" t="s">
        <v>2863</v>
      </c>
      <c r="L43" s="33" t="s">
        <v>2441</v>
      </c>
      <c r="M43" s="55" t="s">
        <v>2864</v>
      </c>
      <c r="N43" s="55"/>
      <c r="O43" s="33"/>
      <c r="P43" s="33" t="s">
        <v>2251</v>
      </c>
      <c r="Q43" s="33"/>
      <c r="R43" s="33" t="s">
        <v>2263</v>
      </c>
      <c r="S43" s="56" t="s">
        <v>2277</v>
      </c>
      <c r="T43" s="56"/>
      <c r="U43" s="33" t="s">
        <v>2864</v>
      </c>
      <c r="V43" s="94" t="s">
        <v>2443</v>
      </c>
      <c r="W43" s="94" t="s">
        <v>2517</v>
      </c>
      <c r="X43" s="51"/>
      <c r="Y43" s="51"/>
      <c r="Z43" s="33" t="s">
        <v>2445</v>
      </c>
      <c r="AA43" s="33" t="s">
        <v>2446</v>
      </c>
      <c r="AB43" s="33"/>
      <c r="AC43" s="33" t="s">
        <v>2254</v>
      </c>
      <c r="AD43" s="33"/>
      <c r="AE43" s="33" t="s">
        <v>2267</v>
      </c>
      <c r="AF43" s="33" t="s">
        <v>2447</v>
      </c>
      <c r="AG43" s="33"/>
      <c r="AH43" s="33"/>
      <c r="AI43" s="33" t="s">
        <v>2865</v>
      </c>
      <c r="AJ43" s="94" t="s">
        <v>2866</v>
      </c>
      <c r="AK43" s="33" t="s">
        <v>2867</v>
      </c>
      <c r="AL43" s="33"/>
      <c r="AM43" s="33" t="s">
        <v>2677</v>
      </c>
      <c r="AN43" s="51" t="s">
        <v>2678</v>
      </c>
      <c r="AO43" s="51" t="s">
        <v>188</v>
      </c>
      <c r="AP43" s="33"/>
      <c r="AQ43" s="54"/>
      <c r="AR43" s="54"/>
      <c r="AS43" s="54"/>
      <c r="AT43" s="54"/>
      <c r="AU43" s="54"/>
      <c r="AV43" s="54"/>
      <c r="AW43" s="54"/>
      <c r="AX43" s="54"/>
      <c r="AY43" s="54"/>
      <c r="AZ43" s="54"/>
      <c r="BA43" s="54"/>
      <c r="BB43" s="54"/>
      <c r="BC43" s="54" t="s">
        <v>2434</v>
      </c>
      <c r="BD43" s="54"/>
      <c r="BE43" s="54"/>
      <c r="BF43" s="54"/>
      <c r="BG43" s="54"/>
      <c r="BH43" s="0"/>
      <c r="BI43" s="0"/>
      <c r="BJ43" s="0"/>
      <c r="BK43" s="0"/>
      <c r="BL43" s="0"/>
      <c r="BM43" s="0"/>
      <c r="BN43"/>
      <c r="BO43"/>
      <c r="BP43"/>
      <c r="BQ43"/>
      <c r="BR43"/>
      <c r="BS43"/>
      <c r="BT43"/>
      <c r="BU43"/>
      <c r="BV43"/>
      <c r="BW43"/>
      <c r="BX43"/>
      <c r="BY43"/>
      <c r="BZ43"/>
    </row>
    <row r="44" ht="15.0" customHeight="true">
      <c r="A44" s="51" t="s">
        <v>2435</v>
      </c>
      <c r="B44" s="33"/>
      <c r="C44" s="33" t="s">
        <v>2868</v>
      </c>
      <c r="D44" s="33"/>
      <c r="E44" s="33" t="s">
        <v>2869</v>
      </c>
      <c r="F44" s="33"/>
      <c r="G44" s="55" t="s">
        <v>2870</v>
      </c>
      <c r="H44" s="33"/>
      <c r="I44" s="51" t="s">
        <v>2871</v>
      </c>
      <c r="J44" s="33"/>
      <c r="K44" s="51" t="s">
        <v>2872</v>
      </c>
      <c r="L44" s="33" t="s">
        <v>2441</v>
      </c>
      <c r="M44" s="55" t="s">
        <v>2873</v>
      </c>
      <c r="N44" s="55"/>
      <c r="O44" s="33"/>
      <c r="P44" s="33" t="s">
        <v>2251</v>
      </c>
      <c r="Q44" s="33"/>
      <c r="R44" s="33" t="s">
        <v>2263</v>
      </c>
      <c r="S44" s="56" t="s">
        <v>2277</v>
      </c>
      <c r="T44" s="56"/>
      <c r="U44" s="33" t="s">
        <v>2873</v>
      </c>
      <c r="V44" s="94" t="s">
        <v>2443</v>
      </c>
      <c r="W44" s="94" t="s">
        <v>2444</v>
      </c>
      <c r="X44" s="51"/>
      <c r="Y44" s="51"/>
      <c r="Z44" s="33" t="s">
        <v>2445</v>
      </c>
      <c r="AA44" s="33" t="s">
        <v>2446</v>
      </c>
      <c r="AB44" s="33"/>
      <c r="AC44" s="33" t="s">
        <v>2254</v>
      </c>
      <c r="AD44" s="33"/>
      <c r="AE44" s="33" t="s">
        <v>2267</v>
      </c>
      <c r="AF44" s="33" t="s">
        <v>2447</v>
      </c>
      <c r="AG44" s="33"/>
      <c r="AH44" s="33"/>
      <c r="AI44" s="33" t="s">
        <v>2874</v>
      </c>
      <c r="AJ44" s="94" t="s">
        <v>2875</v>
      </c>
      <c r="AK44" s="33" t="s">
        <v>2876</v>
      </c>
      <c r="AL44" s="33"/>
      <c r="AM44" s="33" t="s">
        <v>2877</v>
      </c>
      <c r="AN44" s="51" t="s">
        <v>2878</v>
      </c>
      <c r="AO44" s="51" t="s">
        <v>188</v>
      </c>
      <c r="AP44" s="33"/>
      <c r="AQ44" s="54"/>
      <c r="AR44" s="54"/>
      <c r="AS44" s="54"/>
      <c r="AT44" s="54"/>
      <c r="AU44" s="54"/>
      <c r="AV44" s="54"/>
      <c r="AW44" s="54"/>
      <c r="AX44" s="54"/>
      <c r="AY44" s="54"/>
      <c r="AZ44" s="54"/>
      <c r="BA44" s="54"/>
      <c r="BB44" s="54"/>
      <c r="BC44" s="54" t="s">
        <v>2434</v>
      </c>
      <c r="BD44" s="54"/>
      <c r="BE44" s="54"/>
      <c r="BF44" s="54"/>
      <c r="BG44" s="54"/>
      <c r="BH44" s="0"/>
      <c r="BI44" s="0"/>
      <c r="BJ44" s="0"/>
      <c r="BK44" s="0"/>
      <c r="BL44" s="0"/>
      <c r="BM44" s="0"/>
      <c r="BN44"/>
      <c r="BO44"/>
      <c r="BP44"/>
      <c r="BQ44"/>
      <c r="BR44"/>
      <c r="BS44"/>
      <c r="BT44"/>
      <c r="BU44"/>
      <c r="BV44"/>
      <c r="BW44"/>
      <c r="BX44"/>
      <c r="BY44"/>
      <c r="BZ44"/>
    </row>
    <row r="45" ht="15.0" customHeight="true">
      <c r="A45" s="51" t="s">
        <v>2435</v>
      </c>
      <c r="B45" s="33"/>
      <c r="C45" s="33" t="s">
        <v>2879</v>
      </c>
      <c r="D45" s="33"/>
      <c r="E45" s="33" t="s">
        <v>2880</v>
      </c>
      <c r="F45" s="33"/>
      <c r="G45" s="55" t="s">
        <v>2881</v>
      </c>
      <c r="H45" s="33"/>
      <c r="I45" s="51" t="s">
        <v>2882</v>
      </c>
      <c r="J45" s="33"/>
      <c r="K45" s="51" t="s">
        <v>2883</v>
      </c>
      <c r="L45" s="33" t="s">
        <v>2441</v>
      </c>
      <c r="M45" s="55" t="s">
        <v>2884</v>
      </c>
      <c r="N45" s="55"/>
      <c r="O45" s="33"/>
      <c r="P45" s="33" t="s">
        <v>2262</v>
      </c>
      <c r="Q45" s="33"/>
      <c r="R45" s="33" t="s">
        <v>2263</v>
      </c>
      <c r="S45" s="56" t="s">
        <v>2277</v>
      </c>
      <c r="T45" s="56"/>
      <c r="U45" s="33" t="s">
        <v>2884</v>
      </c>
      <c r="V45" s="94" t="s">
        <v>2443</v>
      </c>
      <c r="W45" s="94" t="s">
        <v>2444</v>
      </c>
      <c r="X45" s="51"/>
      <c r="Y45" s="51"/>
      <c r="Z45" s="33" t="s">
        <v>2445</v>
      </c>
      <c r="AA45" s="33" t="s">
        <v>2446</v>
      </c>
      <c r="AB45" s="33"/>
      <c r="AC45" s="33" t="s">
        <v>2254</v>
      </c>
      <c r="AD45" s="33"/>
      <c r="AE45" s="33" t="s">
        <v>2267</v>
      </c>
      <c r="AF45" s="33" t="s">
        <v>2447</v>
      </c>
      <c r="AG45" s="33"/>
      <c r="AH45" s="33"/>
      <c r="AI45" s="33" t="s">
        <v>2885</v>
      </c>
      <c r="AJ45" s="94" t="s">
        <v>2886</v>
      </c>
      <c r="AK45" s="33" t="s">
        <v>2887</v>
      </c>
      <c r="AL45" s="33"/>
      <c r="AM45" s="33" t="s">
        <v>2451</v>
      </c>
      <c r="AN45" s="51" t="s">
        <v>2888</v>
      </c>
      <c r="AO45" s="51" t="s">
        <v>188</v>
      </c>
      <c r="AP45" s="33"/>
      <c r="AQ45" s="54"/>
      <c r="AR45" s="54"/>
      <c r="AS45" s="54"/>
      <c r="AT45" s="54"/>
      <c r="AU45" s="54"/>
      <c r="AV45" s="54"/>
      <c r="AW45" s="54"/>
      <c r="AX45" s="54"/>
      <c r="AY45" s="54"/>
      <c r="AZ45" s="54"/>
      <c r="BA45" s="54"/>
      <c r="BB45" s="54"/>
      <c r="BC45" s="54" t="s">
        <v>2434</v>
      </c>
      <c r="BD45" s="54"/>
      <c r="BE45" s="54"/>
      <c r="BF45" s="54"/>
      <c r="BG45" s="54"/>
      <c r="BH45" s="0"/>
      <c r="BI45" s="0"/>
      <c r="BJ45" s="0"/>
      <c r="BK45" s="0"/>
      <c r="BL45" s="0"/>
      <c r="BM45" s="0"/>
      <c r="BN45"/>
      <c r="BO45"/>
      <c r="BP45"/>
      <c r="BQ45"/>
      <c r="BR45"/>
      <c r="BS45"/>
      <c r="BT45"/>
      <c r="BU45"/>
      <c r="BV45"/>
      <c r="BW45"/>
      <c r="BX45"/>
      <c r="BY45"/>
      <c r="BZ45"/>
    </row>
    <row r="46" ht="15.0" customHeight="true">
      <c r="A46" s="51" t="s">
        <v>2435</v>
      </c>
      <c r="B46" s="33"/>
      <c r="C46" s="33" t="s">
        <v>2889</v>
      </c>
      <c r="D46" s="33"/>
      <c r="E46" s="33" t="s">
        <v>2890</v>
      </c>
      <c r="F46" s="33"/>
      <c r="G46" s="55" t="s">
        <v>2891</v>
      </c>
      <c r="H46" s="33"/>
      <c r="I46" s="51" t="s">
        <v>2892</v>
      </c>
      <c r="J46" s="33"/>
      <c r="K46" s="51" t="s">
        <v>2893</v>
      </c>
      <c r="L46" s="33" t="s">
        <v>2441</v>
      </c>
      <c r="M46" s="55" t="s">
        <v>2894</v>
      </c>
      <c r="N46" s="55"/>
      <c r="O46" s="33"/>
      <c r="P46" s="33" t="s">
        <v>2251</v>
      </c>
      <c r="Q46" s="33"/>
      <c r="R46" s="33" t="s">
        <v>2263</v>
      </c>
      <c r="S46" s="56" t="s">
        <v>2277</v>
      </c>
      <c r="T46" s="56"/>
      <c r="U46" s="33" t="s">
        <v>2894</v>
      </c>
      <c r="V46" s="94" t="s">
        <v>2443</v>
      </c>
      <c r="W46" s="94" t="s">
        <v>2662</v>
      </c>
      <c r="X46" s="51"/>
      <c r="Y46" s="51"/>
      <c r="Z46" s="33" t="s">
        <v>2445</v>
      </c>
      <c r="AA46" s="33" t="s">
        <v>2482</v>
      </c>
      <c r="AB46" s="33"/>
      <c r="AC46" s="33" t="s">
        <v>2254</v>
      </c>
      <c r="AD46" s="33"/>
      <c r="AE46" s="33" t="s">
        <v>2267</v>
      </c>
      <c r="AF46" s="33" t="s">
        <v>2447</v>
      </c>
      <c r="AG46" s="33"/>
      <c r="AH46" s="33"/>
      <c r="AI46" s="33" t="s">
        <v>2895</v>
      </c>
      <c r="AJ46" s="94" t="s">
        <v>2896</v>
      </c>
      <c r="AK46" s="33" t="s">
        <v>2897</v>
      </c>
      <c r="AL46" s="33" t="s">
        <v>2898</v>
      </c>
      <c r="AM46" s="33" t="s">
        <v>2899</v>
      </c>
      <c r="AN46" s="51" t="s">
        <v>2900</v>
      </c>
      <c r="AO46" s="51" t="s">
        <v>188</v>
      </c>
      <c r="AP46" s="33"/>
      <c r="AQ46" s="54"/>
      <c r="AR46" s="54"/>
      <c r="AS46" s="54"/>
      <c r="AT46" s="54"/>
      <c r="AU46" s="54"/>
      <c r="AV46" s="54"/>
      <c r="AW46" s="54"/>
      <c r="AX46" s="54"/>
      <c r="AY46" s="54"/>
      <c r="AZ46" s="54"/>
      <c r="BA46" s="54"/>
      <c r="BB46" s="54"/>
      <c r="BC46" s="54" t="s">
        <v>2434</v>
      </c>
      <c r="BD46" s="54"/>
      <c r="BE46" s="54"/>
      <c r="BF46" s="54"/>
      <c r="BG46" s="54"/>
      <c r="BH46" s="0"/>
      <c r="BI46" s="0"/>
      <c r="BJ46" s="0"/>
      <c r="BK46" s="0"/>
      <c r="BL46" s="0"/>
      <c r="BM46" s="0"/>
      <c r="BN46"/>
      <c r="BO46"/>
      <c r="BP46"/>
      <c r="BQ46"/>
      <c r="BR46"/>
      <c r="BS46"/>
      <c r="BT46"/>
      <c r="BU46"/>
      <c r="BV46"/>
      <c r="BW46"/>
      <c r="BX46"/>
      <c r="BY46"/>
      <c r="BZ46"/>
    </row>
    <row r="47" ht="15.0" customHeight="true">
      <c r="A47" s="51" t="s">
        <v>2435</v>
      </c>
      <c r="B47" s="33"/>
      <c r="C47" s="33" t="s">
        <v>2901</v>
      </c>
      <c r="D47" s="33"/>
      <c r="E47" s="33" t="s">
        <v>2902</v>
      </c>
      <c r="F47" s="33"/>
      <c r="G47" s="55" t="s">
        <v>2903</v>
      </c>
      <c r="H47" s="33"/>
      <c r="I47" s="51" t="s">
        <v>2904</v>
      </c>
      <c r="J47" s="33"/>
      <c r="K47" s="51" t="s">
        <v>2905</v>
      </c>
      <c r="L47" s="33" t="s">
        <v>2441</v>
      </c>
      <c r="M47" s="55" t="s">
        <v>2906</v>
      </c>
      <c r="N47" s="55"/>
      <c r="O47" s="33"/>
      <c r="P47" s="33" t="s">
        <v>2262</v>
      </c>
      <c r="Q47" s="33"/>
      <c r="R47" s="33" t="s">
        <v>2263</v>
      </c>
      <c r="S47" s="56" t="s">
        <v>2277</v>
      </c>
      <c r="T47" s="56"/>
      <c r="U47" s="33" t="s">
        <v>2906</v>
      </c>
      <c r="V47" s="94" t="s">
        <v>2443</v>
      </c>
      <c r="W47" s="94" t="s">
        <v>2444</v>
      </c>
      <c r="X47" s="51"/>
      <c r="Y47" s="51"/>
      <c r="Z47" s="33" t="s">
        <v>2445</v>
      </c>
      <c r="AA47" s="33" t="s">
        <v>2446</v>
      </c>
      <c r="AB47" s="33"/>
      <c r="AC47" s="33" t="s">
        <v>2254</v>
      </c>
      <c r="AD47" s="33"/>
      <c r="AE47" s="33" t="s">
        <v>2267</v>
      </c>
      <c r="AF47" s="33" t="s">
        <v>2447</v>
      </c>
      <c r="AG47" s="33"/>
      <c r="AH47" s="33"/>
      <c r="AI47" s="33" t="s">
        <v>2907</v>
      </c>
      <c r="AJ47" s="94" t="s">
        <v>2908</v>
      </c>
      <c r="AK47" s="33" t="s">
        <v>2909</v>
      </c>
      <c r="AL47" s="33"/>
      <c r="AM47" s="33" t="s">
        <v>2572</v>
      </c>
      <c r="AN47" s="51" t="s">
        <v>2910</v>
      </c>
      <c r="AO47" s="51" t="s">
        <v>188</v>
      </c>
      <c r="AP47" s="33"/>
      <c r="AQ47" s="54"/>
      <c r="AR47" s="54"/>
      <c r="AS47" s="54"/>
      <c r="AT47" s="54"/>
      <c r="AU47" s="54"/>
      <c r="AV47" s="54"/>
      <c r="AW47" s="54"/>
      <c r="AX47" s="54"/>
      <c r="AY47" s="54"/>
      <c r="AZ47" s="54"/>
      <c r="BA47" s="54"/>
      <c r="BB47" s="54"/>
      <c r="BC47" s="54" t="s">
        <v>2434</v>
      </c>
      <c r="BD47" s="54"/>
      <c r="BE47" s="54"/>
      <c r="BF47" s="54"/>
      <c r="BG47" s="54"/>
      <c r="BH47" s="0"/>
      <c r="BI47" s="0"/>
      <c r="BJ47" s="0"/>
      <c r="BK47" s="0"/>
      <c r="BL47" s="0"/>
      <c r="BM47" s="0"/>
      <c r="BN47"/>
      <c r="BO47"/>
      <c r="BP47"/>
      <c r="BQ47"/>
      <c r="BR47"/>
      <c r="BS47"/>
      <c r="BT47"/>
      <c r="BU47"/>
      <c r="BV47"/>
      <c r="BW47"/>
      <c r="BX47"/>
      <c r="BY47"/>
      <c r="BZ47"/>
    </row>
    <row r="48" ht="15.0" customHeight="true">
      <c r="A48" s="51" t="s">
        <v>2435</v>
      </c>
      <c r="B48" s="33"/>
      <c r="C48" s="33" t="s">
        <v>2911</v>
      </c>
      <c r="D48" s="33"/>
      <c r="E48" s="33" t="s">
        <v>2912</v>
      </c>
      <c r="F48" s="33"/>
      <c r="G48" s="55" t="s">
        <v>2913</v>
      </c>
      <c r="H48" s="33"/>
      <c r="I48" s="51" t="s">
        <v>2914</v>
      </c>
      <c r="J48" s="33"/>
      <c r="K48" s="51" t="s">
        <v>2915</v>
      </c>
      <c r="L48" s="33" t="s">
        <v>2441</v>
      </c>
      <c r="M48" s="55" t="s">
        <v>2916</v>
      </c>
      <c r="N48" s="55"/>
      <c r="O48" s="33"/>
      <c r="P48" s="33" t="s">
        <v>2251</v>
      </c>
      <c r="Q48" s="33"/>
      <c r="R48" s="33" t="s">
        <v>2263</v>
      </c>
      <c r="S48" s="56" t="s">
        <v>2277</v>
      </c>
      <c r="T48" s="56"/>
      <c r="U48" s="33" t="s">
        <v>2916</v>
      </c>
      <c r="V48" s="94" t="s">
        <v>2443</v>
      </c>
      <c r="W48" s="94" t="s">
        <v>2604</v>
      </c>
      <c r="X48" s="51"/>
      <c r="Y48" s="51"/>
      <c r="Z48" s="33" t="s">
        <v>2445</v>
      </c>
      <c r="AA48" s="33" t="s">
        <v>2446</v>
      </c>
      <c r="AB48" s="33"/>
      <c r="AC48" s="33" t="s">
        <v>2254</v>
      </c>
      <c r="AD48" s="33"/>
      <c r="AE48" s="33" t="s">
        <v>2267</v>
      </c>
      <c r="AF48" s="33" t="s">
        <v>2447</v>
      </c>
      <c r="AG48" s="33"/>
      <c r="AH48" s="33"/>
      <c r="AI48" s="33" t="s">
        <v>2917</v>
      </c>
      <c r="AJ48" s="94" t="s">
        <v>2918</v>
      </c>
      <c r="AK48" s="33" t="s">
        <v>2919</v>
      </c>
      <c r="AL48" s="33"/>
      <c r="AM48" s="33" t="s">
        <v>2549</v>
      </c>
      <c r="AN48" s="51" t="s">
        <v>2550</v>
      </c>
      <c r="AO48" s="51" t="s">
        <v>188</v>
      </c>
      <c r="AP48" s="33"/>
      <c r="AQ48" s="54"/>
      <c r="AR48" s="54"/>
      <c r="AS48" s="54"/>
      <c r="AT48" s="54"/>
      <c r="AU48" s="54"/>
      <c r="AV48" s="54"/>
      <c r="AW48" s="54"/>
      <c r="AX48" s="54"/>
      <c r="AY48" s="54"/>
      <c r="AZ48" s="54"/>
      <c r="BA48" s="54"/>
      <c r="BB48" s="54"/>
      <c r="BC48" s="54" t="s">
        <v>2434</v>
      </c>
      <c r="BD48" s="54"/>
      <c r="BE48" s="54"/>
      <c r="BF48" s="54"/>
      <c r="BG48" s="54"/>
      <c r="BH48" s="0"/>
      <c r="BI48" s="0"/>
      <c r="BJ48" s="0"/>
      <c r="BK48" s="0"/>
      <c r="BL48" s="0"/>
      <c r="BM48" s="0"/>
      <c r="BN48"/>
      <c r="BO48"/>
      <c r="BP48"/>
      <c r="BQ48"/>
      <c r="BR48"/>
      <c r="BS48"/>
      <c r="BT48"/>
      <c r="BU48"/>
      <c r="BV48"/>
      <c r="BW48"/>
      <c r="BX48"/>
      <c r="BY48"/>
      <c r="BZ48"/>
    </row>
    <row r="49" ht="15.0" customHeight="true">
      <c r="A49" s="51" t="s">
        <v>2435</v>
      </c>
      <c r="B49" s="33"/>
      <c r="C49" s="33" t="s">
        <v>2920</v>
      </c>
      <c r="D49" s="33"/>
      <c r="E49" s="33" t="s">
        <v>2921</v>
      </c>
      <c r="F49" s="33"/>
      <c r="G49" s="55" t="s">
        <v>2922</v>
      </c>
      <c r="H49" s="33"/>
      <c r="I49" s="51" t="s">
        <v>2923</v>
      </c>
      <c r="J49" s="33"/>
      <c r="K49" s="51" t="s">
        <v>2924</v>
      </c>
      <c r="L49" s="33" t="s">
        <v>2441</v>
      </c>
      <c r="M49" s="55" t="s">
        <v>2925</v>
      </c>
      <c r="N49" s="55"/>
      <c r="O49" s="33"/>
      <c r="P49" s="33" t="s">
        <v>2251</v>
      </c>
      <c r="Q49" s="33"/>
      <c r="R49" s="33" t="s">
        <v>2263</v>
      </c>
      <c r="S49" s="56" t="s">
        <v>2277</v>
      </c>
      <c r="T49" s="56"/>
      <c r="U49" s="33" t="s">
        <v>2925</v>
      </c>
      <c r="V49" s="94" t="s">
        <v>2443</v>
      </c>
      <c r="W49" s="94" t="s">
        <v>2517</v>
      </c>
      <c r="X49" s="51"/>
      <c r="Y49" s="51"/>
      <c r="Z49" s="33" t="s">
        <v>2445</v>
      </c>
      <c r="AA49" s="33" t="s">
        <v>2446</v>
      </c>
      <c r="AB49" s="33"/>
      <c r="AC49" s="33" t="s">
        <v>2254</v>
      </c>
      <c r="AD49" s="33"/>
      <c r="AE49" s="33" t="s">
        <v>2267</v>
      </c>
      <c r="AF49" s="33" t="s">
        <v>2447</v>
      </c>
      <c r="AG49" s="33"/>
      <c r="AH49" s="33"/>
      <c r="AI49" s="33" t="s">
        <v>2926</v>
      </c>
      <c r="AJ49" s="94" t="s">
        <v>2927</v>
      </c>
      <c r="AK49" s="33" t="s">
        <v>2928</v>
      </c>
      <c r="AL49" s="33"/>
      <c r="AM49" s="33" t="s">
        <v>2677</v>
      </c>
      <c r="AN49" s="51" t="s">
        <v>2678</v>
      </c>
      <c r="AO49" s="51" t="s">
        <v>188</v>
      </c>
      <c r="AP49" s="33"/>
      <c r="AQ49" s="54"/>
      <c r="AR49" s="54"/>
      <c r="AS49" s="54"/>
      <c r="AT49" s="54"/>
      <c r="AU49" s="54"/>
      <c r="AV49" s="54"/>
      <c r="AW49" s="54"/>
      <c r="AX49" s="54"/>
      <c r="AY49" s="54"/>
      <c r="AZ49" s="54"/>
      <c r="BA49" s="54"/>
      <c r="BB49" s="54"/>
      <c r="BC49" s="54" t="s">
        <v>2434</v>
      </c>
      <c r="BD49" s="54"/>
      <c r="BE49" s="54"/>
      <c r="BF49" s="54"/>
      <c r="BG49" s="54"/>
      <c r="BH49" s="0"/>
      <c r="BI49" s="0"/>
      <c r="BJ49" s="0"/>
      <c r="BK49" s="0"/>
      <c r="BL49" s="0"/>
      <c r="BM49" s="0"/>
      <c r="BN49"/>
      <c r="BO49"/>
      <c r="BP49"/>
      <c r="BQ49"/>
      <c r="BR49"/>
      <c r="BS49"/>
      <c r="BT49"/>
      <c r="BU49"/>
      <c r="BV49"/>
      <c r="BW49"/>
      <c r="BX49"/>
      <c r="BY49"/>
      <c r="BZ49"/>
    </row>
    <row r="50" ht="15.0" customHeight="true">
      <c r="A50" s="51" t="s">
        <v>2435</v>
      </c>
      <c r="B50" s="33"/>
      <c r="C50" s="33" t="s">
        <v>2929</v>
      </c>
      <c r="D50" s="33"/>
      <c r="E50" s="33" t="s">
        <v>2454</v>
      </c>
      <c r="F50" s="33"/>
      <c r="G50" s="55" t="s">
        <v>2930</v>
      </c>
      <c r="H50" s="33"/>
      <c r="I50" s="51" t="s">
        <v>2931</v>
      </c>
      <c r="J50" s="33"/>
      <c r="K50" s="51" t="s">
        <v>2932</v>
      </c>
      <c r="L50" s="33" t="s">
        <v>2441</v>
      </c>
      <c r="M50" s="55" t="s">
        <v>2933</v>
      </c>
      <c r="N50" s="55"/>
      <c r="O50" s="33"/>
      <c r="P50" s="33" t="s">
        <v>2251</v>
      </c>
      <c r="Q50" s="33"/>
      <c r="R50" s="33" t="s">
        <v>2263</v>
      </c>
      <c r="S50" s="56" t="s">
        <v>2277</v>
      </c>
      <c r="T50" s="56"/>
      <c r="U50" s="33" t="s">
        <v>2592</v>
      </c>
      <c r="V50" s="94" t="s">
        <v>2443</v>
      </c>
      <c r="W50" s="94" t="s">
        <v>2444</v>
      </c>
      <c r="X50" s="51"/>
      <c r="Y50" s="51"/>
      <c r="Z50" s="33" t="s">
        <v>2445</v>
      </c>
      <c r="AA50" s="33" t="s">
        <v>2446</v>
      </c>
      <c r="AB50" s="33"/>
      <c r="AC50" s="33" t="s">
        <v>2254</v>
      </c>
      <c r="AD50" s="33"/>
      <c r="AE50" s="33" t="s">
        <v>2267</v>
      </c>
      <c r="AF50" s="33" t="s">
        <v>2447</v>
      </c>
      <c r="AG50" s="33"/>
      <c r="AH50" s="33" t="s">
        <v>2934</v>
      </c>
      <c r="AI50" s="33" t="s">
        <v>2934</v>
      </c>
      <c r="AJ50" s="94" t="s">
        <v>2935</v>
      </c>
      <c r="AK50" s="33" t="s">
        <v>2936</v>
      </c>
      <c r="AL50" s="33"/>
      <c r="AM50" s="33" t="s">
        <v>2720</v>
      </c>
      <c r="AN50" s="51" t="s">
        <v>2721</v>
      </c>
      <c r="AO50" s="51" t="s">
        <v>188</v>
      </c>
      <c r="AP50" s="33"/>
      <c r="AQ50" s="54"/>
      <c r="AR50" s="54"/>
      <c r="AS50" s="54"/>
      <c r="AT50" s="54"/>
      <c r="AU50" s="54"/>
      <c r="AV50" s="54"/>
      <c r="AW50" s="54"/>
      <c r="AX50" s="54"/>
      <c r="AY50" s="54"/>
      <c r="AZ50" s="54"/>
      <c r="BA50" s="54"/>
      <c r="BB50" s="54"/>
      <c r="BC50" s="54" t="s">
        <v>2434</v>
      </c>
      <c r="BD50" s="54"/>
      <c r="BE50" s="54"/>
      <c r="BF50" s="54"/>
      <c r="BG50" s="54"/>
      <c r="BH50" s="0"/>
      <c r="BI50" s="0"/>
      <c r="BJ50" s="0"/>
      <c r="BK50" s="0"/>
      <c r="BL50" s="0"/>
      <c r="BM50" s="0"/>
      <c r="BN50"/>
      <c r="BO50"/>
      <c r="BP50"/>
      <c r="BQ50"/>
      <c r="BR50"/>
      <c r="BS50"/>
      <c r="BT50"/>
      <c r="BU50"/>
      <c r="BV50"/>
      <c r="BW50"/>
      <c r="BX50"/>
      <c r="BY50"/>
      <c r="BZ50"/>
    </row>
    <row r="51" ht="15.0" customHeight="true">
      <c r="A51" s="51" t="s">
        <v>2435</v>
      </c>
      <c r="B51" s="33"/>
      <c r="C51" s="33" t="s">
        <v>2937</v>
      </c>
      <c r="D51" s="33"/>
      <c r="E51" s="33" t="s">
        <v>2522</v>
      </c>
      <c r="F51" s="33"/>
      <c r="G51" s="55" t="s">
        <v>2938</v>
      </c>
      <c r="H51" s="33"/>
      <c r="I51" s="51" t="s">
        <v>2939</v>
      </c>
      <c r="J51" s="33"/>
      <c r="K51" s="51" t="s">
        <v>2940</v>
      </c>
      <c r="L51" s="33" t="s">
        <v>2441</v>
      </c>
      <c r="M51" s="55" t="s">
        <v>2941</v>
      </c>
      <c r="N51" s="55"/>
      <c r="O51" s="33"/>
      <c r="P51" s="33" t="s">
        <v>2251</v>
      </c>
      <c r="Q51" s="33"/>
      <c r="R51" s="33" t="s">
        <v>2252</v>
      </c>
      <c r="S51" s="56" t="s">
        <v>2277</v>
      </c>
      <c r="T51" s="56" t="s">
        <v>2942</v>
      </c>
      <c r="U51" s="33" t="s">
        <v>2941</v>
      </c>
      <c r="V51" s="94"/>
      <c r="W51" s="94"/>
      <c r="X51" s="51"/>
      <c r="Y51" s="51"/>
      <c r="Z51" s="33" t="s">
        <v>2445</v>
      </c>
      <c r="AA51" s="33" t="s">
        <v>2593</v>
      </c>
      <c r="AB51" s="33"/>
      <c r="AC51" s="33" t="s">
        <v>2254</v>
      </c>
      <c r="AD51" s="33"/>
      <c r="AE51" s="33" t="s">
        <v>2256</v>
      </c>
      <c r="AF51" s="33" t="s">
        <v>2447</v>
      </c>
      <c r="AG51" s="33"/>
      <c r="AH51" s="33"/>
      <c r="AI51" s="33" t="s">
        <v>2943</v>
      </c>
      <c r="AJ51" s="94"/>
      <c r="AK51" s="33" t="s">
        <v>2763</v>
      </c>
      <c r="AL51" s="33"/>
      <c r="AM51" s="33" t="s">
        <v>2944</v>
      </c>
      <c r="AN51" s="51" t="s">
        <v>2765</v>
      </c>
      <c r="AO51" s="51" t="s">
        <v>188</v>
      </c>
      <c r="AP51" s="33"/>
      <c r="AQ51" s="54"/>
      <c r="AR51" s="54"/>
      <c r="AS51" s="54"/>
      <c r="AT51" s="54"/>
      <c r="AU51" s="54"/>
      <c r="AV51" s="54"/>
      <c r="AW51" s="54"/>
      <c r="AX51" s="54"/>
      <c r="AY51" s="54"/>
      <c r="AZ51" s="54"/>
      <c r="BA51" s="54"/>
      <c r="BB51" s="54"/>
      <c r="BC51" s="54" t="s">
        <v>2586</v>
      </c>
      <c r="BD51" s="54"/>
      <c r="BE51" s="54"/>
      <c r="BF51" s="54"/>
      <c r="BG51" s="54"/>
      <c r="BH51" s="0"/>
      <c r="BI51" s="0"/>
      <c r="BJ51" s="0"/>
      <c r="BK51" s="0"/>
      <c r="BL51" s="0"/>
      <c r="BM51" s="0"/>
      <c r="BN51"/>
      <c r="BO51"/>
      <c r="BP51"/>
      <c r="BQ51"/>
      <c r="BR51"/>
      <c r="BS51"/>
      <c r="BT51"/>
      <c r="BU51"/>
      <c r="BV51"/>
      <c r="BW51"/>
      <c r="BX51"/>
      <c r="BY51"/>
      <c r="BZ51"/>
    </row>
    <row r="52" ht="15.0" customHeight="true">
      <c r="A52" s="51" t="s">
        <v>2435</v>
      </c>
      <c r="B52" s="33"/>
      <c r="C52" s="33" t="s">
        <v>2945</v>
      </c>
      <c r="D52" s="33"/>
      <c r="E52" s="33" t="s">
        <v>2946</v>
      </c>
      <c r="F52" s="33"/>
      <c r="G52" s="55" t="s">
        <v>2947</v>
      </c>
      <c r="H52" s="33"/>
      <c r="I52" s="51" t="s">
        <v>2948</v>
      </c>
      <c r="J52" s="33"/>
      <c r="K52" s="51" t="s">
        <v>2949</v>
      </c>
      <c r="L52" s="33" t="s">
        <v>2441</v>
      </c>
      <c r="M52" s="55" t="s">
        <v>2916</v>
      </c>
      <c r="N52" s="55"/>
      <c r="O52" s="33"/>
      <c r="P52" s="33" t="s">
        <v>2251</v>
      </c>
      <c r="Q52" s="33"/>
      <c r="R52" s="33" t="s">
        <v>2263</v>
      </c>
      <c r="S52" s="56" t="s">
        <v>2277</v>
      </c>
      <c r="T52" s="56"/>
      <c r="U52" s="33" t="s">
        <v>2916</v>
      </c>
      <c r="V52" s="94" t="s">
        <v>2443</v>
      </c>
      <c r="W52" s="94" t="s">
        <v>2604</v>
      </c>
      <c r="X52" s="51"/>
      <c r="Y52" s="51"/>
      <c r="Z52" s="33" t="s">
        <v>2445</v>
      </c>
      <c r="AA52" s="33" t="s">
        <v>2446</v>
      </c>
      <c r="AB52" s="33"/>
      <c r="AC52" s="33" t="s">
        <v>2254</v>
      </c>
      <c r="AD52" s="33"/>
      <c r="AE52" s="33" t="s">
        <v>2267</v>
      </c>
      <c r="AF52" s="33" t="s">
        <v>2447</v>
      </c>
      <c r="AG52" s="33"/>
      <c r="AH52" s="33"/>
      <c r="AI52" s="33" t="s">
        <v>2950</v>
      </c>
      <c r="AJ52" s="94" t="s">
        <v>2951</v>
      </c>
      <c r="AK52" s="33" t="s">
        <v>2952</v>
      </c>
      <c r="AL52" s="33"/>
      <c r="AM52" s="33" t="s">
        <v>2549</v>
      </c>
      <c r="AN52" s="51" t="s">
        <v>2550</v>
      </c>
      <c r="AO52" s="51" t="s">
        <v>188</v>
      </c>
      <c r="AP52" s="33"/>
      <c r="AQ52" s="54"/>
      <c r="AR52" s="54"/>
      <c r="AS52" s="54"/>
      <c r="AT52" s="54"/>
      <c r="AU52" s="54"/>
      <c r="AV52" s="54"/>
      <c r="AW52" s="54"/>
      <c r="AX52" s="54"/>
      <c r="AY52" s="54"/>
      <c r="AZ52" s="54"/>
      <c r="BA52" s="54"/>
      <c r="BB52" s="54"/>
      <c r="BC52" s="54" t="s">
        <v>2434</v>
      </c>
      <c r="BD52" s="54"/>
      <c r="BE52" s="54"/>
      <c r="BF52" s="54"/>
      <c r="BG52" s="54"/>
      <c r="BH52" s="0"/>
      <c r="BI52" s="0"/>
      <c r="BJ52" s="0"/>
      <c r="BK52" s="0"/>
      <c r="BL52" s="0"/>
      <c r="BM52" s="0"/>
      <c r="BN52"/>
      <c r="BO52"/>
      <c r="BP52"/>
      <c r="BQ52"/>
      <c r="BR52"/>
      <c r="BS52"/>
      <c r="BT52"/>
      <c r="BU52"/>
      <c r="BV52"/>
      <c r="BW52"/>
      <c r="BX52"/>
      <c r="BY52"/>
      <c r="BZ52"/>
    </row>
    <row r="53" ht="15.0" customHeight="true">
      <c r="A53" s="51" t="s">
        <v>2435</v>
      </c>
      <c r="B53" s="33"/>
      <c r="C53" s="33" t="s">
        <v>2511</v>
      </c>
      <c r="D53" s="33"/>
      <c r="E53" s="33" t="s">
        <v>2953</v>
      </c>
      <c r="F53" s="33"/>
      <c r="G53" s="55" t="s">
        <v>2954</v>
      </c>
      <c r="H53" s="33"/>
      <c r="I53" s="51" t="s">
        <v>2955</v>
      </c>
      <c r="J53" s="33"/>
      <c r="K53" s="51" t="s">
        <v>2956</v>
      </c>
      <c r="L53" s="33" t="s">
        <v>2441</v>
      </c>
      <c r="M53" s="55" t="s">
        <v>2957</v>
      </c>
      <c r="N53" s="55"/>
      <c r="O53" s="33"/>
      <c r="P53" s="33" t="s">
        <v>2251</v>
      </c>
      <c r="Q53" s="33"/>
      <c r="R53" s="33" t="s">
        <v>2263</v>
      </c>
      <c r="S53" s="56" t="s">
        <v>2277</v>
      </c>
      <c r="T53" s="56"/>
      <c r="U53" s="33" t="s">
        <v>2957</v>
      </c>
      <c r="V53" s="94" t="s">
        <v>2443</v>
      </c>
      <c r="W53" s="94" t="s">
        <v>2444</v>
      </c>
      <c r="X53" s="51"/>
      <c r="Y53" s="51"/>
      <c r="Z53" s="33" t="s">
        <v>2445</v>
      </c>
      <c r="AA53" s="33" t="s">
        <v>2446</v>
      </c>
      <c r="AB53" s="33"/>
      <c r="AC53" s="33" t="s">
        <v>2254</v>
      </c>
      <c r="AD53" s="33"/>
      <c r="AE53" s="33" t="s">
        <v>2267</v>
      </c>
      <c r="AF53" s="33" t="s">
        <v>2447</v>
      </c>
      <c r="AG53" s="33"/>
      <c r="AH53" s="33"/>
      <c r="AI53" s="33" t="s">
        <v>2958</v>
      </c>
      <c r="AJ53" s="94" t="s">
        <v>2959</v>
      </c>
      <c r="AK53" s="33" t="s">
        <v>2960</v>
      </c>
      <c r="AL53" s="33"/>
      <c r="AM53" s="33" t="s">
        <v>2961</v>
      </c>
      <c r="AN53" s="51" t="s">
        <v>2962</v>
      </c>
      <c r="AO53" s="51" t="s">
        <v>188</v>
      </c>
      <c r="AP53" s="33"/>
      <c r="AQ53" s="54"/>
      <c r="AR53" s="54"/>
      <c r="AS53" s="54"/>
      <c r="AT53" s="54"/>
      <c r="AU53" s="54"/>
      <c r="AV53" s="54"/>
      <c r="AW53" s="54"/>
      <c r="AX53" s="54"/>
      <c r="AY53" s="54"/>
      <c r="AZ53" s="54"/>
      <c r="BA53" s="54"/>
      <c r="BB53" s="54"/>
      <c r="BC53" s="54" t="s">
        <v>2434</v>
      </c>
      <c r="BD53" s="54"/>
      <c r="BE53" s="54"/>
      <c r="BF53" s="54"/>
      <c r="BG53" s="54"/>
      <c r="BH53" s="0"/>
      <c r="BI53" s="0"/>
      <c r="BJ53" s="0"/>
      <c r="BK53" s="0"/>
      <c r="BL53" s="0"/>
      <c r="BM53" s="0"/>
      <c r="BN53"/>
      <c r="BO53"/>
      <c r="BP53"/>
      <c r="BQ53"/>
      <c r="BR53"/>
      <c r="BS53"/>
      <c r="BT53"/>
      <c r="BU53"/>
      <c r="BV53"/>
      <c r="BW53"/>
      <c r="BX53"/>
      <c r="BY53"/>
      <c r="BZ53"/>
    </row>
    <row r="54" ht="15.0" customHeight="true">
      <c r="A54" s="51" t="s">
        <v>2435</v>
      </c>
      <c r="B54" s="33"/>
      <c r="C54" s="33" t="s">
        <v>2963</v>
      </c>
      <c r="D54" s="33"/>
      <c r="E54" s="33" t="s">
        <v>2964</v>
      </c>
      <c r="F54" s="33"/>
      <c r="G54" s="55" t="s">
        <v>2965</v>
      </c>
      <c r="H54" s="33"/>
      <c r="I54" s="51" t="s">
        <v>2966</v>
      </c>
      <c r="J54" s="33"/>
      <c r="K54" s="51" t="s">
        <v>2967</v>
      </c>
      <c r="L54" s="33" t="s">
        <v>2441</v>
      </c>
      <c r="M54" s="55" t="s">
        <v>2968</v>
      </c>
      <c r="N54" s="55"/>
      <c r="O54" s="33"/>
      <c r="P54" s="33" t="s">
        <v>2262</v>
      </c>
      <c r="Q54" s="33"/>
      <c r="R54" s="33" t="s">
        <v>2263</v>
      </c>
      <c r="S54" s="56" t="s">
        <v>2277</v>
      </c>
      <c r="T54" s="56"/>
      <c r="U54" s="33" t="s">
        <v>2968</v>
      </c>
      <c r="V54" s="94" t="s">
        <v>2443</v>
      </c>
      <c r="W54" s="94" t="s">
        <v>2444</v>
      </c>
      <c r="X54" s="51"/>
      <c r="Y54" s="51"/>
      <c r="Z54" s="33" t="s">
        <v>2445</v>
      </c>
      <c r="AA54" s="33" t="s">
        <v>2446</v>
      </c>
      <c r="AB54" s="33"/>
      <c r="AC54" s="33" t="s">
        <v>2254</v>
      </c>
      <c r="AD54" s="33"/>
      <c r="AE54" s="33" t="s">
        <v>2267</v>
      </c>
      <c r="AF54" s="33" t="s">
        <v>2447</v>
      </c>
      <c r="AG54" s="33"/>
      <c r="AH54" s="33"/>
      <c r="AI54" s="33" t="s">
        <v>2969</v>
      </c>
      <c r="AJ54" s="94" t="s">
        <v>2970</v>
      </c>
      <c r="AK54" s="33" t="s">
        <v>2971</v>
      </c>
      <c r="AL54" s="33"/>
      <c r="AM54" s="33" t="s">
        <v>2509</v>
      </c>
      <c r="AN54" s="51" t="s">
        <v>2510</v>
      </c>
      <c r="AO54" s="51" t="s">
        <v>188</v>
      </c>
      <c r="AP54" s="33"/>
      <c r="AQ54" s="54"/>
      <c r="AR54" s="54"/>
      <c r="AS54" s="54"/>
      <c r="AT54" s="54"/>
      <c r="AU54" s="54"/>
      <c r="AV54" s="54"/>
      <c r="AW54" s="54"/>
      <c r="AX54" s="54"/>
      <c r="AY54" s="54"/>
      <c r="AZ54" s="54"/>
      <c r="BA54" s="54"/>
      <c r="BB54" s="54"/>
      <c r="BC54" s="54" t="s">
        <v>2434</v>
      </c>
      <c r="BD54" s="54"/>
      <c r="BE54" s="54"/>
      <c r="BF54" s="54"/>
      <c r="BG54" s="54"/>
      <c r="BH54" s="0"/>
      <c r="BI54" s="0"/>
      <c r="BJ54" s="0"/>
      <c r="BK54" s="0"/>
      <c r="BL54" s="0"/>
      <c r="BM54" s="0"/>
      <c r="BN54"/>
      <c r="BO54"/>
      <c r="BP54"/>
      <c r="BQ54"/>
      <c r="BR54"/>
      <c r="BS54"/>
      <c r="BT54"/>
      <c r="BU54"/>
      <c r="BV54"/>
      <c r="BW54"/>
      <c r="BX54"/>
      <c r="BY54"/>
      <c r="BZ54"/>
    </row>
    <row r="55" ht="15.0" customHeight="true">
      <c r="A55" s="51" t="s">
        <v>2435</v>
      </c>
      <c r="B55" s="33"/>
      <c r="C55" s="33" t="s">
        <v>2972</v>
      </c>
      <c r="D55" s="33"/>
      <c r="E55" s="33" t="s">
        <v>2973</v>
      </c>
      <c r="F55" s="33"/>
      <c r="G55" s="55" t="s">
        <v>2974</v>
      </c>
      <c r="H55" s="33"/>
      <c r="I55" s="51" t="s">
        <v>2975</v>
      </c>
      <c r="J55" s="33"/>
      <c r="K55" s="51" t="s">
        <v>2976</v>
      </c>
      <c r="L55" s="33" t="s">
        <v>2441</v>
      </c>
      <c r="M55" s="55" t="s">
        <v>2629</v>
      </c>
      <c r="N55" s="55"/>
      <c r="O55" s="33"/>
      <c r="P55" s="33" t="s">
        <v>2262</v>
      </c>
      <c r="Q55" s="33"/>
      <c r="R55" s="33" t="s">
        <v>2263</v>
      </c>
      <c r="S55" s="56" t="s">
        <v>2277</v>
      </c>
      <c r="T55" s="56"/>
      <c r="U55" s="33" t="s">
        <v>2629</v>
      </c>
      <c r="V55" s="94" t="s">
        <v>2443</v>
      </c>
      <c r="W55" s="94" t="s">
        <v>2662</v>
      </c>
      <c r="X55" s="51"/>
      <c r="Y55" s="51"/>
      <c r="Z55" s="33" t="s">
        <v>2445</v>
      </c>
      <c r="AA55" s="33" t="s">
        <v>2446</v>
      </c>
      <c r="AB55" s="33"/>
      <c r="AC55" s="33" t="s">
        <v>2254</v>
      </c>
      <c r="AD55" s="33"/>
      <c r="AE55" s="33" t="s">
        <v>2267</v>
      </c>
      <c r="AF55" s="33" t="s">
        <v>2447</v>
      </c>
      <c r="AG55" s="33"/>
      <c r="AH55" s="33"/>
      <c r="AI55" s="33" t="s">
        <v>2977</v>
      </c>
      <c r="AJ55" s="94" t="s">
        <v>2978</v>
      </c>
      <c r="AK55" s="33" t="s">
        <v>2979</v>
      </c>
      <c r="AL55" s="33"/>
      <c r="AM55" s="33" t="s">
        <v>2720</v>
      </c>
      <c r="AN55" s="51" t="s">
        <v>2721</v>
      </c>
      <c r="AO55" s="51" t="s">
        <v>188</v>
      </c>
      <c r="AP55" s="33"/>
      <c r="AQ55" s="54"/>
      <c r="AR55" s="54"/>
      <c r="AS55" s="54"/>
      <c r="AT55" s="54"/>
      <c r="AU55" s="54"/>
      <c r="AV55" s="54"/>
      <c r="AW55" s="54"/>
      <c r="AX55" s="54"/>
      <c r="AY55" s="54"/>
      <c r="AZ55" s="54"/>
      <c r="BA55" s="54"/>
      <c r="BB55" s="54"/>
      <c r="BC55" s="54" t="s">
        <v>2434</v>
      </c>
      <c r="BD55" s="54"/>
      <c r="BE55" s="54"/>
      <c r="BF55" s="54"/>
      <c r="BG55" s="54"/>
      <c r="BH55" s="0"/>
      <c r="BI55" s="0"/>
      <c r="BJ55" s="0"/>
      <c r="BK55" s="0"/>
      <c r="BL55" s="0"/>
      <c r="BM55" s="0"/>
      <c r="BN55"/>
      <c r="BO55"/>
      <c r="BP55"/>
      <c r="BQ55"/>
      <c r="BR55"/>
      <c r="BS55"/>
      <c r="BT55"/>
      <c r="BU55"/>
      <c r="BV55"/>
      <c r="BW55"/>
      <c r="BX55"/>
      <c r="BY55"/>
      <c r="BZ55"/>
    </row>
    <row r="56" ht="15.0" customHeight="true">
      <c r="A56" s="51" t="s">
        <v>2435</v>
      </c>
      <c r="B56" s="33"/>
      <c r="C56" s="33" t="s">
        <v>2980</v>
      </c>
      <c r="D56" s="33"/>
      <c r="E56" s="33" t="s">
        <v>2981</v>
      </c>
      <c r="F56" s="33"/>
      <c r="G56" s="55" t="s">
        <v>2982</v>
      </c>
      <c r="H56" s="33"/>
      <c r="I56" s="51" t="s">
        <v>2983</v>
      </c>
      <c r="J56" s="33"/>
      <c r="K56" s="51" t="s">
        <v>2984</v>
      </c>
      <c r="L56" s="33" t="s">
        <v>2441</v>
      </c>
      <c r="M56" s="55" t="s">
        <v>2985</v>
      </c>
      <c r="N56" s="55"/>
      <c r="O56" s="33"/>
      <c r="P56" s="33" t="s">
        <v>2251</v>
      </c>
      <c r="Q56" s="33"/>
      <c r="R56" s="33" t="s">
        <v>2263</v>
      </c>
      <c r="S56" s="56" t="s">
        <v>2277</v>
      </c>
      <c r="T56" s="56"/>
      <c r="U56" s="33" t="s">
        <v>2985</v>
      </c>
      <c r="V56" s="94" t="s">
        <v>2443</v>
      </c>
      <c r="W56" s="94" t="s">
        <v>2444</v>
      </c>
      <c r="X56" s="51"/>
      <c r="Y56" s="51"/>
      <c r="Z56" s="33" t="s">
        <v>2445</v>
      </c>
      <c r="AA56" s="33" t="s">
        <v>2446</v>
      </c>
      <c r="AB56" s="33"/>
      <c r="AC56" s="33" t="s">
        <v>2254</v>
      </c>
      <c r="AD56" s="33"/>
      <c r="AE56" s="33" t="s">
        <v>2267</v>
      </c>
      <c r="AF56" s="33" t="s">
        <v>2447</v>
      </c>
      <c r="AG56" s="33"/>
      <c r="AH56" s="33"/>
      <c r="AI56" s="33" t="s">
        <v>2986</v>
      </c>
      <c r="AJ56" s="94" t="s">
        <v>2987</v>
      </c>
      <c r="AK56" s="33" t="s">
        <v>2774</v>
      </c>
      <c r="AL56" s="33"/>
      <c r="AM56" s="33" t="s">
        <v>2451</v>
      </c>
      <c r="AN56" s="51" t="s">
        <v>2775</v>
      </c>
      <c r="AO56" s="51" t="s">
        <v>188</v>
      </c>
      <c r="AP56" s="33"/>
      <c r="AQ56" s="54"/>
      <c r="AR56" s="54"/>
      <c r="AS56" s="54"/>
      <c r="AT56" s="54"/>
      <c r="AU56" s="54"/>
      <c r="AV56" s="54"/>
      <c r="AW56" s="54"/>
      <c r="AX56" s="54"/>
      <c r="AY56" s="54"/>
      <c r="AZ56" s="54"/>
      <c r="BA56" s="54"/>
      <c r="BB56" s="54"/>
      <c r="BC56" s="54" t="s">
        <v>2434</v>
      </c>
      <c r="BD56" s="54"/>
      <c r="BE56" s="54"/>
      <c r="BF56" s="54"/>
      <c r="BG56" s="54"/>
      <c r="BH56" s="0"/>
      <c r="BI56" s="0"/>
      <c r="BJ56" s="0"/>
      <c r="BK56" s="0"/>
      <c r="BL56" s="0"/>
      <c r="BM56" s="0"/>
      <c r="BN56"/>
      <c r="BO56"/>
      <c r="BP56"/>
      <c r="BQ56"/>
      <c r="BR56"/>
      <c r="BS56"/>
      <c r="BT56"/>
      <c r="BU56"/>
      <c r="BV56"/>
      <c r="BW56"/>
      <c r="BX56"/>
      <c r="BY56"/>
      <c r="BZ56"/>
    </row>
    <row r="57" ht="15.0" customHeight="true">
      <c r="A57" s="51" t="s">
        <v>2435</v>
      </c>
      <c r="B57" s="33"/>
      <c r="C57" s="33" t="s">
        <v>2988</v>
      </c>
      <c r="D57" s="33"/>
      <c r="E57" s="33" t="s">
        <v>2989</v>
      </c>
      <c r="F57" s="33"/>
      <c r="G57" s="55" t="s">
        <v>2990</v>
      </c>
      <c r="H57" s="33"/>
      <c r="I57" s="51" t="s">
        <v>2991</v>
      </c>
      <c r="J57" s="33"/>
      <c r="K57" s="51" t="s">
        <v>2992</v>
      </c>
      <c r="L57" s="33" t="s">
        <v>2441</v>
      </c>
      <c r="M57" s="55" t="s">
        <v>2993</v>
      </c>
      <c r="N57" s="55"/>
      <c r="O57" s="33"/>
      <c r="P57" s="33" t="s">
        <v>2251</v>
      </c>
      <c r="Q57" s="33"/>
      <c r="R57" s="33" t="s">
        <v>2263</v>
      </c>
      <c r="S57" s="56" t="s">
        <v>2277</v>
      </c>
      <c r="T57" s="56"/>
      <c r="U57" s="33" t="s">
        <v>2993</v>
      </c>
      <c r="V57" s="94" t="s">
        <v>2443</v>
      </c>
      <c r="W57" s="94" t="s">
        <v>2444</v>
      </c>
      <c r="X57" s="51"/>
      <c r="Y57" s="51"/>
      <c r="Z57" s="33" t="s">
        <v>2445</v>
      </c>
      <c r="AA57" s="33" t="s">
        <v>2446</v>
      </c>
      <c r="AB57" s="33"/>
      <c r="AC57" s="33" t="s">
        <v>2254</v>
      </c>
      <c r="AD57" s="33"/>
      <c r="AE57" s="33" t="s">
        <v>2267</v>
      </c>
      <c r="AF57" s="33" t="s">
        <v>2447</v>
      </c>
      <c r="AG57" s="33"/>
      <c r="AH57" s="33"/>
      <c r="AI57" s="33" t="s">
        <v>2994</v>
      </c>
      <c r="AJ57" s="94" t="s">
        <v>2995</v>
      </c>
      <c r="AK57" s="33" t="s">
        <v>2996</v>
      </c>
      <c r="AL57" s="33" t="s">
        <v>2997</v>
      </c>
      <c r="AM57" s="33" t="s">
        <v>2998</v>
      </c>
      <c r="AN57" s="51" t="s">
        <v>2999</v>
      </c>
      <c r="AO57" s="51" t="s">
        <v>188</v>
      </c>
      <c r="AP57" s="33"/>
      <c r="AQ57" s="54"/>
      <c r="AR57" s="54"/>
      <c r="AS57" s="54"/>
      <c r="AT57" s="54"/>
      <c r="AU57" s="54"/>
      <c r="AV57" s="54"/>
      <c r="AW57" s="54"/>
      <c r="AX57" s="54"/>
      <c r="AY57" s="54"/>
      <c r="AZ57" s="54"/>
      <c r="BA57" s="54"/>
      <c r="BB57" s="54"/>
      <c r="BC57" s="54" t="s">
        <v>2434</v>
      </c>
      <c r="BD57" s="54"/>
      <c r="BE57" s="54"/>
      <c r="BF57" s="54"/>
      <c r="BG57" s="54"/>
      <c r="BH57" s="0"/>
      <c r="BI57" s="0"/>
      <c r="BJ57" s="0"/>
      <c r="BK57" s="0"/>
      <c r="BL57" s="0"/>
      <c r="BM57" s="0"/>
      <c r="BN57"/>
      <c r="BO57"/>
      <c r="BP57"/>
      <c r="BQ57"/>
      <c r="BR57"/>
      <c r="BS57"/>
      <c r="BT57"/>
      <c r="BU57"/>
      <c r="BV57"/>
      <c r="BW57"/>
      <c r="BX57"/>
      <c r="BY57"/>
      <c r="BZ57"/>
    </row>
    <row r="58" ht="15.0" customHeight="true">
      <c r="A58" s="51" t="s">
        <v>2435</v>
      </c>
      <c r="B58" s="33"/>
      <c r="C58" s="33" t="s">
        <v>3000</v>
      </c>
      <c r="D58" s="33"/>
      <c r="E58" s="33" t="s">
        <v>3001</v>
      </c>
      <c r="F58" s="33"/>
      <c r="G58" s="55" t="s">
        <v>3002</v>
      </c>
      <c r="H58" s="33"/>
      <c r="I58" s="51" t="s">
        <v>3003</v>
      </c>
      <c r="J58" s="33"/>
      <c r="K58" s="51" t="s">
        <v>3004</v>
      </c>
      <c r="L58" s="33" t="s">
        <v>2441</v>
      </c>
      <c r="M58" s="55" t="s">
        <v>3005</v>
      </c>
      <c r="N58" s="55"/>
      <c r="O58" s="33"/>
      <c r="P58" s="33" t="s">
        <v>2251</v>
      </c>
      <c r="Q58" s="33"/>
      <c r="R58" s="33" t="s">
        <v>2263</v>
      </c>
      <c r="S58" s="56" t="s">
        <v>2277</v>
      </c>
      <c r="T58" s="56"/>
      <c r="U58" s="33" t="s">
        <v>3005</v>
      </c>
      <c r="V58" s="94" t="s">
        <v>2443</v>
      </c>
      <c r="W58" s="94" t="s">
        <v>2444</v>
      </c>
      <c r="X58" s="51"/>
      <c r="Y58" s="51"/>
      <c r="Z58" s="33" t="s">
        <v>2445</v>
      </c>
      <c r="AA58" s="33" t="s">
        <v>2446</v>
      </c>
      <c r="AB58" s="33"/>
      <c r="AC58" s="33" t="s">
        <v>2254</v>
      </c>
      <c r="AD58" s="33"/>
      <c r="AE58" s="33" t="s">
        <v>2267</v>
      </c>
      <c r="AF58" s="33" t="s">
        <v>2447</v>
      </c>
      <c r="AG58" s="33"/>
      <c r="AH58" s="33"/>
      <c r="AI58" s="33" t="s">
        <v>3006</v>
      </c>
      <c r="AJ58" s="94" t="s">
        <v>3007</v>
      </c>
      <c r="AK58" s="33" t="s">
        <v>3008</v>
      </c>
      <c r="AL58" s="33"/>
      <c r="AM58" s="33" t="s">
        <v>2742</v>
      </c>
      <c r="AN58" s="51" t="s">
        <v>3009</v>
      </c>
      <c r="AO58" s="51" t="s">
        <v>188</v>
      </c>
      <c r="AP58" s="33"/>
      <c r="AQ58" s="54"/>
      <c r="AR58" s="54"/>
      <c r="AS58" s="54"/>
      <c r="AT58" s="54"/>
      <c r="AU58" s="54"/>
      <c r="AV58" s="54"/>
      <c r="AW58" s="54"/>
      <c r="AX58" s="54"/>
      <c r="AY58" s="54"/>
      <c r="AZ58" s="54"/>
      <c r="BA58" s="54"/>
      <c r="BB58" s="54"/>
      <c r="BC58" s="54" t="s">
        <v>2434</v>
      </c>
      <c r="BD58" s="54"/>
      <c r="BE58" s="54"/>
      <c r="BF58" s="54"/>
      <c r="BG58" s="54"/>
      <c r="BH58" s="0"/>
      <c r="BI58" s="0"/>
      <c r="BJ58" s="0"/>
      <c r="BK58" s="0"/>
      <c r="BL58" s="0"/>
      <c r="BM58" s="0"/>
      <c r="BN58"/>
      <c r="BO58"/>
      <c r="BP58"/>
      <c r="BQ58"/>
      <c r="BR58"/>
      <c r="BS58"/>
      <c r="BT58"/>
      <c r="BU58"/>
      <c r="BV58"/>
      <c r="BW58"/>
      <c r="BX58"/>
      <c r="BY58"/>
      <c r="BZ58"/>
    </row>
    <row r="59" ht="15.0" customHeight="true">
      <c r="A59" s="51" t="s">
        <v>2435</v>
      </c>
      <c r="B59" s="33"/>
      <c r="C59" s="33" t="s">
        <v>3010</v>
      </c>
      <c r="D59" s="33"/>
      <c r="E59" s="33" t="s">
        <v>3011</v>
      </c>
      <c r="F59" s="33"/>
      <c r="G59" s="55" t="s">
        <v>3012</v>
      </c>
      <c r="H59" s="33" t="s">
        <v>2247</v>
      </c>
      <c r="I59" s="51" t="s">
        <v>3013</v>
      </c>
      <c r="J59" s="33"/>
      <c r="K59" s="51" t="s">
        <v>3014</v>
      </c>
      <c r="L59" s="33" t="s">
        <v>2458</v>
      </c>
      <c r="M59" s="55" t="s">
        <v>2873</v>
      </c>
      <c r="N59" s="55" t="s">
        <v>3015</v>
      </c>
      <c r="O59" s="33" t="s">
        <v>2271</v>
      </c>
      <c r="P59" s="33" t="s">
        <v>2251</v>
      </c>
      <c r="Q59" s="33"/>
      <c r="R59" s="33" t="s">
        <v>2263</v>
      </c>
      <c r="S59" s="56" t="s">
        <v>2277</v>
      </c>
      <c r="T59" s="56"/>
      <c r="U59" s="33" t="s">
        <v>2873</v>
      </c>
      <c r="V59" s="94" t="s">
        <v>2443</v>
      </c>
      <c r="W59" s="94" t="s">
        <v>2444</v>
      </c>
      <c r="X59" s="51"/>
      <c r="Y59" s="51"/>
      <c r="Z59" s="33" t="s">
        <v>2445</v>
      </c>
      <c r="AA59" s="33" t="s">
        <v>2446</v>
      </c>
      <c r="AB59" s="33"/>
      <c r="AC59" s="33" t="s">
        <v>2254</v>
      </c>
      <c r="AD59" s="33"/>
      <c r="AE59" s="33" t="s">
        <v>2267</v>
      </c>
      <c r="AF59" s="33" t="s">
        <v>2447</v>
      </c>
      <c r="AG59" s="33"/>
      <c r="AH59" s="33"/>
      <c r="AI59" s="33" t="s">
        <v>3016</v>
      </c>
      <c r="AJ59" s="94" t="s">
        <v>3017</v>
      </c>
      <c r="AK59" s="33" t="s">
        <v>3018</v>
      </c>
      <c r="AL59" s="33"/>
      <c r="AM59" s="33" t="s">
        <v>2530</v>
      </c>
      <c r="AN59" s="51" t="s">
        <v>2531</v>
      </c>
      <c r="AO59" s="51" t="s">
        <v>188</v>
      </c>
      <c r="AP59" s="33"/>
      <c r="AQ59" s="54"/>
      <c r="AR59" s="54"/>
      <c r="AS59" s="54"/>
      <c r="AT59" s="54"/>
      <c r="AU59" s="54"/>
      <c r="AV59" s="54"/>
      <c r="AW59" s="54"/>
      <c r="AX59" s="54"/>
      <c r="AY59" s="54"/>
      <c r="AZ59" s="54"/>
      <c r="BA59" s="54"/>
      <c r="BB59" s="54"/>
      <c r="BC59" s="54"/>
      <c r="BD59" s="54"/>
      <c r="BE59" s="54"/>
      <c r="BF59" s="54"/>
      <c r="BG59" s="54"/>
      <c r="BH59" s="0"/>
      <c r="BI59" s="0"/>
      <c r="BJ59" s="0"/>
      <c r="BK59" s="0"/>
      <c r="BL59" s="0"/>
      <c r="BM59" s="0"/>
      <c r="BN59"/>
      <c r="BO59"/>
      <c r="BP59"/>
      <c r="BQ59"/>
      <c r="BR59"/>
      <c r="BS59"/>
      <c r="BT59"/>
      <c r="BU59"/>
      <c r="BV59"/>
      <c r="BW59"/>
      <c r="BX59"/>
      <c r="BY59"/>
      <c r="BZ59"/>
    </row>
    <row r="60" ht="15.0" customHeight="true">
      <c r="A60" s="51" t="s">
        <v>2435</v>
      </c>
      <c r="B60" s="33"/>
      <c r="C60" s="33" t="s">
        <v>3019</v>
      </c>
      <c r="D60" s="33"/>
      <c r="E60" s="33" t="s">
        <v>3020</v>
      </c>
      <c r="F60" s="33"/>
      <c r="G60" s="55" t="s">
        <v>3021</v>
      </c>
      <c r="H60" s="33"/>
      <c r="I60" s="51" t="s">
        <v>3022</v>
      </c>
      <c r="J60" s="33"/>
      <c r="K60" s="51" t="s">
        <v>3023</v>
      </c>
      <c r="L60" s="33" t="s">
        <v>2441</v>
      </c>
      <c r="M60" s="55" t="s">
        <v>3024</v>
      </c>
      <c r="N60" s="55"/>
      <c r="O60" s="33"/>
      <c r="P60" s="33" t="s">
        <v>2251</v>
      </c>
      <c r="Q60" s="33"/>
      <c r="R60" s="33" t="s">
        <v>2263</v>
      </c>
      <c r="S60" s="56" t="s">
        <v>2277</v>
      </c>
      <c r="T60" s="56"/>
      <c r="U60" s="33" t="s">
        <v>3024</v>
      </c>
      <c r="V60" s="94" t="s">
        <v>2443</v>
      </c>
      <c r="W60" s="94" t="s">
        <v>2662</v>
      </c>
      <c r="X60" s="51"/>
      <c r="Y60" s="51"/>
      <c r="Z60" s="33" t="s">
        <v>2445</v>
      </c>
      <c r="AA60" s="33" t="s">
        <v>2446</v>
      </c>
      <c r="AB60" s="33"/>
      <c r="AC60" s="33" t="s">
        <v>2254</v>
      </c>
      <c r="AD60" s="33"/>
      <c r="AE60" s="33" t="s">
        <v>2267</v>
      </c>
      <c r="AF60" s="33" t="s">
        <v>2447</v>
      </c>
      <c r="AG60" s="33"/>
      <c r="AH60" s="33"/>
      <c r="AI60" s="33" t="s">
        <v>3025</v>
      </c>
      <c r="AJ60" s="94" t="s">
        <v>3026</v>
      </c>
      <c r="AK60" s="33" t="s">
        <v>3027</v>
      </c>
      <c r="AL60" s="33"/>
      <c r="AM60" s="33" t="s">
        <v>2549</v>
      </c>
      <c r="AN60" s="51" t="s">
        <v>2550</v>
      </c>
      <c r="AO60" s="51" t="s">
        <v>188</v>
      </c>
      <c r="AP60" s="33"/>
      <c r="AQ60" s="54"/>
      <c r="AR60" s="54"/>
      <c r="AS60" s="54"/>
      <c r="AT60" s="54"/>
      <c r="AU60" s="54"/>
      <c r="AV60" s="54"/>
      <c r="AW60" s="54"/>
      <c r="AX60" s="54"/>
      <c r="AY60" s="54"/>
      <c r="AZ60" s="54"/>
      <c r="BA60" s="54"/>
      <c r="BB60" s="54"/>
      <c r="BC60" s="54" t="s">
        <v>2434</v>
      </c>
      <c r="BD60" s="54"/>
      <c r="BE60" s="54"/>
      <c r="BF60" s="54"/>
      <c r="BG60" s="54"/>
      <c r="BH60" s="0"/>
      <c r="BI60" s="0"/>
      <c r="BJ60" s="0"/>
      <c r="BK60" s="0"/>
      <c r="BL60" s="0"/>
      <c r="BM60" s="0"/>
      <c r="BN60"/>
      <c r="BO60"/>
      <c r="BP60"/>
      <c r="BQ60"/>
      <c r="BR60"/>
      <c r="BS60"/>
      <c r="BT60"/>
      <c r="BU60"/>
      <c r="BV60"/>
      <c r="BW60"/>
      <c r="BX60"/>
      <c r="BY60"/>
      <c r="BZ60"/>
    </row>
    <row r="61" ht="15.0" customHeight="true">
      <c r="A61" s="51" t="s">
        <v>2435</v>
      </c>
      <c r="B61" s="33"/>
      <c r="C61" s="33" t="s">
        <v>2501</v>
      </c>
      <c r="D61" s="33" t="s">
        <v>3028</v>
      </c>
      <c r="E61" s="33" t="s">
        <v>3029</v>
      </c>
      <c r="F61" s="33"/>
      <c r="G61" s="55" t="s">
        <v>3030</v>
      </c>
      <c r="H61" s="33" t="s">
        <v>2247</v>
      </c>
      <c r="I61" s="51" t="s">
        <v>3031</v>
      </c>
      <c r="J61" s="33"/>
      <c r="K61" s="51" t="s">
        <v>3032</v>
      </c>
      <c r="L61" s="33" t="s">
        <v>2458</v>
      </c>
      <c r="M61" s="55" t="s">
        <v>3033</v>
      </c>
      <c r="N61" s="55" t="s">
        <v>3034</v>
      </c>
      <c r="O61" s="33" t="s">
        <v>2271</v>
      </c>
      <c r="P61" s="33" t="s">
        <v>2251</v>
      </c>
      <c r="Q61" s="33"/>
      <c r="R61" s="33" t="s">
        <v>2263</v>
      </c>
      <c r="S61" s="56" t="s">
        <v>2277</v>
      </c>
      <c r="T61" s="56"/>
      <c r="U61" s="33" t="s">
        <v>3033</v>
      </c>
      <c r="V61" s="94" t="s">
        <v>2443</v>
      </c>
      <c r="W61" s="94" t="s">
        <v>3035</v>
      </c>
      <c r="X61" s="51"/>
      <c r="Y61" s="51"/>
      <c r="Z61" s="33" t="s">
        <v>2445</v>
      </c>
      <c r="AA61" s="33" t="s">
        <v>2482</v>
      </c>
      <c r="AB61" s="33"/>
      <c r="AC61" s="33" t="s">
        <v>2254</v>
      </c>
      <c r="AD61" s="33"/>
      <c r="AE61" s="33" t="s">
        <v>2267</v>
      </c>
      <c r="AF61" s="33" t="s">
        <v>2447</v>
      </c>
      <c r="AG61" s="33"/>
      <c r="AH61" s="33"/>
      <c r="AI61" s="33" t="s">
        <v>3036</v>
      </c>
      <c r="AJ61" s="94" t="s">
        <v>3037</v>
      </c>
      <c r="AK61" s="33" t="s">
        <v>3038</v>
      </c>
      <c r="AL61" s="33"/>
      <c r="AM61" s="33" t="s">
        <v>2688</v>
      </c>
      <c r="AN61" s="51" t="s">
        <v>3039</v>
      </c>
      <c r="AO61" s="51" t="s">
        <v>188</v>
      </c>
      <c r="AP61" s="33"/>
      <c r="AQ61" s="54"/>
      <c r="AR61" s="54"/>
      <c r="AS61" s="54"/>
      <c r="AT61" s="54"/>
      <c r="AU61" s="54"/>
      <c r="AV61" s="54"/>
      <c r="AW61" s="54"/>
      <c r="AX61" s="54"/>
      <c r="AY61" s="54"/>
      <c r="AZ61" s="54"/>
      <c r="BA61" s="54"/>
      <c r="BB61" s="54"/>
      <c r="BC61" s="54"/>
      <c r="BD61" s="54"/>
      <c r="BE61" s="54"/>
      <c r="BF61" s="54"/>
      <c r="BG61" s="54"/>
      <c r="BH61" s="0"/>
      <c r="BI61" s="0"/>
      <c r="BJ61" s="0"/>
      <c r="BK61" s="0"/>
      <c r="BL61" s="0"/>
      <c r="BM61" s="0"/>
      <c r="BN61"/>
      <c r="BO61"/>
      <c r="BP61"/>
      <c r="BQ61"/>
      <c r="BR61"/>
      <c r="BS61"/>
      <c r="BT61"/>
      <c r="BU61"/>
      <c r="BV61"/>
      <c r="BW61"/>
      <c r="BX61"/>
      <c r="BY61"/>
      <c r="BZ61"/>
    </row>
    <row r="62" ht="15.0" customHeight="true">
      <c r="A62" s="51" t="s">
        <v>2435</v>
      </c>
      <c r="B62" s="33"/>
      <c r="C62" s="33" t="s">
        <v>3040</v>
      </c>
      <c r="D62" s="33"/>
      <c r="E62" s="33" t="s">
        <v>3041</v>
      </c>
      <c r="F62" s="33"/>
      <c r="G62" s="55" t="s">
        <v>3042</v>
      </c>
      <c r="H62" s="33"/>
      <c r="I62" s="51" t="s">
        <v>3043</v>
      </c>
      <c r="J62" s="33"/>
      <c r="K62" s="51" t="s">
        <v>3044</v>
      </c>
      <c r="L62" s="33" t="s">
        <v>2441</v>
      </c>
      <c r="M62" s="55" t="s">
        <v>2843</v>
      </c>
      <c r="N62" s="55"/>
      <c r="O62" s="33"/>
      <c r="P62" s="33" t="s">
        <v>2251</v>
      </c>
      <c r="Q62" s="33"/>
      <c r="R62" s="33" t="s">
        <v>2263</v>
      </c>
      <c r="S62" s="56" t="s">
        <v>2277</v>
      </c>
      <c r="T62" s="56"/>
      <c r="U62" s="33" t="s">
        <v>2843</v>
      </c>
      <c r="V62" s="94" t="s">
        <v>2443</v>
      </c>
      <c r="W62" s="94" t="s">
        <v>2662</v>
      </c>
      <c r="X62" s="51"/>
      <c r="Y62" s="51"/>
      <c r="Z62" s="33" t="s">
        <v>2445</v>
      </c>
      <c r="AA62" s="33" t="s">
        <v>2446</v>
      </c>
      <c r="AB62" s="33"/>
      <c r="AC62" s="33" t="s">
        <v>2254</v>
      </c>
      <c r="AD62" s="33"/>
      <c r="AE62" s="33" t="s">
        <v>2267</v>
      </c>
      <c r="AF62" s="33" t="s">
        <v>2447</v>
      </c>
      <c r="AG62" s="33"/>
      <c r="AH62" s="33"/>
      <c r="AI62" s="33" t="s">
        <v>3045</v>
      </c>
      <c r="AJ62" s="94" t="s">
        <v>3046</v>
      </c>
      <c r="AK62" s="33" t="s">
        <v>3047</v>
      </c>
      <c r="AL62" s="33"/>
      <c r="AM62" s="33" t="s">
        <v>2509</v>
      </c>
      <c r="AN62" s="51" t="s">
        <v>3048</v>
      </c>
      <c r="AO62" s="51" t="s">
        <v>188</v>
      </c>
      <c r="AP62" s="33"/>
      <c r="AQ62" s="54"/>
      <c r="AR62" s="54"/>
      <c r="AS62" s="54"/>
      <c r="AT62" s="54"/>
      <c r="AU62" s="54"/>
      <c r="AV62" s="54"/>
      <c r="AW62" s="54"/>
      <c r="AX62" s="54"/>
      <c r="AY62" s="54"/>
      <c r="AZ62" s="54"/>
      <c r="BA62" s="54"/>
      <c r="BB62" s="54"/>
      <c r="BC62" s="54" t="s">
        <v>2434</v>
      </c>
      <c r="BD62" s="54"/>
      <c r="BE62" s="54"/>
      <c r="BF62" s="54"/>
      <c r="BG62" s="54"/>
      <c r="BH62" s="0"/>
      <c r="BI62" s="0"/>
      <c r="BJ62" s="0"/>
      <c r="BK62" s="0"/>
      <c r="BL62" s="0"/>
      <c r="BM62" s="0"/>
      <c r="BN62"/>
      <c r="BO62"/>
      <c r="BP62"/>
      <c r="BQ62"/>
      <c r="BR62"/>
      <c r="BS62"/>
      <c r="BT62"/>
      <c r="BU62"/>
      <c r="BV62"/>
      <c r="BW62"/>
      <c r="BX62"/>
      <c r="BY62"/>
      <c r="BZ62"/>
    </row>
    <row r="63" ht="15.0" customHeight="true">
      <c r="A63" s="51" t="s">
        <v>2435</v>
      </c>
      <c r="B63" s="33"/>
      <c r="C63" s="33" t="s">
        <v>3049</v>
      </c>
      <c r="D63" s="33"/>
      <c r="E63" s="33" t="s">
        <v>3050</v>
      </c>
      <c r="F63" s="33"/>
      <c r="G63" s="55" t="s">
        <v>3051</v>
      </c>
      <c r="H63" s="33"/>
      <c r="I63" s="51" t="s">
        <v>3052</v>
      </c>
      <c r="J63" s="33"/>
      <c r="K63" s="51" t="s">
        <v>3053</v>
      </c>
      <c r="L63" s="33" t="s">
        <v>2441</v>
      </c>
      <c r="M63" s="55" t="s">
        <v>3054</v>
      </c>
      <c r="N63" s="55"/>
      <c r="O63" s="33"/>
      <c r="P63" s="33" t="s">
        <v>2251</v>
      </c>
      <c r="Q63" s="33"/>
      <c r="R63" s="33" t="s">
        <v>2263</v>
      </c>
      <c r="S63" s="56" t="s">
        <v>2277</v>
      </c>
      <c r="T63" s="56"/>
      <c r="U63" s="33" t="s">
        <v>3054</v>
      </c>
      <c r="V63" s="94" t="s">
        <v>2443</v>
      </c>
      <c r="W63" s="94" t="s">
        <v>3055</v>
      </c>
      <c r="X63" s="51"/>
      <c r="Y63" s="51"/>
      <c r="Z63" s="33" t="s">
        <v>2445</v>
      </c>
      <c r="AA63" s="33" t="s">
        <v>2482</v>
      </c>
      <c r="AB63" s="33"/>
      <c r="AC63" s="33" t="s">
        <v>2254</v>
      </c>
      <c r="AD63" s="33"/>
      <c r="AE63" s="33" t="s">
        <v>2267</v>
      </c>
      <c r="AF63" s="33" t="s">
        <v>2447</v>
      </c>
      <c r="AG63" s="33"/>
      <c r="AH63" s="33"/>
      <c r="AI63" s="33" t="s">
        <v>3056</v>
      </c>
      <c r="AJ63" s="94" t="s">
        <v>3057</v>
      </c>
      <c r="AK63" s="33" t="s">
        <v>3058</v>
      </c>
      <c r="AL63" s="33" t="s">
        <v>3059</v>
      </c>
      <c r="AM63" s="33" t="s">
        <v>2549</v>
      </c>
      <c r="AN63" s="51" t="s">
        <v>2550</v>
      </c>
      <c r="AO63" s="51" t="s">
        <v>188</v>
      </c>
      <c r="AP63" s="33"/>
      <c r="AQ63" s="54"/>
      <c r="AR63" s="54"/>
      <c r="AS63" s="54"/>
      <c r="AT63" s="54"/>
      <c r="AU63" s="54"/>
      <c r="AV63" s="54"/>
      <c r="AW63" s="54"/>
      <c r="AX63" s="54"/>
      <c r="AY63" s="54"/>
      <c r="AZ63" s="54"/>
      <c r="BA63" s="54"/>
      <c r="BB63" s="54"/>
      <c r="BC63" s="54" t="s">
        <v>2434</v>
      </c>
      <c r="BD63" s="54"/>
      <c r="BE63" s="54"/>
      <c r="BF63" s="54"/>
      <c r="BG63" s="54"/>
      <c r="BH63" s="0"/>
      <c r="BI63" s="0"/>
      <c r="BJ63" s="0"/>
      <c r="BK63" s="0"/>
      <c r="BL63" s="0"/>
      <c r="BM63" s="0"/>
      <c r="BN63"/>
      <c r="BO63"/>
      <c r="BP63"/>
      <c r="BQ63"/>
      <c r="BR63"/>
      <c r="BS63"/>
      <c r="BT63"/>
      <c r="BU63"/>
      <c r="BV63"/>
      <c r="BW63"/>
      <c r="BX63"/>
      <c r="BY63"/>
      <c r="BZ63"/>
    </row>
    <row r="64" ht="15.0" customHeight="true">
      <c r="A64" s="51" t="s">
        <v>2435</v>
      </c>
      <c r="B64" s="33"/>
      <c r="C64" s="33" t="s">
        <v>2963</v>
      </c>
      <c r="D64" s="33"/>
      <c r="E64" s="33" t="s">
        <v>3060</v>
      </c>
      <c r="F64" s="33"/>
      <c r="G64" s="55" t="s">
        <v>3061</v>
      </c>
      <c r="H64" s="33"/>
      <c r="I64" s="51" t="s">
        <v>3062</v>
      </c>
      <c r="J64" s="33"/>
      <c r="K64" s="51" t="s">
        <v>3063</v>
      </c>
      <c r="L64" s="33" t="s">
        <v>2441</v>
      </c>
      <c r="M64" s="55" t="s">
        <v>3064</v>
      </c>
      <c r="N64" s="55"/>
      <c r="O64" s="33"/>
      <c r="P64" s="33" t="s">
        <v>2262</v>
      </c>
      <c r="Q64" s="33"/>
      <c r="R64" s="33" t="s">
        <v>2263</v>
      </c>
      <c r="S64" s="56" t="s">
        <v>2277</v>
      </c>
      <c r="T64" s="56"/>
      <c r="U64" s="33" t="s">
        <v>2592</v>
      </c>
      <c r="V64" s="94" t="s">
        <v>2443</v>
      </c>
      <c r="W64" s="94" t="s">
        <v>2444</v>
      </c>
      <c r="X64" s="51"/>
      <c r="Y64" s="51"/>
      <c r="Z64" s="33" t="s">
        <v>2445</v>
      </c>
      <c r="AA64" s="33" t="s">
        <v>2446</v>
      </c>
      <c r="AB64" s="33"/>
      <c r="AC64" s="33" t="s">
        <v>2254</v>
      </c>
      <c r="AD64" s="33"/>
      <c r="AE64" s="33" t="s">
        <v>2267</v>
      </c>
      <c r="AF64" s="33" t="s">
        <v>2447</v>
      </c>
      <c r="AG64" s="33"/>
      <c r="AH64" s="33" t="s">
        <v>3065</v>
      </c>
      <c r="AI64" s="33" t="s">
        <v>3065</v>
      </c>
      <c r="AJ64" s="94" t="s">
        <v>3066</v>
      </c>
      <c r="AK64" s="33" t="s">
        <v>3067</v>
      </c>
      <c r="AL64" s="33"/>
      <c r="AM64" s="33" t="s">
        <v>2451</v>
      </c>
      <c r="AN64" s="51" t="s">
        <v>3068</v>
      </c>
      <c r="AO64" s="51" t="s">
        <v>188</v>
      </c>
      <c r="AP64" s="33"/>
      <c r="AQ64" s="54"/>
      <c r="AR64" s="54"/>
      <c r="AS64" s="54"/>
      <c r="AT64" s="54"/>
      <c r="AU64" s="54"/>
      <c r="AV64" s="54"/>
      <c r="AW64" s="54"/>
      <c r="AX64" s="54"/>
      <c r="AY64" s="54"/>
      <c r="AZ64" s="54"/>
      <c r="BA64" s="54"/>
      <c r="BB64" s="54"/>
      <c r="BC64" s="54" t="s">
        <v>2434</v>
      </c>
      <c r="BD64" s="54"/>
      <c r="BE64" s="54"/>
      <c r="BF64" s="54"/>
      <c r="BG64" s="54"/>
      <c r="BH64" s="0"/>
      <c r="BI64" s="0"/>
      <c r="BJ64" s="0"/>
      <c r="BK64" s="0"/>
      <c r="BL64" s="0"/>
      <c r="BM64" s="0"/>
      <c r="BN64"/>
      <c r="BO64"/>
      <c r="BP64"/>
      <c r="BQ64"/>
      <c r="BR64"/>
      <c r="BS64"/>
      <c r="BT64"/>
      <c r="BU64"/>
      <c r="BV64"/>
      <c r="BW64"/>
      <c r="BX64"/>
      <c r="BY64"/>
      <c r="BZ64"/>
    </row>
    <row r="65" ht="15.0" customHeight="true">
      <c r="A65" s="51" t="s">
        <v>2435</v>
      </c>
      <c r="B65" s="33"/>
      <c r="C65" s="33" t="s">
        <v>3069</v>
      </c>
      <c r="D65" s="33"/>
      <c r="E65" s="33" t="s">
        <v>3070</v>
      </c>
      <c r="F65" s="33"/>
      <c r="G65" s="55" t="s">
        <v>3071</v>
      </c>
      <c r="H65" s="33"/>
      <c r="I65" s="51" t="s">
        <v>3072</v>
      </c>
      <c r="J65" s="33"/>
      <c r="K65" s="51" t="s">
        <v>3073</v>
      </c>
      <c r="L65" s="33" t="s">
        <v>2441</v>
      </c>
      <c r="M65" s="55" t="s">
        <v>2825</v>
      </c>
      <c r="N65" s="55"/>
      <c r="O65" s="33"/>
      <c r="P65" s="33" t="s">
        <v>2251</v>
      </c>
      <c r="Q65" s="33"/>
      <c r="R65" s="33" t="s">
        <v>2263</v>
      </c>
      <c r="S65" s="56" t="s">
        <v>2277</v>
      </c>
      <c r="T65" s="56"/>
      <c r="U65" s="33" t="s">
        <v>2825</v>
      </c>
      <c r="V65" s="94" t="s">
        <v>2443</v>
      </c>
      <c r="W65" s="94" t="s">
        <v>2444</v>
      </c>
      <c r="X65" s="51"/>
      <c r="Y65" s="51"/>
      <c r="Z65" s="33" t="s">
        <v>2445</v>
      </c>
      <c r="AA65" s="33" t="s">
        <v>2446</v>
      </c>
      <c r="AB65" s="33"/>
      <c r="AC65" s="33" t="s">
        <v>2254</v>
      </c>
      <c r="AD65" s="33"/>
      <c r="AE65" s="33" t="s">
        <v>2267</v>
      </c>
      <c r="AF65" s="33" t="s">
        <v>2447</v>
      </c>
      <c r="AG65" s="33"/>
      <c r="AH65" s="33"/>
      <c r="AI65" s="33" t="s">
        <v>3074</v>
      </c>
      <c r="AJ65" s="94" t="s">
        <v>3075</v>
      </c>
      <c r="AK65" s="33" t="s">
        <v>3076</v>
      </c>
      <c r="AL65" s="33"/>
      <c r="AM65" s="33" t="s">
        <v>2666</v>
      </c>
      <c r="AN65" s="51" t="s">
        <v>2667</v>
      </c>
      <c r="AO65" s="51" t="s">
        <v>188</v>
      </c>
      <c r="AP65" s="33"/>
      <c r="AQ65" s="54"/>
      <c r="AR65" s="54"/>
      <c r="AS65" s="54"/>
      <c r="AT65" s="54"/>
      <c r="AU65" s="54"/>
      <c r="AV65" s="54"/>
      <c r="AW65" s="54"/>
      <c r="AX65" s="54"/>
      <c r="AY65" s="54"/>
      <c r="AZ65" s="54"/>
      <c r="BA65" s="54"/>
      <c r="BB65" s="54"/>
      <c r="BC65" s="54" t="s">
        <v>2434</v>
      </c>
      <c r="BD65" s="54"/>
      <c r="BE65" s="54"/>
      <c r="BF65" s="54"/>
      <c r="BG65" s="54"/>
      <c r="BH65" s="0"/>
      <c r="BI65" s="0"/>
      <c r="BJ65" s="0"/>
      <c r="BK65" s="0"/>
      <c r="BL65" s="0"/>
      <c r="BM65" s="0"/>
      <c r="BN65"/>
      <c r="BO65"/>
      <c r="BP65"/>
      <c r="BQ65"/>
      <c r="BR65"/>
      <c r="BS65"/>
      <c r="BT65"/>
      <c r="BU65"/>
      <c r="BV65"/>
      <c r="BW65"/>
      <c r="BX65"/>
      <c r="BY65"/>
      <c r="BZ65"/>
    </row>
    <row r="66" ht="15.0" customHeight="true">
      <c r="A66" s="51" t="s">
        <v>2435</v>
      </c>
      <c r="B66" s="33"/>
      <c r="C66" s="33" t="s">
        <v>3077</v>
      </c>
      <c r="D66" s="33"/>
      <c r="E66" s="33" t="s">
        <v>3078</v>
      </c>
      <c r="F66" s="33"/>
      <c r="G66" s="55" t="s">
        <v>3079</v>
      </c>
      <c r="H66" s="33"/>
      <c r="I66" s="51" t="s">
        <v>3080</v>
      </c>
      <c r="J66" s="33"/>
      <c r="K66" s="51" t="s">
        <v>3081</v>
      </c>
      <c r="L66" s="33" t="s">
        <v>2441</v>
      </c>
      <c r="M66" s="55" t="s">
        <v>3082</v>
      </c>
      <c r="N66" s="55"/>
      <c r="O66" s="33"/>
      <c r="P66" s="33" t="s">
        <v>2251</v>
      </c>
      <c r="Q66" s="33"/>
      <c r="R66" s="33" t="s">
        <v>2263</v>
      </c>
      <c r="S66" s="56" t="s">
        <v>2277</v>
      </c>
      <c r="T66" s="56"/>
      <c r="U66" s="33" t="s">
        <v>3082</v>
      </c>
      <c r="V66" s="94" t="s">
        <v>2443</v>
      </c>
      <c r="W66" s="94" t="s">
        <v>2444</v>
      </c>
      <c r="X66" s="51"/>
      <c r="Y66" s="51"/>
      <c r="Z66" s="33" t="s">
        <v>2445</v>
      </c>
      <c r="AA66" s="33" t="s">
        <v>2446</v>
      </c>
      <c r="AB66" s="33"/>
      <c r="AC66" s="33" t="s">
        <v>2254</v>
      </c>
      <c r="AD66" s="33"/>
      <c r="AE66" s="33" t="s">
        <v>2267</v>
      </c>
      <c r="AF66" s="33" t="s">
        <v>2447</v>
      </c>
      <c r="AG66" s="33"/>
      <c r="AH66" s="33"/>
      <c r="AI66" s="33" t="s">
        <v>3083</v>
      </c>
      <c r="AJ66" s="94" t="s">
        <v>3084</v>
      </c>
      <c r="AK66" s="33" t="s">
        <v>3085</v>
      </c>
      <c r="AL66" s="33"/>
      <c r="AM66" s="33" t="s">
        <v>2509</v>
      </c>
      <c r="AN66" s="51" t="s">
        <v>2510</v>
      </c>
      <c r="AO66" s="51" t="s">
        <v>188</v>
      </c>
      <c r="AP66" s="33"/>
      <c r="AQ66" s="54"/>
      <c r="AR66" s="54"/>
      <c r="AS66" s="54"/>
      <c r="AT66" s="54"/>
      <c r="AU66" s="54"/>
      <c r="AV66" s="54"/>
      <c r="AW66" s="54"/>
      <c r="AX66" s="54"/>
      <c r="AY66" s="54"/>
      <c r="AZ66" s="54"/>
      <c r="BA66" s="54"/>
      <c r="BB66" s="54"/>
      <c r="BC66" s="54" t="s">
        <v>2434</v>
      </c>
      <c r="BD66" s="54"/>
      <c r="BE66" s="54"/>
      <c r="BF66" s="54"/>
      <c r="BG66" s="54"/>
      <c r="BH66" s="0"/>
      <c r="BI66" s="0"/>
      <c r="BJ66" s="0"/>
      <c r="BK66" s="0"/>
      <c r="BL66" s="0"/>
      <c r="BM66" s="0"/>
      <c r="BN66"/>
      <c r="BO66"/>
      <c r="BP66"/>
      <c r="BQ66"/>
      <c r="BR66"/>
      <c r="BS66"/>
      <c r="BT66"/>
      <c r="BU66"/>
      <c r="BV66"/>
      <c r="BW66"/>
      <c r="BX66"/>
      <c r="BY66"/>
      <c r="BZ66"/>
    </row>
    <row r="67" ht="15.0" customHeight="true">
      <c r="A67" s="51" t="s">
        <v>2435</v>
      </c>
      <c r="B67" s="33"/>
      <c r="C67" s="33" t="s">
        <v>3086</v>
      </c>
      <c r="D67" s="33"/>
      <c r="E67" s="33" t="s">
        <v>3087</v>
      </c>
      <c r="F67" s="33"/>
      <c r="G67" s="55" t="s">
        <v>3088</v>
      </c>
      <c r="H67" s="33"/>
      <c r="I67" s="51" t="s">
        <v>3089</v>
      </c>
      <c r="J67" s="33"/>
      <c r="K67" s="51" t="s">
        <v>3090</v>
      </c>
      <c r="L67" s="33" t="s">
        <v>2441</v>
      </c>
      <c r="M67" s="55" t="s">
        <v>3064</v>
      </c>
      <c r="N67" s="55"/>
      <c r="O67" s="33"/>
      <c r="P67" s="33" t="s">
        <v>2262</v>
      </c>
      <c r="Q67" s="33"/>
      <c r="R67" s="33" t="s">
        <v>2263</v>
      </c>
      <c r="S67" s="56" t="s">
        <v>2277</v>
      </c>
      <c r="T67" s="56"/>
      <c r="U67" s="33" t="s">
        <v>2592</v>
      </c>
      <c r="V67" s="94" t="s">
        <v>2443</v>
      </c>
      <c r="W67" s="94" t="s">
        <v>2444</v>
      </c>
      <c r="X67" s="51"/>
      <c r="Y67" s="51"/>
      <c r="Z67" s="33" t="s">
        <v>2445</v>
      </c>
      <c r="AA67" s="33" t="s">
        <v>2446</v>
      </c>
      <c r="AB67" s="33"/>
      <c r="AC67" s="33" t="s">
        <v>2254</v>
      </c>
      <c r="AD67" s="33"/>
      <c r="AE67" s="33" t="s">
        <v>2267</v>
      </c>
      <c r="AF67" s="33" t="s">
        <v>2447</v>
      </c>
      <c r="AG67" s="33"/>
      <c r="AH67" s="33" t="s">
        <v>3091</v>
      </c>
      <c r="AI67" s="33" t="s">
        <v>3091</v>
      </c>
      <c r="AJ67" s="94" t="s">
        <v>3092</v>
      </c>
      <c r="AK67" s="33" t="s">
        <v>3093</v>
      </c>
      <c r="AL67" s="33" t="s">
        <v>3094</v>
      </c>
      <c r="AM67" s="33" t="s">
        <v>3095</v>
      </c>
      <c r="AN67" s="51" t="s">
        <v>3096</v>
      </c>
      <c r="AO67" s="51" t="s">
        <v>188</v>
      </c>
      <c r="AP67" s="33"/>
      <c r="AQ67" s="54"/>
      <c r="AR67" s="54"/>
      <c r="AS67" s="54"/>
      <c r="AT67" s="54"/>
      <c r="AU67" s="54"/>
      <c r="AV67" s="54"/>
      <c r="AW67" s="54"/>
      <c r="AX67" s="54"/>
      <c r="AY67" s="54"/>
      <c r="AZ67" s="54"/>
      <c r="BA67" s="54"/>
      <c r="BB67" s="54"/>
      <c r="BC67" s="54" t="s">
        <v>2434</v>
      </c>
      <c r="BD67" s="54"/>
      <c r="BE67" s="54"/>
      <c r="BF67" s="54"/>
      <c r="BG67" s="54"/>
      <c r="BH67" s="0"/>
      <c r="BI67" s="0"/>
      <c r="BJ67" s="0"/>
      <c r="BK67" s="0"/>
      <c r="BL67" s="0"/>
      <c r="BM67" s="0"/>
      <c r="BN67"/>
      <c r="BO67"/>
      <c r="BP67"/>
      <c r="BQ67"/>
      <c r="BR67"/>
      <c r="BS67"/>
      <c r="BT67"/>
      <c r="BU67"/>
      <c r="BV67"/>
      <c r="BW67"/>
      <c r="BX67"/>
      <c r="BY67"/>
      <c r="BZ67"/>
    </row>
    <row r="68" ht="15.0" customHeight="true">
      <c r="A68" s="51" t="s">
        <v>2435</v>
      </c>
      <c r="B68" s="33"/>
      <c r="C68" s="33" t="s">
        <v>3097</v>
      </c>
      <c r="D68" s="33"/>
      <c r="E68" s="33" t="s">
        <v>2522</v>
      </c>
      <c r="F68" s="33"/>
      <c r="G68" s="55" t="s">
        <v>3098</v>
      </c>
      <c r="H68" s="33"/>
      <c r="I68" s="51" t="s">
        <v>3099</v>
      </c>
      <c r="J68" s="33"/>
      <c r="K68" s="51" t="s">
        <v>3100</v>
      </c>
      <c r="L68" s="33" t="s">
        <v>2441</v>
      </c>
      <c r="M68" s="55" t="s">
        <v>3101</v>
      </c>
      <c r="N68" s="55"/>
      <c r="O68" s="33"/>
      <c r="P68" s="33" t="s">
        <v>2251</v>
      </c>
      <c r="Q68" s="33"/>
      <c r="R68" s="33" t="s">
        <v>2263</v>
      </c>
      <c r="S68" s="56" t="s">
        <v>2277</v>
      </c>
      <c r="T68" s="56"/>
      <c r="U68" s="33" t="s">
        <v>3101</v>
      </c>
      <c r="V68" s="94" t="s">
        <v>2443</v>
      </c>
      <c r="W68" s="94" t="s">
        <v>2494</v>
      </c>
      <c r="X68" s="51"/>
      <c r="Y68" s="51"/>
      <c r="Z68" s="33" t="s">
        <v>2445</v>
      </c>
      <c r="AA68" s="33" t="s">
        <v>2495</v>
      </c>
      <c r="AB68" s="33"/>
      <c r="AC68" s="33" t="s">
        <v>2254</v>
      </c>
      <c r="AD68" s="33"/>
      <c r="AE68" s="33" t="s">
        <v>2267</v>
      </c>
      <c r="AF68" s="33" t="s">
        <v>2447</v>
      </c>
      <c r="AG68" s="33"/>
      <c r="AH68" s="33"/>
      <c r="AI68" s="33" t="s">
        <v>3102</v>
      </c>
      <c r="AJ68" s="94" t="s">
        <v>3103</v>
      </c>
      <c r="AK68" s="33" t="s">
        <v>3104</v>
      </c>
      <c r="AL68" s="33"/>
      <c r="AM68" s="33" t="s">
        <v>3105</v>
      </c>
      <c r="AN68" s="51" t="s">
        <v>3106</v>
      </c>
      <c r="AO68" s="51" t="s">
        <v>188</v>
      </c>
      <c r="AP68" s="33"/>
      <c r="AQ68" s="54"/>
      <c r="AR68" s="54"/>
      <c r="AS68" s="54"/>
      <c r="AT68" s="54"/>
      <c r="AU68" s="54"/>
      <c r="AV68" s="54"/>
      <c r="AW68" s="54"/>
      <c r="AX68" s="54"/>
      <c r="AY68" s="54"/>
      <c r="AZ68" s="54"/>
      <c r="BA68" s="54"/>
      <c r="BB68" s="54"/>
      <c r="BC68" s="54" t="s">
        <v>2586</v>
      </c>
      <c r="BD68" s="54"/>
      <c r="BE68" s="54"/>
      <c r="BF68" s="54"/>
      <c r="BG68" s="54"/>
      <c r="BH68" s="0"/>
      <c r="BI68" s="0"/>
      <c r="BJ68" s="0"/>
      <c r="BK68" s="0"/>
      <c r="BL68" s="0"/>
      <c r="BM68" s="0"/>
      <c r="BN68"/>
      <c r="BO68"/>
      <c r="BP68"/>
      <c r="BQ68"/>
      <c r="BR68"/>
      <c r="BS68"/>
      <c r="BT68"/>
      <c r="BU68"/>
      <c r="BV68"/>
      <c r="BW68"/>
      <c r="BX68"/>
      <c r="BY68"/>
      <c r="BZ68"/>
    </row>
    <row r="69" ht="15.0" customHeight="true">
      <c r="A69" s="51" t="s">
        <v>2435</v>
      </c>
      <c r="B69" s="33"/>
      <c r="C69" s="33" t="s">
        <v>3107</v>
      </c>
      <c r="D69" s="33"/>
      <c r="E69" s="33" t="s">
        <v>3108</v>
      </c>
      <c r="F69" s="33"/>
      <c r="G69" s="55" t="s">
        <v>3109</v>
      </c>
      <c r="H69" s="33"/>
      <c r="I69" s="51" t="s">
        <v>3110</v>
      </c>
      <c r="J69" s="33"/>
      <c r="K69" s="51" t="s">
        <v>3111</v>
      </c>
      <c r="L69" s="33" t="s">
        <v>2441</v>
      </c>
      <c r="M69" s="55" t="s">
        <v>3112</v>
      </c>
      <c r="N69" s="55"/>
      <c r="O69" s="33"/>
      <c r="P69" s="33" t="s">
        <v>2251</v>
      </c>
      <c r="Q69" s="33"/>
      <c r="R69" s="33" t="s">
        <v>2263</v>
      </c>
      <c r="S69" s="56" t="s">
        <v>2277</v>
      </c>
      <c r="T69" s="56"/>
      <c r="U69" s="33" t="s">
        <v>2592</v>
      </c>
      <c r="V69" s="94" t="s">
        <v>2443</v>
      </c>
      <c r="W69" s="94" t="s">
        <v>2444</v>
      </c>
      <c r="X69" s="51"/>
      <c r="Y69" s="51"/>
      <c r="Z69" s="33" t="s">
        <v>2445</v>
      </c>
      <c r="AA69" s="33" t="s">
        <v>2446</v>
      </c>
      <c r="AB69" s="33"/>
      <c r="AC69" s="33" t="s">
        <v>2254</v>
      </c>
      <c r="AD69" s="33"/>
      <c r="AE69" s="33" t="s">
        <v>2267</v>
      </c>
      <c r="AF69" s="33" t="s">
        <v>2447</v>
      </c>
      <c r="AG69" s="33"/>
      <c r="AH69" s="33" t="s">
        <v>3113</v>
      </c>
      <c r="AI69" s="33" t="s">
        <v>3113</v>
      </c>
      <c r="AJ69" s="94" t="s">
        <v>3114</v>
      </c>
      <c r="AK69" s="33" t="s">
        <v>3115</v>
      </c>
      <c r="AL69" s="33"/>
      <c r="AM69" s="33" t="s">
        <v>2509</v>
      </c>
      <c r="AN69" s="51" t="s">
        <v>2510</v>
      </c>
      <c r="AO69" s="51" t="s">
        <v>188</v>
      </c>
      <c r="AP69" s="33"/>
      <c r="AQ69" s="54"/>
      <c r="AR69" s="54"/>
      <c r="AS69" s="54"/>
      <c r="AT69" s="54"/>
      <c r="AU69" s="54"/>
      <c r="AV69" s="54"/>
      <c r="AW69" s="54"/>
      <c r="AX69" s="54"/>
      <c r="AY69" s="54"/>
      <c r="AZ69" s="54"/>
      <c r="BA69" s="54"/>
      <c r="BB69" s="54"/>
      <c r="BC69" s="54" t="s">
        <v>2434</v>
      </c>
      <c r="BD69" s="54"/>
      <c r="BE69" s="54"/>
      <c r="BF69" s="54"/>
      <c r="BG69" s="54"/>
      <c r="BH69" s="0"/>
      <c r="BI69" s="0"/>
      <c r="BJ69" s="0"/>
      <c r="BK69" s="0"/>
      <c r="BL69" s="0"/>
      <c r="BM69" s="0"/>
      <c r="BN69"/>
      <c r="BO69"/>
      <c r="BP69"/>
      <c r="BQ69"/>
      <c r="BR69"/>
      <c r="BS69"/>
      <c r="BT69"/>
      <c r="BU69"/>
      <c r="BV69"/>
      <c r="BW69"/>
      <c r="BX69"/>
      <c r="BY69"/>
      <c r="BZ69"/>
    </row>
    <row r="70" ht="15.0" customHeight="true">
      <c r="A70" s="51" t="s">
        <v>2435</v>
      </c>
      <c r="B70" s="33"/>
      <c r="C70" s="33" t="s">
        <v>3116</v>
      </c>
      <c r="D70" s="33"/>
      <c r="E70" s="33" t="s">
        <v>2437</v>
      </c>
      <c r="F70" s="33"/>
      <c r="G70" s="55" t="s">
        <v>3117</v>
      </c>
      <c r="H70" s="33"/>
      <c r="I70" s="51" t="s">
        <v>3118</v>
      </c>
      <c r="J70" s="33"/>
      <c r="K70" s="51" t="s">
        <v>3119</v>
      </c>
      <c r="L70" s="33" t="s">
        <v>2441</v>
      </c>
      <c r="M70" s="55" t="s">
        <v>3120</v>
      </c>
      <c r="N70" s="55"/>
      <c r="O70" s="33"/>
      <c r="P70" s="33" t="s">
        <v>2251</v>
      </c>
      <c r="Q70" s="33"/>
      <c r="R70" s="33" t="s">
        <v>2263</v>
      </c>
      <c r="S70" s="56" t="s">
        <v>2277</v>
      </c>
      <c r="T70" s="56"/>
      <c r="U70" s="33" t="s">
        <v>3120</v>
      </c>
      <c r="V70" s="94" t="s">
        <v>2443</v>
      </c>
      <c r="W70" s="94" t="s">
        <v>2604</v>
      </c>
      <c r="X70" s="51"/>
      <c r="Y70" s="51"/>
      <c r="Z70" s="33" t="s">
        <v>2445</v>
      </c>
      <c r="AA70" s="33" t="s">
        <v>2446</v>
      </c>
      <c r="AB70" s="33"/>
      <c r="AC70" s="33" t="s">
        <v>2254</v>
      </c>
      <c r="AD70" s="33"/>
      <c r="AE70" s="33" t="s">
        <v>2267</v>
      </c>
      <c r="AF70" s="33" t="s">
        <v>2447</v>
      </c>
      <c r="AG70" s="33"/>
      <c r="AH70" s="33"/>
      <c r="AI70" s="33" t="s">
        <v>3121</v>
      </c>
      <c r="AJ70" s="94"/>
      <c r="AK70" s="33" t="s">
        <v>3122</v>
      </c>
      <c r="AL70" s="33"/>
      <c r="AM70" s="33" t="s">
        <v>3123</v>
      </c>
      <c r="AN70" s="51" t="s">
        <v>3124</v>
      </c>
      <c r="AO70" s="51" t="s">
        <v>188</v>
      </c>
      <c r="AP70" s="33"/>
      <c r="AQ70" s="54"/>
      <c r="AR70" s="54"/>
      <c r="AS70" s="54"/>
      <c r="AT70" s="54"/>
      <c r="AU70" s="54"/>
      <c r="AV70" s="54"/>
      <c r="AW70" s="54"/>
      <c r="AX70" s="54"/>
      <c r="AY70" s="54"/>
      <c r="AZ70" s="54"/>
      <c r="BA70" s="54"/>
      <c r="BB70" s="54"/>
      <c r="BC70" s="54" t="s">
        <v>2434</v>
      </c>
      <c r="BD70" s="54"/>
      <c r="BE70" s="54"/>
      <c r="BF70" s="54"/>
      <c r="BG70" s="54"/>
      <c r="BH70" s="0"/>
      <c r="BI70" s="0"/>
      <c r="BJ70" s="0"/>
      <c r="BK70" s="0"/>
      <c r="BL70" s="0"/>
      <c r="BM70" s="0"/>
      <c r="BN70"/>
      <c r="BO70"/>
      <c r="BP70"/>
      <c r="BQ70"/>
      <c r="BR70"/>
      <c r="BS70"/>
      <c r="BT70"/>
      <c r="BU70"/>
      <c r="BV70"/>
      <c r="BW70"/>
      <c r="BX70"/>
      <c r="BY70"/>
      <c r="BZ70"/>
    </row>
    <row r="71" ht="15.0" customHeight="true">
      <c r="A71" s="51" t="s">
        <v>2435</v>
      </c>
      <c r="B71" s="33"/>
      <c r="C71" s="33" t="s">
        <v>3125</v>
      </c>
      <c r="D71" s="33"/>
      <c r="E71" s="33" t="s">
        <v>3126</v>
      </c>
      <c r="F71" s="33"/>
      <c r="G71" s="55" t="s">
        <v>3127</v>
      </c>
      <c r="H71" s="33"/>
      <c r="I71" s="51" t="s">
        <v>3128</v>
      </c>
      <c r="J71" s="33"/>
      <c r="K71" s="51" t="s">
        <v>3129</v>
      </c>
      <c r="L71" s="33" t="s">
        <v>2441</v>
      </c>
      <c r="M71" s="55" t="s">
        <v>3130</v>
      </c>
      <c r="N71" s="55"/>
      <c r="O71" s="33"/>
      <c r="P71" s="33" t="s">
        <v>2251</v>
      </c>
      <c r="Q71" s="33"/>
      <c r="R71" s="33" t="s">
        <v>2263</v>
      </c>
      <c r="S71" s="56" t="s">
        <v>2277</v>
      </c>
      <c r="T71" s="56"/>
      <c r="U71" s="33" t="s">
        <v>3130</v>
      </c>
      <c r="V71" s="94" t="s">
        <v>2443</v>
      </c>
      <c r="W71" s="94" t="s">
        <v>2481</v>
      </c>
      <c r="X71" s="51"/>
      <c r="Y71" s="51"/>
      <c r="Z71" s="33" t="s">
        <v>2445</v>
      </c>
      <c r="AA71" s="33" t="s">
        <v>2482</v>
      </c>
      <c r="AB71" s="33"/>
      <c r="AC71" s="33" t="s">
        <v>2254</v>
      </c>
      <c r="AD71" s="33"/>
      <c r="AE71" s="33" t="s">
        <v>2267</v>
      </c>
      <c r="AF71" s="33" t="s">
        <v>2447</v>
      </c>
      <c r="AG71" s="33"/>
      <c r="AH71" s="33"/>
      <c r="AI71" s="33" t="s">
        <v>3131</v>
      </c>
      <c r="AJ71" s="94" t="s">
        <v>3132</v>
      </c>
      <c r="AK71" s="33" t="s">
        <v>3133</v>
      </c>
      <c r="AL71" s="33"/>
      <c r="AM71" s="33" t="s">
        <v>2451</v>
      </c>
      <c r="AN71" s="51" t="s">
        <v>3134</v>
      </c>
      <c r="AO71" s="51" t="s">
        <v>188</v>
      </c>
      <c r="AP71" s="33"/>
      <c r="AQ71" s="54"/>
      <c r="AR71" s="54"/>
      <c r="AS71" s="54"/>
      <c r="AT71" s="54"/>
      <c r="AU71" s="54"/>
      <c r="AV71" s="54"/>
      <c r="AW71" s="54"/>
      <c r="AX71" s="54"/>
      <c r="AY71" s="54"/>
      <c r="AZ71" s="54"/>
      <c r="BA71" s="54"/>
      <c r="BB71" s="54"/>
      <c r="BC71" s="54" t="s">
        <v>2434</v>
      </c>
      <c r="BD71" s="54"/>
      <c r="BE71" s="54"/>
      <c r="BF71" s="54"/>
      <c r="BG71" s="54"/>
      <c r="BH71" s="0"/>
      <c r="BI71" s="0"/>
      <c r="BJ71" s="0"/>
      <c r="BK71" s="0"/>
      <c r="BL71" s="0"/>
      <c r="BM71" s="0"/>
      <c r="BN71"/>
      <c r="BO71"/>
      <c r="BP71"/>
      <c r="BQ71"/>
      <c r="BR71"/>
      <c r="BS71"/>
      <c r="BT71"/>
      <c r="BU71"/>
      <c r="BV71"/>
      <c r="BW71"/>
      <c r="BX71"/>
      <c r="BY71"/>
      <c r="BZ71"/>
    </row>
    <row r="72" ht="15.0" customHeight="true">
      <c r="A72" s="51" t="s">
        <v>2435</v>
      </c>
      <c r="B72" s="33"/>
      <c r="C72" s="33" t="s">
        <v>3135</v>
      </c>
      <c r="D72" s="33"/>
      <c r="E72" s="33" t="s">
        <v>3136</v>
      </c>
      <c r="F72" s="33"/>
      <c r="G72" s="55" t="s">
        <v>3137</v>
      </c>
      <c r="H72" s="33"/>
      <c r="I72" s="51" t="s">
        <v>3138</v>
      </c>
      <c r="J72" s="33"/>
      <c r="K72" s="51" t="s">
        <v>3139</v>
      </c>
      <c r="L72" s="33" t="s">
        <v>2441</v>
      </c>
      <c r="M72" s="55" t="s">
        <v>3140</v>
      </c>
      <c r="N72" s="55"/>
      <c r="O72" s="33"/>
      <c r="P72" s="33" t="s">
        <v>2251</v>
      </c>
      <c r="Q72" s="33"/>
      <c r="R72" s="33" t="s">
        <v>2263</v>
      </c>
      <c r="S72" s="56" t="s">
        <v>2277</v>
      </c>
      <c r="T72" s="56"/>
      <c r="U72" s="33" t="s">
        <v>3140</v>
      </c>
      <c r="V72" s="94" t="s">
        <v>2443</v>
      </c>
      <c r="W72" s="94" t="s">
        <v>2444</v>
      </c>
      <c r="X72" s="51"/>
      <c r="Y72" s="51"/>
      <c r="Z72" s="33" t="s">
        <v>2445</v>
      </c>
      <c r="AA72" s="33" t="s">
        <v>2446</v>
      </c>
      <c r="AB72" s="33"/>
      <c r="AC72" s="33" t="s">
        <v>2254</v>
      </c>
      <c r="AD72" s="33"/>
      <c r="AE72" s="33" t="s">
        <v>2267</v>
      </c>
      <c r="AF72" s="33" t="s">
        <v>2447</v>
      </c>
      <c r="AG72" s="33"/>
      <c r="AH72" s="33"/>
      <c r="AI72" s="33" t="s">
        <v>3141</v>
      </c>
      <c r="AJ72" s="94" t="s">
        <v>3142</v>
      </c>
      <c r="AK72" s="33" t="s">
        <v>3143</v>
      </c>
      <c r="AL72" s="33"/>
      <c r="AM72" s="33" t="s">
        <v>3144</v>
      </c>
      <c r="AN72" s="51" t="s">
        <v>3145</v>
      </c>
      <c r="AO72" s="51" t="s">
        <v>188</v>
      </c>
      <c r="AP72" s="33"/>
      <c r="AQ72" s="54"/>
      <c r="AR72" s="54"/>
      <c r="AS72" s="54"/>
      <c r="AT72" s="54"/>
      <c r="AU72" s="54"/>
      <c r="AV72" s="54"/>
      <c r="AW72" s="54"/>
      <c r="AX72" s="54"/>
      <c r="AY72" s="54"/>
      <c r="AZ72" s="54"/>
      <c r="BA72" s="54"/>
      <c r="BB72" s="54"/>
      <c r="BC72" s="54" t="s">
        <v>2434</v>
      </c>
      <c r="BD72" s="54"/>
      <c r="BE72" s="54"/>
      <c r="BF72" s="54"/>
      <c r="BG72" s="54"/>
      <c r="BH72" s="0"/>
      <c r="BI72" s="0"/>
      <c r="BJ72" s="0"/>
      <c r="BK72" s="0"/>
      <c r="BL72" s="0"/>
      <c r="BM72" s="0"/>
      <c r="BN72"/>
      <c r="BO72"/>
      <c r="BP72"/>
      <c r="BQ72"/>
      <c r="BR72"/>
      <c r="BS72"/>
      <c r="BT72"/>
      <c r="BU72"/>
      <c r="BV72"/>
      <c r="BW72"/>
      <c r="BX72"/>
      <c r="BY72"/>
      <c r="BZ72"/>
    </row>
    <row r="73" ht="15.0" customHeight="true">
      <c r="A73" s="51" t="s">
        <v>2435</v>
      </c>
      <c r="B73" s="33"/>
      <c r="C73" s="33" t="s">
        <v>3146</v>
      </c>
      <c r="D73" s="33"/>
      <c r="E73" s="33" t="s">
        <v>3147</v>
      </c>
      <c r="F73" s="33"/>
      <c r="G73" s="55" t="s">
        <v>3148</v>
      </c>
      <c r="H73" s="33"/>
      <c r="I73" s="51" t="s">
        <v>3149</v>
      </c>
      <c r="J73" s="33"/>
      <c r="K73" s="51" t="s">
        <v>3150</v>
      </c>
      <c r="L73" s="33" t="s">
        <v>2441</v>
      </c>
      <c r="M73" s="55" t="s">
        <v>3151</v>
      </c>
      <c r="N73" s="55"/>
      <c r="O73" s="33"/>
      <c r="P73" s="33" t="s">
        <v>2262</v>
      </c>
      <c r="Q73" s="33"/>
      <c r="R73" s="33" t="s">
        <v>2263</v>
      </c>
      <c r="S73" s="56" t="s">
        <v>2277</v>
      </c>
      <c r="T73" s="56"/>
      <c r="U73" s="33" t="s">
        <v>2592</v>
      </c>
      <c r="V73" s="94" t="s">
        <v>2443</v>
      </c>
      <c r="W73" s="94" t="s">
        <v>2444</v>
      </c>
      <c r="X73" s="51"/>
      <c r="Y73" s="51"/>
      <c r="Z73" s="33" t="s">
        <v>2445</v>
      </c>
      <c r="AA73" s="33" t="s">
        <v>2593</v>
      </c>
      <c r="AB73" s="33"/>
      <c r="AC73" s="33" t="s">
        <v>2254</v>
      </c>
      <c r="AD73" s="33"/>
      <c r="AE73" s="33" t="s">
        <v>2267</v>
      </c>
      <c r="AF73" s="33" t="s">
        <v>2447</v>
      </c>
      <c r="AG73" s="33"/>
      <c r="AH73" s="33"/>
      <c r="AI73" s="33" t="s">
        <v>3152</v>
      </c>
      <c r="AJ73" s="94" t="s">
        <v>3153</v>
      </c>
      <c r="AK73" s="33" t="s">
        <v>2763</v>
      </c>
      <c r="AL73" s="33"/>
      <c r="AM73" s="33" t="s">
        <v>2944</v>
      </c>
      <c r="AN73" s="51" t="s">
        <v>2765</v>
      </c>
      <c r="AO73" s="51" t="s">
        <v>188</v>
      </c>
      <c r="AP73" s="33"/>
      <c r="AQ73" s="54"/>
      <c r="AR73" s="54"/>
      <c r="AS73" s="54"/>
      <c r="AT73" s="54"/>
      <c r="AU73" s="54"/>
      <c r="AV73" s="54"/>
      <c r="AW73" s="54"/>
      <c r="AX73" s="54"/>
      <c r="AY73" s="54"/>
      <c r="AZ73" s="54"/>
      <c r="BA73" s="54"/>
      <c r="BB73" s="54"/>
      <c r="BC73" s="54" t="s">
        <v>2586</v>
      </c>
      <c r="BD73" s="54"/>
      <c r="BE73" s="54"/>
      <c r="BF73" s="54"/>
      <c r="BG73" s="54"/>
      <c r="BH73" s="0"/>
      <c r="BI73" s="0"/>
      <c r="BJ73" s="0"/>
      <c r="BK73" s="0"/>
      <c r="BL73" s="0"/>
      <c r="BM73" s="0"/>
      <c r="BN73"/>
      <c r="BO73"/>
      <c r="BP73"/>
      <c r="BQ73"/>
      <c r="BR73"/>
      <c r="BS73"/>
      <c r="BT73"/>
      <c r="BU73"/>
      <c r="BV73"/>
      <c r="BW73"/>
      <c r="BX73"/>
      <c r="BY73"/>
      <c r="BZ73"/>
    </row>
    <row r="74" ht="15.0" customHeight="true">
      <c r="A74" s="51" t="s">
        <v>2435</v>
      </c>
      <c r="B74" s="33"/>
      <c r="C74" s="33" t="s">
        <v>3154</v>
      </c>
      <c r="D74" s="33"/>
      <c r="E74" s="33" t="s">
        <v>3155</v>
      </c>
      <c r="F74" s="33"/>
      <c r="G74" s="55" t="s">
        <v>3156</v>
      </c>
      <c r="H74" s="33" t="s">
        <v>2258</v>
      </c>
      <c r="I74" s="51" t="s">
        <v>3157</v>
      </c>
      <c r="J74" s="33"/>
      <c r="K74" s="51" t="s">
        <v>3158</v>
      </c>
      <c r="L74" s="33" t="s">
        <v>2458</v>
      </c>
      <c r="M74" s="55" t="s">
        <v>3159</v>
      </c>
      <c r="N74" s="55" t="s">
        <v>3160</v>
      </c>
      <c r="O74" s="33" t="s">
        <v>2276</v>
      </c>
      <c r="P74" s="33" t="s">
        <v>2262</v>
      </c>
      <c r="Q74" s="33"/>
      <c r="R74" s="33" t="s">
        <v>2263</v>
      </c>
      <c r="S74" s="56" t="s">
        <v>2277</v>
      </c>
      <c r="T74" s="56"/>
      <c r="U74" s="33" t="s">
        <v>3159</v>
      </c>
      <c r="V74" s="94" t="s">
        <v>2443</v>
      </c>
      <c r="W74" s="94" t="s">
        <v>2444</v>
      </c>
      <c r="X74" s="51"/>
      <c r="Y74" s="51"/>
      <c r="Z74" s="33" t="s">
        <v>2445</v>
      </c>
      <c r="AA74" s="33" t="s">
        <v>2446</v>
      </c>
      <c r="AB74" s="33"/>
      <c r="AC74" s="33" t="s">
        <v>2254</v>
      </c>
      <c r="AD74" s="33"/>
      <c r="AE74" s="33" t="s">
        <v>2267</v>
      </c>
      <c r="AF74" s="33" t="s">
        <v>2447</v>
      </c>
      <c r="AG74" s="33"/>
      <c r="AH74" s="33"/>
      <c r="AI74" s="33" t="s">
        <v>3161</v>
      </c>
      <c r="AJ74" s="94" t="s">
        <v>3162</v>
      </c>
      <c r="AK74" s="33" t="s">
        <v>3163</v>
      </c>
      <c r="AL74" s="33" t="s">
        <v>3164</v>
      </c>
      <c r="AM74" s="33" t="s">
        <v>2451</v>
      </c>
      <c r="AN74" s="51" t="s">
        <v>3165</v>
      </c>
      <c r="AO74" s="51" t="s">
        <v>188</v>
      </c>
      <c r="AP74" s="33"/>
      <c r="AQ74" s="54"/>
      <c r="AR74" s="54"/>
      <c r="AS74" s="54"/>
      <c r="AT74" s="54"/>
      <c r="AU74" s="54"/>
      <c r="AV74" s="54"/>
      <c r="AW74" s="54"/>
      <c r="AX74" s="54"/>
      <c r="AY74" s="54"/>
      <c r="AZ74" s="54"/>
      <c r="BA74" s="54"/>
      <c r="BB74" s="54"/>
      <c r="BC74" s="54"/>
      <c r="BD74" s="54"/>
      <c r="BE74" s="54"/>
      <c r="BF74" s="54"/>
      <c r="BG74" s="54"/>
      <c r="BH74" s="0"/>
      <c r="BI74" s="0"/>
      <c r="BJ74" s="0"/>
      <c r="BK74" s="0"/>
      <c r="BL74" s="0"/>
      <c r="BM74" s="0"/>
      <c r="BN74"/>
      <c r="BO74"/>
      <c r="BP74"/>
      <c r="BQ74"/>
      <c r="BR74"/>
      <c r="BS74"/>
      <c r="BT74"/>
      <c r="BU74"/>
      <c r="BV74"/>
      <c r="BW74"/>
      <c r="BX74"/>
      <c r="BY74"/>
      <c r="BZ74"/>
    </row>
    <row r="75" ht="15.0" customHeight="true">
      <c r="A75" s="51" t="s">
        <v>2435</v>
      </c>
      <c r="B75" s="33"/>
      <c r="C75" s="33" t="s">
        <v>3166</v>
      </c>
      <c r="D75" s="33"/>
      <c r="E75" s="33" t="s">
        <v>3167</v>
      </c>
      <c r="F75" s="33"/>
      <c r="G75" s="55" t="s">
        <v>3168</v>
      </c>
      <c r="H75" s="33"/>
      <c r="I75" s="51" t="s">
        <v>3169</v>
      </c>
      <c r="J75" s="33"/>
      <c r="K75" s="51" t="s">
        <v>3170</v>
      </c>
      <c r="L75" s="33" t="s">
        <v>2441</v>
      </c>
      <c r="M75" s="55" t="s">
        <v>3171</v>
      </c>
      <c r="N75" s="55"/>
      <c r="O75" s="33"/>
      <c r="P75" s="33" t="s">
        <v>2251</v>
      </c>
      <c r="Q75" s="33"/>
      <c r="R75" s="33" t="s">
        <v>2263</v>
      </c>
      <c r="S75" s="56" t="s">
        <v>2277</v>
      </c>
      <c r="T75" s="56"/>
      <c r="U75" s="33" t="s">
        <v>3171</v>
      </c>
      <c r="V75" s="94" t="s">
        <v>2443</v>
      </c>
      <c r="W75" s="94" t="s">
        <v>2662</v>
      </c>
      <c r="X75" s="51"/>
      <c r="Y75" s="51"/>
      <c r="Z75" s="33" t="s">
        <v>2445</v>
      </c>
      <c r="AA75" s="33" t="s">
        <v>2446</v>
      </c>
      <c r="AB75" s="33"/>
      <c r="AC75" s="33" t="s">
        <v>2254</v>
      </c>
      <c r="AD75" s="33"/>
      <c r="AE75" s="33" t="s">
        <v>2267</v>
      </c>
      <c r="AF75" s="33" t="s">
        <v>2447</v>
      </c>
      <c r="AG75" s="33"/>
      <c r="AH75" s="33"/>
      <c r="AI75" s="33" t="s">
        <v>3172</v>
      </c>
      <c r="AJ75" s="94" t="s">
        <v>3173</v>
      </c>
      <c r="AK75" s="33" t="s">
        <v>3174</v>
      </c>
      <c r="AL75" s="33"/>
      <c r="AM75" s="33" t="s">
        <v>2451</v>
      </c>
      <c r="AN75" s="51" t="s">
        <v>3175</v>
      </c>
      <c r="AO75" s="51" t="s">
        <v>188</v>
      </c>
      <c r="AP75" s="33"/>
      <c r="AQ75" s="54"/>
      <c r="AR75" s="54"/>
      <c r="AS75" s="54"/>
      <c r="AT75" s="54"/>
      <c r="AU75" s="54"/>
      <c r="AV75" s="54"/>
      <c r="AW75" s="54"/>
      <c r="AX75" s="54"/>
      <c r="AY75" s="54"/>
      <c r="AZ75" s="54"/>
      <c r="BA75" s="54"/>
      <c r="BB75" s="54"/>
      <c r="BC75" s="54" t="s">
        <v>2434</v>
      </c>
      <c r="BD75" s="54"/>
      <c r="BE75" s="54"/>
      <c r="BF75" s="54"/>
      <c r="BG75" s="54"/>
      <c r="BH75" s="0"/>
      <c r="BI75" s="0"/>
      <c r="BJ75" s="0"/>
      <c r="BK75" s="0"/>
      <c r="BL75" s="0"/>
      <c r="BM75" s="0"/>
      <c r="BN75"/>
      <c r="BO75"/>
      <c r="BP75"/>
      <c r="BQ75"/>
      <c r="BR75"/>
      <c r="BS75"/>
      <c r="BT75"/>
      <c r="BU75"/>
      <c r="BV75"/>
      <c r="BW75"/>
      <c r="BX75"/>
      <c r="BY75"/>
      <c r="BZ75"/>
    </row>
    <row r="76" ht="15.0" customHeight="true">
      <c r="A76" s="51" t="s">
        <v>2435</v>
      </c>
      <c r="B76" s="33"/>
      <c r="C76" s="33" t="s">
        <v>3176</v>
      </c>
      <c r="D76" s="33"/>
      <c r="E76" s="33" t="s">
        <v>3177</v>
      </c>
      <c r="F76" s="33"/>
      <c r="G76" s="55" t="s">
        <v>3178</v>
      </c>
      <c r="H76" s="33"/>
      <c r="I76" s="51" t="s">
        <v>3179</v>
      </c>
      <c r="J76" s="33"/>
      <c r="K76" s="51" t="s">
        <v>3180</v>
      </c>
      <c r="L76" s="33" t="s">
        <v>2441</v>
      </c>
      <c r="M76" s="55" t="s">
        <v>3181</v>
      </c>
      <c r="N76" s="55"/>
      <c r="O76" s="33"/>
      <c r="P76" s="33" t="s">
        <v>2251</v>
      </c>
      <c r="Q76" s="33"/>
      <c r="R76" s="33" t="s">
        <v>2263</v>
      </c>
      <c r="S76" s="56" t="s">
        <v>2277</v>
      </c>
      <c r="T76" s="56"/>
      <c r="U76" s="33" t="s">
        <v>3159</v>
      </c>
      <c r="V76" s="94" t="s">
        <v>2443</v>
      </c>
      <c r="W76" s="94" t="s">
        <v>2444</v>
      </c>
      <c r="X76" s="51"/>
      <c r="Y76" s="51"/>
      <c r="Z76" s="33" t="s">
        <v>2445</v>
      </c>
      <c r="AA76" s="33" t="s">
        <v>2446</v>
      </c>
      <c r="AB76" s="33"/>
      <c r="AC76" s="33" t="s">
        <v>2254</v>
      </c>
      <c r="AD76" s="33"/>
      <c r="AE76" s="33" t="s">
        <v>2267</v>
      </c>
      <c r="AF76" s="33" t="s">
        <v>2447</v>
      </c>
      <c r="AG76" s="33"/>
      <c r="AH76" s="33"/>
      <c r="AI76" s="33" t="s">
        <v>3182</v>
      </c>
      <c r="AJ76" s="94" t="s">
        <v>3183</v>
      </c>
      <c r="AK76" s="33" t="s">
        <v>3184</v>
      </c>
      <c r="AL76" s="33"/>
      <c r="AM76" s="33" t="s">
        <v>2451</v>
      </c>
      <c r="AN76" s="51" t="s">
        <v>3185</v>
      </c>
      <c r="AO76" s="51" t="s">
        <v>188</v>
      </c>
      <c r="AP76" s="33"/>
      <c r="AQ76" s="54"/>
      <c r="AR76" s="54"/>
      <c r="AS76" s="54"/>
      <c r="AT76" s="54"/>
      <c r="AU76" s="54"/>
      <c r="AV76" s="54"/>
      <c r="AW76" s="54"/>
      <c r="AX76" s="54"/>
      <c r="AY76" s="54"/>
      <c r="AZ76" s="54"/>
      <c r="BA76" s="54"/>
      <c r="BB76" s="54"/>
      <c r="BC76" s="54" t="s">
        <v>2434</v>
      </c>
      <c r="BD76" s="54"/>
      <c r="BE76" s="54"/>
      <c r="BF76" s="54"/>
      <c r="BG76" s="54"/>
      <c r="BH76" s="0"/>
      <c r="BI76" s="0"/>
      <c r="BJ76" s="0"/>
      <c r="BK76" s="0"/>
      <c r="BL76" s="0"/>
      <c r="BM76" s="0"/>
      <c r="BN76"/>
      <c r="BO76"/>
      <c r="BP76"/>
      <c r="BQ76"/>
      <c r="BR76"/>
      <c r="BS76"/>
      <c r="BT76"/>
      <c r="BU76"/>
      <c r="BV76"/>
      <c r="BW76"/>
      <c r="BX76"/>
      <c r="BY76"/>
      <c r="BZ76"/>
    </row>
    <row r="77" ht="15.0" customHeight="true">
      <c r="A77" s="51" t="s">
        <v>2435</v>
      </c>
      <c r="B77" s="33"/>
      <c r="C77" s="33" t="s">
        <v>3186</v>
      </c>
      <c r="D77" s="33"/>
      <c r="E77" s="33" t="s">
        <v>3187</v>
      </c>
      <c r="F77" s="33"/>
      <c r="G77" s="55" t="s">
        <v>3188</v>
      </c>
      <c r="H77" s="33"/>
      <c r="I77" s="51" t="s">
        <v>3189</v>
      </c>
      <c r="J77" s="33"/>
      <c r="K77" s="51" t="s">
        <v>3190</v>
      </c>
      <c r="L77" s="33" t="s">
        <v>2441</v>
      </c>
      <c r="M77" s="55" t="s">
        <v>3191</v>
      </c>
      <c r="N77" s="55"/>
      <c r="O77" s="33"/>
      <c r="P77" s="33" t="s">
        <v>2251</v>
      </c>
      <c r="Q77" s="33"/>
      <c r="R77" s="33" t="s">
        <v>2263</v>
      </c>
      <c r="S77" s="56" t="s">
        <v>2277</v>
      </c>
      <c r="T77" s="56"/>
      <c r="U77" s="33" t="s">
        <v>2592</v>
      </c>
      <c r="V77" s="94" t="s">
        <v>2443</v>
      </c>
      <c r="W77" s="94" t="s">
        <v>3192</v>
      </c>
      <c r="X77" s="51"/>
      <c r="Y77" s="51"/>
      <c r="Z77" s="33" t="s">
        <v>2445</v>
      </c>
      <c r="AA77" s="33" t="s">
        <v>3193</v>
      </c>
      <c r="AB77" s="33"/>
      <c r="AC77" s="33" t="s">
        <v>2254</v>
      </c>
      <c r="AD77" s="33"/>
      <c r="AE77" s="33" t="s">
        <v>2267</v>
      </c>
      <c r="AF77" s="33" t="s">
        <v>2447</v>
      </c>
      <c r="AG77" s="33"/>
      <c r="AH77" s="33"/>
      <c r="AI77" s="33" t="s">
        <v>3194</v>
      </c>
      <c r="AJ77" s="94" t="s">
        <v>3195</v>
      </c>
      <c r="AK77" s="33" t="s">
        <v>3196</v>
      </c>
      <c r="AL77" s="33"/>
      <c r="AM77" s="33" t="s">
        <v>3197</v>
      </c>
      <c r="AN77" s="51" t="s">
        <v>2487</v>
      </c>
      <c r="AO77" s="51" t="s">
        <v>188</v>
      </c>
      <c r="AP77" s="33"/>
      <c r="AQ77" s="54"/>
      <c r="AR77" s="54"/>
      <c r="AS77" s="54"/>
      <c r="AT77" s="54"/>
      <c r="AU77" s="54"/>
      <c r="AV77" s="54"/>
      <c r="AW77" s="54"/>
      <c r="AX77" s="54"/>
      <c r="AY77" s="54"/>
      <c r="AZ77" s="54"/>
      <c r="BA77" s="54"/>
      <c r="BB77" s="54"/>
      <c r="BC77" s="54" t="s">
        <v>2586</v>
      </c>
      <c r="BD77" s="54"/>
      <c r="BE77" s="54"/>
      <c r="BF77" s="54"/>
      <c r="BG77" s="54"/>
      <c r="BH77" s="0"/>
      <c r="BI77" s="0"/>
      <c r="BJ77" s="0"/>
      <c r="BK77" s="0"/>
      <c r="BL77" s="0"/>
      <c r="BM77" s="0"/>
      <c r="BN77"/>
      <c r="BO77"/>
      <c r="BP77"/>
      <c r="BQ77"/>
      <c r="BR77"/>
      <c r="BS77"/>
      <c r="BT77"/>
      <c r="BU77"/>
      <c r="BV77"/>
      <c r="BW77"/>
      <c r="BX77"/>
      <c r="BY77"/>
      <c r="BZ77"/>
    </row>
    <row r="78" ht="15.0" customHeight="true">
      <c r="A78" s="51" t="s">
        <v>2435</v>
      </c>
      <c r="B78" s="33"/>
      <c r="C78" s="33" t="s">
        <v>3086</v>
      </c>
      <c r="D78" s="33"/>
      <c r="E78" s="33" t="s">
        <v>3198</v>
      </c>
      <c r="F78" s="33"/>
      <c r="G78" s="55" t="s">
        <v>3199</v>
      </c>
      <c r="H78" s="33"/>
      <c r="I78" s="51" t="s">
        <v>3200</v>
      </c>
      <c r="J78" s="33"/>
      <c r="K78" s="51" t="s">
        <v>3201</v>
      </c>
      <c r="L78" s="33" t="s">
        <v>2441</v>
      </c>
      <c r="M78" s="55" t="s">
        <v>2873</v>
      </c>
      <c r="N78" s="55"/>
      <c r="O78" s="33"/>
      <c r="P78" s="33" t="s">
        <v>2251</v>
      </c>
      <c r="Q78" s="33"/>
      <c r="R78" s="33" t="s">
        <v>2263</v>
      </c>
      <c r="S78" s="56" t="s">
        <v>2277</v>
      </c>
      <c r="T78" s="56"/>
      <c r="U78" s="33" t="s">
        <v>2873</v>
      </c>
      <c r="V78" s="94" t="s">
        <v>2443</v>
      </c>
      <c r="W78" s="94" t="s">
        <v>2444</v>
      </c>
      <c r="X78" s="51"/>
      <c r="Y78" s="51"/>
      <c r="Z78" s="33" t="s">
        <v>2445</v>
      </c>
      <c r="AA78" s="33" t="s">
        <v>2446</v>
      </c>
      <c r="AB78" s="33"/>
      <c r="AC78" s="33" t="s">
        <v>2254</v>
      </c>
      <c r="AD78" s="33"/>
      <c r="AE78" s="33" t="s">
        <v>2267</v>
      </c>
      <c r="AF78" s="33" t="s">
        <v>2447</v>
      </c>
      <c r="AG78" s="33"/>
      <c r="AH78" s="33"/>
      <c r="AI78" s="33" t="s">
        <v>3202</v>
      </c>
      <c r="AJ78" s="94" t="s">
        <v>3203</v>
      </c>
      <c r="AK78" s="33" t="s">
        <v>2784</v>
      </c>
      <c r="AL78" s="33"/>
      <c r="AM78" s="33" t="s">
        <v>2785</v>
      </c>
      <c r="AN78" s="51" t="s">
        <v>2786</v>
      </c>
      <c r="AO78" s="51" t="s">
        <v>188</v>
      </c>
      <c r="AP78" s="33"/>
      <c r="AQ78" s="54"/>
      <c r="AR78" s="54"/>
      <c r="AS78" s="54"/>
      <c r="AT78" s="54"/>
      <c r="AU78" s="54"/>
      <c r="AV78" s="54"/>
      <c r="AW78" s="54"/>
      <c r="AX78" s="54"/>
      <c r="AY78" s="54"/>
      <c r="AZ78" s="54"/>
      <c r="BA78" s="54"/>
      <c r="BB78" s="54"/>
      <c r="BC78" s="54" t="s">
        <v>2434</v>
      </c>
      <c r="BD78" s="54"/>
      <c r="BE78" s="54"/>
      <c r="BF78" s="54"/>
      <c r="BG78" s="54"/>
      <c r="BH78" s="0"/>
      <c r="BI78" s="0"/>
      <c r="BJ78" s="0"/>
      <c r="BK78" s="0"/>
      <c r="BL78" s="0"/>
      <c r="BM78" s="0"/>
      <c r="BN78"/>
      <c r="BO78"/>
      <c r="BP78"/>
      <c r="BQ78"/>
      <c r="BR78"/>
      <c r="BS78"/>
      <c r="BT78"/>
      <c r="BU78"/>
      <c r="BV78"/>
      <c r="BW78"/>
      <c r="BX78"/>
      <c r="BY78"/>
      <c r="BZ78"/>
    </row>
    <row r="79" ht="15.0" customHeight="true">
      <c r="A79" s="51" t="s">
        <v>2435</v>
      </c>
      <c r="B79" s="33"/>
      <c r="C79" s="33" t="s">
        <v>3204</v>
      </c>
      <c r="D79" s="33"/>
      <c r="E79" s="33" t="s">
        <v>3205</v>
      </c>
      <c r="F79" s="33"/>
      <c r="G79" s="55" t="s">
        <v>3206</v>
      </c>
      <c r="H79" s="33"/>
      <c r="I79" s="51" t="s">
        <v>3207</v>
      </c>
      <c r="J79" s="33"/>
      <c r="K79" s="51" t="s">
        <v>3208</v>
      </c>
      <c r="L79" s="33" t="s">
        <v>2441</v>
      </c>
      <c r="M79" s="55" t="s">
        <v>3209</v>
      </c>
      <c r="N79" s="55"/>
      <c r="O79" s="33"/>
      <c r="P79" s="33" t="s">
        <v>2251</v>
      </c>
      <c r="Q79" s="33"/>
      <c r="R79" s="33" t="s">
        <v>2263</v>
      </c>
      <c r="S79" s="56" t="s">
        <v>2277</v>
      </c>
      <c r="T79" s="56"/>
      <c r="U79" s="33" t="s">
        <v>3209</v>
      </c>
      <c r="V79" s="94" t="s">
        <v>2443</v>
      </c>
      <c r="W79" s="94" t="s">
        <v>2662</v>
      </c>
      <c r="X79" s="51"/>
      <c r="Y79" s="51"/>
      <c r="Z79" s="33" t="s">
        <v>2445</v>
      </c>
      <c r="AA79" s="33" t="s">
        <v>2446</v>
      </c>
      <c r="AB79" s="33"/>
      <c r="AC79" s="33" t="s">
        <v>2254</v>
      </c>
      <c r="AD79" s="33"/>
      <c r="AE79" s="33" t="s">
        <v>2267</v>
      </c>
      <c r="AF79" s="33" t="s">
        <v>2447</v>
      </c>
      <c r="AG79" s="33"/>
      <c r="AH79" s="33"/>
      <c r="AI79" s="33" t="s">
        <v>3210</v>
      </c>
      <c r="AJ79" s="94" t="s">
        <v>3211</v>
      </c>
      <c r="AK79" s="33" t="s">
        <v>3212</v>
      </c>
      <c r="AL79" s="33"/>
      <c r="AM79" s="33" t="s">
        <v>2720</v>
      </c>
      <c r="AN79" s="51" t="s">
        <v>2721</v>
      </c>
      <c r="AO79" s="51" t="s">
        <v>188</v>
      </c>
      <c r="AP79" s="33"/>
      <c r="AQ79" s="54"/>
      <c r="AR79" s="54"/>
      <c r="AS79" s="54"/>
      <c r="AT79" s="54"/>
      <c r="AU79" s="54"/>
      <c r="AV79" s="54"/>
      <c r="AW79" s="54"/>
      <c r="AX79" s="54"/>
      <c r="AY79" s="54"/>
      <c r="AZ79" s="54"/>
      <c r="BA79" s="54"/>
      <c r="BB79" s="54"/>
      <c r="BC79" s="54" t="s">
        <v>2434</v>
      </c>
      <c r="BD79" s="54"/>
      <c r="BE79" s="54"/>
      <c r="BF79" s="54"/>
      <c r="BG79" s="54"/>
      <c r="BH79" s="0"/>
      <c r="BI79" s="0"/>
      <c r="BJ79" s="0"/>
      <c r="BK79" s="0"/>
      <c r="BL79" s="0"/>
      <c r="BM79" s="0"/>
      <c r="BN79"/>
      <c r="BO79"/>
      <c r="BP79"/>
      <c r="BQ79"/>
      <c r="BR79"/>
      <c r="BS79"/>
      <c r="BT79"/>
      <c r="BU79"/>
      <c r="BV79"/>
      <c r="BW79"/>
      <c r="BX79"/>
      <c r="BY79"/>
      <c r="BZ79"/>
    </row>
    <row r="80" ht="15.0" customHeight="true">
      <c r="A80" s="51" t="s">
        <v>2435</v>
      </c>
      <c r="B80" s="33"/>
      <c r="C80" s="33" t="s">
        <v>2710</v>
      </c>
      <c r="D80" s="33"/>
      <c r="E80" s="33" t="s">
        <v>3213</v>
      </c>
      <c r="F80" s="33"/>
      <c r="G80" s="55" t="s">
        <v>3214</v>
      </c>
      <c r="H80" s="33"/>
      <c r="I80" s="51" t="s">
        <v>3215</v>
      </c>
      <c r="J80" s="33"/>
      <c r="K80" s="51" t="s">
        <v>3216</v>
      </c>
      <c r="L80" s="33" t="s">
        <v>2441</v>
      </c>
      <c r="M80" s="55" t="s">
        <v>3217</v>
      </c>
      <c r="N80" s="55"/>
      <c r="O80" s="33"/>
      <c r="P80" s="33" t="s">
        <v>2251</v>
      </c>
      <c r="Q80" s="33"/>
      <c r="R80" s="33" t="s">
        <v>2263</v>
      </c>
      <c r="S80" s="56" t="s">
        <v>2277</v>
      </c>
      <c r="T80" s="56"/>
      <c r="U80" s="33" t="s">
        <v>2592</v>
      </c>
      <c r="V80" s="94" t="s">
        <v>2443</v>
      </c>
      <c r="W80" s="94" t="s">
        <v>3218</v>
      </c>
      <c r="X80" s="51"/>
      <c r="Y80" s="51"/>
      <c r="Z80" s="33" t="s">
        <v>2445</v>
      </c>
      <c r="AA80" s="33" t="s">
        <v>3219</v>
      </c>
      <c r="AB80" s="33"/>
      <c r="AC80" s="33" t="s">
        <v>2254</v>
      </c>
      <c r="AD80" s="33"/>
      <c r="AE80" s="33" t="s">
        <v>2267</v>
      </c>
      <c r="AF80" s="33" t="s">
        <v>2447</v>
      </c>
      <c r="AG80" s="33"/>
      <c r="AH80" s="33"/>
      <c r="AI80" s="33" t="s">
        <v>3220</v>
      </c>
      <c r="AJ80" s="94" t="s">
        <v>3221</v>
      </c>
      <c r="AK80" s="33" t="s">
        <v>3222</v>
      </c>
      <c r="AL80" s="33" t="s">
        <v>3223</v>
      </c>
      <c r="AM80" s="33" t="s">
        <v>3224</v>
      </c>
      <c r="AN80" s="51" t="s">
        <v>3225</v>
      </c>
      <c r="AO80" s="51" t="s">
        <v>188</v>
      </c>
      <c r="AP80" s="33"/>
      <c r="AQ80" s="54"/>
      <c r="AR80" s="54"/>
      <c r="AS80" s="54"/>
      <c r="AT80" s="54"/>
      <c r="AU80" s="54"/>
      <c r="AV80" s="54"/>
      <c r="AW80" s="54"/>
      <c r="AX80" s="54"/>
      <c r="AY80" s="54"/>
      <c r="AZ80" s="54"/>
      <c r="BA80" s="54"/>
      <c r="BB80" s="54"/>
      <c r="BC80" s="54" t="s">
        <v>2434</v>
      </c>
      <c r="BD80" s="54"/>
      <c r="BE80" s="54"/>
      <c r="BF80" s="54"/>
      <c r="BG80" s="54"/>
      <c r="BH80" s="0"/>
      <c r="BI80" s="0"/>
      <c r="BJ80" s="0"/>
      <c r="BK80" s="0"/>
      <c r="BL80" s="0"/>
      <c r="BM80" s="0"/>
      <c r="BN80"/>
      <c r="BO80"/>
      <c r="BP80"/>
      <c r="BQ80"/>
      <c r="BR80"/>
      <c r="BS80"/>
      <c r="BT80"/>
      <c r="BU80"/>
      <c r="BV80"/>
      <c r="BW80"/>
      <c r="BX80"/>
      <c r="BY80"/>
      <c r="BZ80"/>
    </row>
    <row r="81" ht="15.0" customHeight="true">
      <c r="A81" s="51" t="s">
        <v>2435</v>
      </c>
      <c r="B81" s="33"/>
      <c r="C81" s="33" t="s">
        <v>3226</v>
      </c>
      <c r="D81" s="33"/>
      <c r="E81" s="33" t="s">
        <v>3227</v>
      </c>
      <c r="F81" s="33"/>
      <c r="G81" s="55" t="s">
        <v>3228</v>
      </c>
      <c r="H81" s="33"/>
      <c r="I81" s="51" t="s">
        <v>3229</v>
      </c>
      <c r="J81" s="33"/>
      <c r="K81" s="51" t="s">
        <v>3230</v>
      </c>
      <c r="L81" s="33" t="s">
        <v>2441</v>
      </c>
      <c r="M81" s="55" t="s">
        <v>3231</v>
      </c>
      <c r="N81" s="55"/>
      <c r="O81" s="33"/>
      <c r="P81" s="33" t="s">
        <v>2251</v>
      </c>
      <c r="Q81" s="33"/>
      <c r="R81" s="33" t="s">
        <v>2263</v>
      </c>
      <c r="S81" s="56" t="s">
        <v>2277</v>
      </c>
      <c r="T81" s="56"/>
      <c r="U81" s="33" t="s">
        <v>3231</v>
      </c>
      <c r="V81" s="94" t="s">
        <v>2443</v>
      </c>
      <c r="W81" s="94" t="s">
        <v>2662</v>
      </c>
      <c r="X81" s="51"/>
      <c r="Y81" s="51"/>
      <c r="Z81" s="33" t="s">
        <v>2445</v>
      </c>
      <c r="AA81" s="33" t="s">
        <v>2446</v>
      </c>
      <c r="AB81" s="33"/>
      <c r="AC81" s="33" t="s">
        <v>2254</v>
      </c>
      <c r="AD81" s="33"/>
      <c r="AE81" s="33" t="s">
        <v>2267</v>
      </c>
      <c r="AF81" s="33" t="s">
        <v>2447</v>
      </c>
      <c r="AG81" s="33"/>
      <c r="AH81" s="33"/>
      <c r="AI81" s="33" t="s">
        <v>3232</v>
      </c>
      <c r="AJ81" s="94" t="s">
        <v>3233</v>
      </c>
      <c r="AK81" s="33" t="s">
        <v>3234</v>
      </c>
      <c r="AL81" s="33"/>
      <c r="AM81" s="33" t="s">
        <v>2720</v>
      </c>
      <c r="AN81" s="51" t="s">
        <v>2721</v>
      </c>
      <c r="AO81" s="51" t="s">
        <v>188</v>
      </c>
      <c r="AP81" s="33"/>
      <c r="AQ81" s="54"/>
      <c r="AR81" s="54"/>
      <c r="AS81" s="54"/>
      <c r="AT81" s="54"/>
      <c r="AU81" s="54"/>
      <c r="AV81" s="54"/>
      <c r="AW81" s="54"/>
      <c r="AX81" s="54"/>
      <c r="AY81" s="54"/>
      <c r="AZ81" s="54"/>
      <c r="BA81" s="54"/>
      <c r="BB81" s="54"/>
      <c r="BC81" s="54" t="s">
        <v>2434</v>
      </c>
      <c r="BD81" s="54"/>
      <c r="BE81" s="54"/>
      <c r="BF81" s="54"/>
      <c r="BG81" s="54"/>
      <c r="BH81" s="0"/>
      <c r="BI81" s="0"/>
      <c r="BJ81" s="0"/>
      <c r="BK81" s="0"/>
      <c r="BL81" s="0"/>
      <c r="BM81" s="0"/>
      <c r="BN81"/>
      <c r="BO81"/>
      <c r="BP81"/>
      <c r="BQ81"/>
      <c r="BR81"/>
      <c r="BS81"/>
      <c r="BT81"/>
      <c r="BU81"/>
      <c r="BV81"/>
      <c r="BW81"/>
      <c r="BX81"/>
      <c r="BY81"/>
      <c r="BZ81"/>
    </row>
    <row r="82" ht="15.0" customHeight="true">
      <c r="A82" s="51" t="s">
        <v>2435</v>
      </c>
      <c r="B82" s="33"/>
      <c r="C82" s="33" t="s">
        <v>3235</v>
      </c>
      <c r="D82" s="33"/>
      <c r="E82" s="33" t="s">
        <v>3236</v>
      </c>
      <c r="F82" s="33"/>
      <c r="G82" s="55" t="s">
        <v>3237</v>
      </c>
      <c r="H82" s="33"/>
      <c r="I82" s="51" t="s">
        <v>3238</v>
      </c>
      <c r="J82" s="33"/>
      <c r="K82" s="51" t="s">
        <v>3239</v>
      </c>
      <c r="L82" s="33" t="s">
        <v>2441</v>
      </c>
      <c r="M82" s="55" t="s">
        <v>3159</v>
      </c>
      <c r="N82" s="55"/>
      <c r="O82" s="33"/>
      <c r="P82" s="33" t="s">
        <v>2251</v>
      </c>
      <c r="Q82" s="33"/>
      <c r="R82" s="33" t="s">
        <v>2263</v>
      </c>
      <c r="S82" s="56" t="s">
        <v>2277</v>
      </c>
      <c r="T82" s="56"/>
      <c r="U82" s="33" t="s">
        <v>3159</v>
      </c>
      <c r="V82" s="94" t="s">
        <v>2443</v>
      </c>
      <c r="W82" s="94" t="s">
        <v>2444</v>
      </c>
      <c r="X82" s="51"/>
      <c r="Y82" s="51"/>
      <c r="Z82" s="33" t="s">
        <v>2445</v>
      </c>
      <c r="AA82" s="33" t="s">
        <v>2446</v>
      </c>
      <c r="AB82" s="33"/>
      <c r="AC82" s="33" t="s">
        <v>2254</v>
      </c>
      <c r="AD82" s="33"/>
      <c r="AE82" s="33" t="s">
        <v>2267</v>
      </c>
      <c r="AF82" s="33" t="s">
        <v>2447</v>
      </c>
      <c r="AG82" s="33"/>
      <c r="AH82" s="33"/>
      <c r="AI82" s="33" t="s">
        <v>3240</v>
      </c>
      <c r="AJ82" s="94" t="s">
        <v>3241</v>
      </c>
      <c r="AK82" s="33" t="s">
        <v>3242</v>
      </c>
      <c r="AL82" s="33"/>
      <c r="AM82" s="33" t="s">
        <v>2451</v>
      </c>
      <c r="AN82" s="51" t="s">
        <v>3243</v>
      </c>
      <c r="AO82" s="51" t="s">
        <v>188</v>
      </c>
      <c r="AP82" s="33"/>
      <c r="AQ82" s="54"/>
      <c r="AR82" s="54"/>
      <c r="AS82" s="54"/>
      <c r="AT82" s="54"/>
      <c r="AU82" s="54"/>
      <c r="AV82" s="54"/>
      <c r="AW82" s="54"/>
      <c r="AX82" s="54"/>
      <c r="AY82" s="54"/>
      <c r="AZ82" s="54"/>
      <c r="BA82" s="54"/>
      <c r="BB82" s="54"/>
      <c r="BC82" s="54" t="s">
        <v>2434</v>
      </c>
      <c r="BD82" s="54"/>
      <c r="BE82" s="54"/>
      <c r="BF82" s="54"/>
      <c r="BG82" s="54"/>
      <c r="BH82" s="0"/>
      <c r="BI82" s="0"/>
      <c r="BJ82" s="0"/>
      <c r="BK82" s="0"/>
      <c r="BL82" s="0"/>
      <c r="BM82" s="0"/>
      <c r="BN82"/>
      <c r="BO82"/>
      <c r="BP82"/>
      <c r="BQ82"/>
      <c r="BR82"/>
      <c r="BS82"/>
      <c r="BT82"/>
      <c r="BU82"/>
      <c r="BV82"/>
      <c r="BW82"/>
      <c r="BX82"/>
      <c r="BY82"/>
      <c r="BZ82"/>
    </row>
    <row r="83" ht="15.0" customHeight="true">
      <c r="A83" s="51" t="s">
        <v>2435</v>
      </c>
      <c r="B83" s="33"/>
      <c r="C83" s="33" t="s">
        <v>3244</v>
      </c>
      <c r="D83" s="33"/>
      <c r="E83" s="33" t="s">
        <v>3245</v>
      </c>
      <c r="F83" s="33"/>
      <c r="G83" s="55" t="s">
        <v>3246</v>
      </c>
      <c r="H83" s="33"/>
      <c r="I83" s="51" t="s">
        <v>3247</v>
      </c>
      <c r="J83" s="33"/>
      <c r="K83" s="51" t="s">
        <v>2434</v>
      </c>
      <c r="L83" s="33" t="s">
        <v>2441</v>
      </c>
      <c r="M83" s="55" t="s">
        <v>3248</v>
      </c>
      <c r="N83" s="55"/>
      <c r="O83" s="33"/>
      <c r="P83" s="33" t="s">
        <v>2251</v>
      </c>
      <c r="Q83" s="33"/>
      <c r="R83" s="33" t="s">
        <v>2263</v>
      </c>
      <c r="S83" s="56" t="s">
        <v>2277</v>
      </c>
      <c r="T83" s="56"/>
      <c r="U83" s="33" t="s">
        <v>2592</v>
      </c>
      <c r="V83" s="94" t="s">
        <v>2443</v>
      </c>
      <c r="W83" s="94" t="s">
        <v>3249</v>
      </c>
      <c r="X83" s="51"/>
      <c r="Y83" s="51"/>
      <c r="Z83" s="33" t="s">
        <v>2445</v>
      </c>
      <c r="AA83" s="33" t="s">
        <v>3250</v>
      </c>
      <c r="AB83" s="33"/>
      <c r="AC83" s="33" t="s">
        <v>2254</v>
      </c>
      <c r="AD83" s="33"/>
      <c r="AE83" s="33" t="s">
        <v>2267</v>
      </c>
      <c r="AF83" s="33" t="s">
        <v>2447</v>
      </c>
      <c r="AG83" s="33"/>
      <c r="AH83" s="33"/>
      <c r="AI83" s="33" t="s">
        <v>3251</v>
      </c>
      <c r="AJ83" s="94" t="s">
        <v>3252</v>
      </c>
      <c r="AK83" s="33" t="s">
        <v>3253</v>
      </c>
      <c r="AL83" s="33"/>
      <c r="AM83" s="33" t="s">
        <v>2451</v>
      </c>
      <c r="AN83" s="51" t="s">
        <v>3254</v>
      </c>
      <c r="AO83" s="51" t="s">
        <v>188</v>
      </c>
      <c r="AP83" s="33"/>
      <c r="AQ83" s="54"/>
      <c r="AR83" s="54"/>
      <c r="AS83" s="54"/>
      <c r="AT83" s="54"/>
      <c r="AU83" s="54"/>
      <c r="AV83" s="54"/>
      <c r="AW83" s="54"/>
      <c r="AX83" s="54"/>
      <c r="AY83" s="54"/>
      <c r="AZ83" s="54"/>
      <c r="BA83" s="54"/>
      <c r="BB83" s="54"/>
      <c r="BC83" s="54" t="s">
        <v>2586</v>
      </c>
      <c r="BD83" s="54"/>
      <c r="BE83" s="54"/>
      <c r="BF83" s="54"/>
      <c r="BG83" s="54"/>
      <c r="BH83" s="0"/>
      <c r="BI83" s="0"/>
      <c r="BJ83" s="0"/>
      <c r="BK83" s="0"/>
      <c r="BL83" s="0"/>
      <c r="BM83" s="0"/>
      <c r="BN83"/>
      <c r="BO83"/>
      <c r="BP83"/>
      <c r="BQ83"/>
      <c r="BR83"/>
      <c r="BS83"/>
      <c r="BT83"/>
      <c r="BU83"/>
      <c r="BV83"/>
      <c r="BW83"/>
      <c r="BX83"/>
      <c r="BY83"/>
      <c r="BZ83"/>
    </row>
    <row r="84" ht="15.0" customHeight="true">
      <c r="A84" s="51" t="s">
        <v>2435</v>
      </c>
      <c r="B84" s="33"/>
      <c r="C84" s="33" t="s">
        <v>3255</v>
      </c>
      <c r="D84" s="33"/>
      <c r="E84" s="33" t="s">
        <v>3256</v>
      </c>
      <c r="F84" s="33"/>
      <c r="G84" s="55" t="s">
        <v>3257</v>
      </c>
      <c r="H84" s="33"/>
      <c r="I84" s="51" t="s">
        <v>3258</v>
      </c>
      <c r="J84" s="33"/>
      <c r="K84" s="51" t="s">
        <v>3259</v>
      </c>
      <c r="L84" s="33" t="s">
        <v>2441</v>
      </c>
      <c r="M84" s="55" t="s">
        <v>3260</v>
      </c>
      <c r="N84" s="55"/>
      <c r="O84" s="33"/>
      <c r="P84" s="33" t="s">
        <v>2251</v>
      </c>
      <c r="Q84" s="33"/>
      <c r="R84" s="33" t="s">
        <v>2263</v>
      </c>
      <c r="S84" s="56" t="s">
        <v>2277</v>
      </c>
      <c r="T84" s="56"/>
      <c r="U84" s="33" t="s">
        <v>3260</v>
      </c>
      <c r="V84" s="94" t="s">
        <v>2443</v>
      </c>
      <c r="W84" s="94" t="s">
        <v>2444</v>
      </c>
      <c r="X84" s="51"/>
      <c r="Y84" s="51"/>
      <c r="Z84" s="33" t="s">
        <v>2445</v>
      </c>
      <c r="AA84" s="33" t="s">
        <v>2446</v>
      </c>
      <c r="AB84" s="33"/>
      <c r="AC84" s="33" t="s">
        <v>2254</v>
      </c>
      <c r="AD84" s="33"/>
      <c r="AE84" s="33" t="s">
        <v>2267</v>
      </c>
      <c r="AF84" s="33" t="s">
        <v>2447</v>
      </c>
      <c r="AG84" s="33"/>
      <c r="AH84" s="33"/>
      <c r="AI84" s="33" t="s">
        <v>3261</v>
      </c>
      <c r="AJ84" s="94" t="s">
        <v>3262</v>
      </c>
      <c r="AK84" s="33" t="s">
        <v>3263</v>
      </c>
      <c r="AL84" s="33"/>
      <c r="AM84" s="33" t="s">
        <v>2451</v>
      </c>
      <c r="AN84" s="51" t="s">
        <v>3165</v>
      </c>
      <c r="AO84" s="51" t="s">
        <v>188</v>
      </c>
      <c r="AP84" s="33"/>
      <c r="AQ84" s="54"/>
      <c r="AR84" s="54"/>
      <c r="AS84" s="54"/>
      <c r="AT84" s="54"/>
      <c r="AU84" s="54"/>
      <c r="AV84" s="54"/>
      <c r="AW84" s="54"/>
      <c r="AX84" s="54"/>
      <c r="AY84" s="54"/>
      <c r="AZ84" s="54"/>
      <c r="BA84" s="54"/>
      <c r="BB84" s="54"/>
      <c r="BC84" s="54" t="s">
        <v>2434</v>
      </c>
      <c r="BD84" s="54"/>
      <c r="BE84" s="54"/>
      <c r="BF84" s="54"/>
      <c r="BG84" s="54"/>
      <c r="BH84" s="0"/>
      <c r="BI84" s="0"/>
      <c r="BJ84" s="0"/>
      <c r="BK84" s="0"/>
      <c r="BL84" s="0"/>
      <c r="BM84" s="0"/>
      <c r="BN84"/>
      <c r="BO84"/>
      <c r="BP84"/>
      <c r="BQ84"/>
      <c r="BR84"/>
      <c r="BS84"/>
      <c r="BT84"/>
      <c r="BU84"/>
      <c r="BV84"/>
      <c r="BW84"/>
      <c r="BX84"/>
      <c r="BY84"/>
      <c r="BZ84"/>
    </row>
    <row r="85" ht="15.0" customHeight="true">
      <c r="A85" s="51" t="s">
        <v>2435</v>
      </c>
      <c r="B85" s="33"/>
      <c r="C85" s="33" t="s">
        <v>3264</v>
      </c>
      <c r="D85" s="33"/>
      <c r="E85" s="33" t="s">
        <v>3265</v>
      </c>
      <c r="F85" s="33"/>
      <c r="G85" s="55" t="s">
        <v>3266</v>
      </c>
      <c r="H85" s="33"/>
      <c r="I85" s="51" t="s">
        <v>3267</v>
      </c>
      <c r="J85" s="33"/>
      <c r="K85" s="51" t="s">
        <v>3268</v>
      </c>
      <c r="L85" s="33" t="s">
        <v>2441</v>
      </c>
      <c r="M85" s="55" t="s">
        <v>3269</v>
      </c>
      <c r="N85" s="55"/>
      <c r="O85" s="33"/>
      <c r="P85" s="33" t="s">
        <v>2262</v>
      </c>
      <c r="Q85" s="33"/>
      <c r="R85" s="33" t="s">
        <v>2263</v>
      </c>
      <c r="S85" s="56" t="s">
        <v>2277</v>
      </c>
      <c r="T85" s="56"/>
      <c r="U85" s="33" t="s">
        <v>3269</v>
      </c>
      <c r="V85" s="94" t="s">
        <v>2443</v>
      </c>
      <c r="W85" s="94" t="s">
        <v>2444</v>
      </c>
      <c r="X85" s="51"/>
      <c r="Y85" s="51"/>
      <c r="Z85" s="33" t="s">
        <v>2445</v>
      </c>
      <c r="AA85" s="33" t="s">
        <v>2446</v>
      </c>
      <c r="AB85" s="33"/>
      <c r="AC85" s="33" t="s">
        <v>2254</v>
      </c>
      <c r="AD85" s="33"/>
      <c r="AE85" s="33" t="s">
        <v>2267</v>
      </c>
      <c r="AF85" s="33" t="s">
        <v>2447</v>
      </c>
      <c r="AG85" s="33"/>
      <c r="AH85" s="33"/>
      <c r="AI85" s="33" t="s">
        <v>3270</v>
      </c>
      <c r="AJ85" s="94" t="s">
        <v>3271</v>
      </c>
      <c r="AK85" s="33" t="s">
        <v>3272</v>
      </c>
      <c r="AL85" s="33"/>
      <c r="AM85" s="33" t="s">
        <v>3273</v>
      </c>
      <c r="AN85" s="51" t="s">
        <v>3274</v>
      </c>
      <c r="AO85" s="51" t="s">
        <v>188</v>
      </c>
      <c r="AP85" s="33"/>
      <c r="AQ85" s="54"/>
      <c r="AR85" s="54"/>
      <c r="AS85" s="54"/>
      <c r="AT85" s="54"/>
      <c r="AU85" s="54"/>
      <c r="AV85" s="54"/>
      <c r="AW85" s="54"/>
      <c r="AX85" s="54"/>
      <c r="AY85" s="54"/>
      <c r="AZ85" s="54"/>
      <c r="BA85" s="54"/>
      <c r="BB85" s="54"/>
      <c r="BC85" s="54" t="s">
        <v>2434</v>
      </c>
      <c r="BD85" s="54"/>
      <c r="BE85" s="54"/>
      <c r="BF85" s="54"/>
      <c r="BG85" s="54"/>
      <c r="BH85" s="0"/>
      <c r="BI85" s="0"/>
      <c r="BJ85" s="0"/>
      <c r="BK85" s="0"/>
      <c r="BL85" s="0"/>
      <c r="BM85" s="0"/>
      <c r="BN85"/>
      <c r="BO85"/>
      <c r="BP85"/>
      <c r="BQ85"/>
      <c r="BR85"/>
      <c r="BS85"/>
      <c r="BT85"/>
      <c r="BU85"/>
      <c r="BV85"/>
      <c r="BW85"/>
      <c r="BX85"/>
      <c r="BY85"/>
      <c r="BZ85"/>
    </row>
    <row r="86" ht="15.0" customHeight="true">
      <c r="A86" s="51" t="s">
        <v>2435</v>
      </c>
      <c r="B86" s="33"/>
      <c r="C86" s="33" t="s">
        <v>3275</v>
      </c>
      <c r="D86" s="33"/>
      <c r="E86" s="33" t="s">
        <v>3276</v>
      </c>
      <c r="F86" s="33"/>
      <c r="G86" s="55" t="s">
        <v>3277</v>
      </c>
      <c r="H86" s="33"/>
      <c r="I86" s="51" t="s">
        <v>3278</v>
      </c>
      <c r="J86" s="33"/>
      <c r="K86" s="51" t="s">
        <v>3279</v>
      </c>
      <c r="L86" s="33" t="s">
        <v>2441</v>
      </c>
      <c r="M86" s="55" t="s">
        <v>2843</v>
      </c>
      <c r="N86" s="55"/>
      <c r="O86" s="33"/>
      <c r="P86" s="33" t="s">
        <v>2251</v>
      </c>
      <c r="Q86" s="33"/>
      <c r="R86" s="33" t="s">
        <v>2263</v>
      </c>
      <c r="S86" s="56" t="s">
        <v>2277</v>
      </c>
      <c r="T86" s="56"/>
      <c r="U86" s="33" t="s">
        <v>2843</v>
      </c>
      <c r="V86" s="94" t="s">
        <v>2443</v>
      </c>
      <c r="W86" s="94" t="s">
        <v>2662</v>
      </c>
      <c r="X86" s="51"/>
      <c r="Y86" s="51"/>
      <c r="Z86" s="33" t="s">
        <v>2445</v>
      </c>
      <c r="AA86" s="33" t="s">
        <v>2446</v>
      </c>
      <c r="AB86" s="33"/>
      <c r="AC86" s="33" t="s">
        <v>2254</v>
      </c>
      <c r="AD86" s="33"/>
      <c r="AE86" s="33" t="s">
        <v>2267</v>
      </c>
      <c r="AF86" s="33" t="s">
        <v>2447</v>
      </c>
      <c r="AG86" s="33"/>
      <c r="AH86" s="33"/>
      <c r="AI86" s="33" t="s">
        <v>3280</v>
      </c>
      <c r="AJ86" s="94" t="s">
        <v>3281</v>
      </c>
      <c r="AK86" s="33" t="s">
        <v>3282</v>
      </c>
      <c r="AL86" s="33"/>
      <c r="AM86" s="33" t="s">
        <v>2731</v>
      </c>
      <c r="AN86" s="51" t="s">
        <v>3283</v>
      </c>
      <c r="AO86" s="51" t="s">
        <v>188</v>
      </c>
      <c r="AP86" s="33"/>
      <c r="AQ86" s="54"/>
      <c r="AR86" s="54"/>
      <c r="AS86" s="54"/>
      <c r="AT86" s="54"/>
      <c r="AU86" s="54"/>
      <c r="AV86" s="54"/>
      <c r="AW86" s="54"/>
      <c r="AX86" s="54"/>
      <c r="AY86" s="54"/>
      <c r="AZ86" s="54"/>
      <c r="BA86" s="54"/>
      <c r="BB86" s="54"/>
      <c r="BC86" s="54" t="s">
        <v>2434</v>
      </c>
      <c r="BD86" s="54"/>
      <c r="BE86" s="54"/>
      <c r="BF86" s="54"/>
      <c r="BG86" s="54"/>
      <c r="BH86" s="0"/>
      <c r="BI86" s="0"/>
      <c r="BJ86" s="0"/>
      <c r="BK86" s="0"/>
      <c r="BL86" s="0"/>
      <c r="BM86" s="0"/>
      <c r="BN86"/>
      <c r="BO86"/>
      <c r="BP86"/>
      <c r="BQ86"/>
      <c r="BR86"/>
      <c r="BS86"/>
      <c r="BT86"/>
      <c r="BU86"/>
      <c r="BV86"/>
      <c r="BW86"/>
      <c r="BX86"/>
      <c r="BY86"/>
      <c r="BZ86"/>
    </row>
    <row r="87" ht="15.0" customHeight="true">
      <c r="A87" s="51" t="s">
        <v>2435</v>
      </c>
      <c r="B87" s="33"/>
      <c r="C87" s="33" t="s">
        <v>3284</v>
      </c>
      <c r="D87" s="33"/>
      <c r="E87" s="33" t="s">
        <v>3285</v>
      </c>
      <c r="F87" s="33"/>
      <c r="G87" s="55" t="s">
        <v>3286</v>
      </c>
      <c r="H87" s="33"/>
      <c r="I87" s="51" t="s">
        <v>3287</v>
      </c>
      <c r="J87" s="33"/>
      <c r="K87" s="51" t="s">
        <v>3288</v>
      </c>
      <c r="L87" s="33" t="s">
        <v>2441</v>
      </c>
      <c r="M87" s="55" t="s">
        <v>3209</v>
      </c>
      <c r="N87" s="55"/>
      <c r="O87" s="33"/>
      <c r="P87" s="33" t="s">
        <v>2251</v>
      </c>
      <c r="Q87" s="33"/>
      <c r="R87" s="33" t="s">
        <v>2263</v>
      </c>
      <c r="S87" s="56" t="s">
        <v>2277</v>
      </c>
      <c r="T87" s="56"/>
      <c r="U87" s="33" t="s">
        <v>3209</v>
      </c>
      <c r="V87" s="94" t="s">
        <v>2443</v>
      </c>
      <c r="W87" s="94" t="s">
        <v>2662</v>
      </c>
      <c r="X87" s="51"/>
      <c r="Y87" s="51"/>
      <c r="Z87" s="33" t="s">
        <v>2445</v>
      </c>
      <c r="AA87" s="33" t="s">
        <v>2446</v>
      </c>
      <c r="AB87" s="33"/>
      <c r="AC87" s="33" t="s">
        <v>2254</v>
      </c>
      <c r="AD87" s="33"/>
      <c r="AE87" s="33" t="s">
        <v>2267</v>
      </c>
      <c r="AF87" s="33" t="s">
        <v>2447</v>
      </c>
      <c r="AG87" s="33"/>
      <c r="AH87" s="33"/>
      <c r="AI87" s="33" t="s">
        <v>3289</v>
      </c>
      <c r="AJ87" s="94" t="s">
        <v>3290</v>
      </c>
      <c r="AK87" s="33" t="s">
        <v>3291</v>
      </c>
      <c r="AL87" s="33"/>
      <c r="AM87" s="33" t="s">
        <v>3292</v>
      </c>
      <c r="AN87" s="51" t="s">
        <v>3293</v>
      </c>
      <c r="AO87" s="51" t="s">
        <v>188</v>
      </c>
      <c r="AP87" s="33"/>
      <c r="AQ87" s="54"/>
      <c r="AR87" s="54"/>
      <c r="AS87" s="54"/>
      <c r="AT87" s="54"/>
      <c r="AU87" s="54"/>
      <c r="AV87" s="54"/>
      <c r="AW87" s="54"/>
      <c r="AX87" s="54"/>
      <c r="AY87" s="54"/>
      <c r="AZ87" s="54"/>
      <c r="BA87" s="54"/>
      <c r="BB87" s="54"/>
      <c r="BC87" s="54" t="s">
        <v>2434</v>
      </c>
      <c r="BD87" s="54"/>
      <c r="BE87" s="54"/>
      <c r="BF87" s="54"/>
      <c r="BG87" s="54"/>
      <c r="BH87" s="0"/>
      <c r="BI87" s="0"/>
      <c r="BJ87" s="0"/>
      <c r="BK87" s="0"/>
      <c r="BL87" s="0"/>
      <c r="BM87" s="0"/>
      <c r="BN87"/>
      <c r="BO87"/>
      <c r="BP87"/>
      <c r="BQ87"/>
      <c r="BR87"/>
      <c r="BS87"/>
      <c r="BT87"/>
      <c r="BU87"/>
      <c r="BV87"/>
      <c r="BW87"/>
      <c r="BX87"/>
      <c r="BY87"/>
      <c r="BZ87"/>
    </row>
    <row r="88" ht="15.0" customHeight="true">
      <c r="A88" s="51" t="s">
        <v>2435</v>
      </c>
      <c r="B88" s="33"/>
      <c r="C88" s="33" t="s">
        <v>3294</v>
      </c>
      <c r="D88" s="33"/>
      <c r="E88" s="33" t="s">
        <v>2454</v>
      </c>
      <c r="F88" s="33"/>
      <c r="G88" s="55" t="s">
        <v>3295</v>
      </c>
      <c r="H88" s="33"/>
      <c r="I88" s="51" t="s">
        <v>3296</v>
      </c>
      <c r="J88" s="33"/>
      <c r="K88" s="51" t="s">
        <v>3297</v>
      </c>
      <c r="L88" s="33" t="s">
        <v>2441</v>
      </c>
      <c r="M88" s="55" t="s">
        <v>3298</v>
      </c>
      <c r="N88" s="55"/>
      <c r="O88" s="33"/>
      <c r="P88" s="33" t="s">
        <v>2251</v>
      </c>
      <c r="Q88" s="33"/>
      <c r="R88" s="33" t="s">
        <v>2263</v>
      </c>
      <c r="S88" s="56" t="s">
        <v>2277</v>
      </c>
      <c r="T88" s="56"/>
      <c r="U88" s="33" t="s">
        <v>3298</v>
      </c>
      <c r="V88" s="94" t="s">
        <v>2443</v>
      </c>
      <c r="W88" s="94" t="s">
        <v>2444</v>
      </c>
      <c r="X88" s="51"/>
      <c r="Y88" s="51"/>
      <c r="Z88" s="33" t="s">
        <v>2445</v>
      </c>
      <c r="AA88" s="33" t="s">
        <v>2446</v>
      </c>
      <c r="AB88" s="33"/>
      <c r="AC88" s="33" t="s">
        <v>2254</v>
      </c>
      <c r="AD88" s="33"/>
      <c r="AE88" s="33" t="s">
        <v>2267</v>
      </c>
      <c r="AF88" s="33" t="s">
        <v>2447</v>
      </c>
      <c r="AG88" s="33"/>
      <c r="AH88" s="33"/>
      <c r="AI88" s="33" t="s">
        <v>3299</v>
      </c>
      <c r="AJ88" s="94" t="s">
        <v>3300</v>
      </c>
      <c r="AK88" s="33" t="s">
        <v>3301</v>
      </c>
      <c r="AL88" s="33"/>
      <c r="AM88" s="33" t="s">
        <v>2451</v>
      </c>
      <c r="AN88" s="51" t="s">
        <v>2858</v>
      </c>
      <c r="AO88" s="51" t="s">
        <v>188</v>
      </c>
      <c r="AP88" s="33"/>
      <c r="AQ88" s="54"/>
      <c r="AR88" s="54"/>
      <c r="AS88" s="54"/>
      <c r="AT88" s="54"/>
      <c r="AU88" s="54"/>
      <c r="AV88" s="54"/>
      <c r="AW88" s="54"/>
      <c r="AX88" s="54"/>
      <c r="AY88" s="54"/>
      <c r="AZ88" s="54"/>
      <c r="BA88" s="54"/>
      <c r="BB88" s="54"/>
      <c r="BC88" s="54" t="s">
        <v>2434</v>
      </c>
      <c r="BD88" s="54"/>
      <c r="BE88" s="54"/>
      <c r="BF88" s="54"/>
      <c r="BG88" s="54"/>
      <c r="BH88" s="0"/>
      <c r="BI88" s="0"/>
      <c r="BJ88" s="0"/>
      <c r="BK88" s="0"/>
      <c r="BL88" s="0"/>
      <c r="BM88" s="0"/>
      <c r="BN88"/>
      <c r="BO88"/>
      <c r="BP88"/>
      <c r="BQ88"/>
      <c r="BR88"/>
      <c r="BS88"/>
      <c r="BT88"/>
      <c r="BU88"/>
      <c r="BV88"/>
      <c r="BW88"/>
      <c r="BX88"/>
      <c r="BY88"/>
      <c r="BZ88"/>
    </row>
    <row r="89" ht="15.0" customHeight="true">
      <c r="A89" s="51" t="s">
        <v>2435</v>
      </c>
      <c r="B89" s="33"/>
      <c r="C89" s="33" t="s">
        <v>3302</v>
      </c>
      <c r="D89" s="33"/>
      <c r="E89" s="33" t="s">
        <v>3303</v>
      </c>
      <c r="F89" s="33"/>
      <c r="G89" s="55" t="s">
        <v>3304</v>
      </c>
      <c r="H89" s="33" t="s">
        <v>2247</v>
      </c>
      <c r="I89" s="51" t="s">
        <v>3305</v>
      </c>
      <c r="J89" s="33"/>
      <c r="K89" s="51" t="s">
        <v>3306</v>
      </c>
      <c r="L89" s="33" t="s">
        <v>2458</v>
      </c>
      <c r="M89" s="55" t="s">
        <v>2906</v>
      </c>
      <c r="N89" s="55" t="s">
        <v>2661</v>
      </c>
      <c r="O89" s="33" t="s">
        <v>2271</v>
      </c>
      <c r="P89" s="33" t="s">
        <v>2251</v>
      </c>
      <c r="Q89" s="33"/>
      <c r="R89" s="33" t="s">
        <v>2263</v>
      </c>
      <c r="S89" s="56" t="s">
        <v>2277</v>
      </c>
      <c r="T89" s="56"/>
      <c r="U89" s="33" t="s">
        <v>2906</v>
      </c>
      <c r="V89" s="94" t="s">
        <v>2443</v>
      </c>
      <c r="W89" s="94" t="s">
        <v>2444</v>
      </c>
      <c r="X89" s="51"/>
      <c r="Y89" s="51"/>
      <c r="Z89" s="33" t="s">
        <v>2445</v>
      </c>
      <c r="AA89" s="33" t="s">
        <v>2446</v>
      </c>
      <c r="AB89" s="33"/>
      <c r="AC89" s="33" t="s">
        <v>2254</v>
      </c>
      <c r="AD89" s="33"/>
      <c r="AE89" s="33" t="s">
        <v>2267</v>
      </c>
      <c r="AF89" s="33" t="s">
        <v>2447</v>
      </c>
      <c r="AG89" s="33"/>
      <c r="AH89" s="33"/>
      <c r="AI89" s="33" t="s">
        <v>3307</v>
      </c>
      <c r="AJ89" s="94" t="s">
        <v>3308</v>
      </c>
      <c r="AK89" s="33" t="s">
        <v>3309</v>
      </c>
      <c r="AL89" s="33"/>
      <c r="AM89" s="33" t="s">
        <v>2677</v>
      </c>
      <c r="AN89" s="51" t="s">
        <v>2678</v>
      </c>
      <c r="AO89" s="51" t="s">
        <v>188</v>
      </c>
      <c r="AP89" s="33"/>
      <c r="AQ89" s="54"/>
      <c r="AR89" s="54"/>
      <c r="AS89" s="54"/>
      <c r="AT89" s="54"/>
      <c r="AU89" s="54"/>
      <c r="AV89" s="54"/>
      <c r="AW89" s="54"/>
      <c r="AX89" s="54"/>
      <c r="AY89" s="54"/>
      <c r="AZ89" s="54"/>
      <c r="BA89" s="54"/>
      <c r="BB89" s="54"/>
      <c r="BC89" s="54"/>
      <c r="BD89" s="54"/>
      <c r="BE89" s="54"/>
      <c r="BF89" s="54"/>
      <c r="BG89" s="54"/>
      <c r="BH89" s="0"/>
      <c r="BI89" s="0"/>
      <c r="BJ89" s="0"/>
      <c r="BK89" s="0"/>
      <c r="BL89" s="0"/>
      <c r="BM89" s="0"/>
      <c r="BN89"/>
      <c r="BO89"/>
      <c r="BP89"/>
      <c r="BQ89"/>
      <c r="BR89"/>
      <c r="BS89"/>
      <c r="BT89"/>
      <c r="BU89"/>
      <c r="BV89"/>
      <c r="BW89"/>
      <c r="BX89"/>
      <c r="BY89"/>
      <c r="BZ89"/>
    </row>
    <row r="90" ht="15.0" customHeight="true">
      <c r="A90" s="51" t="s">
        <v>2435</v>
      </c>
      <c r="B90" s="33"/>
      <c r="C90" s="33" t="s">
        <v>3310</v>
      </c>
      <c r="D90" s="33"/>
      <c r="E90" s="33" t="s">
        <v>3311</v>
      </c>
      <c r="F90" s="33"/>
      <c r="G90" s="55" t="s">
        <v>3312</v>
      </c>
      <c r="H90" s="33"/>
      <c r="I90" s="51" t="s">
        <v>3313</v>
      </c>
      <c r="J90" s="33"/>
      <c r="K90" s="51" t="s">
        <v>3314</v>
      </c>
      <c r="L90" s="33" t="s">
        <v>2441</v>
      </c>
      <c r="M90" s="55" t="s">
        <v>2906</v>
      </c>
      <c r="N90" s="55"/>
      <c r="O90" s="33"/>
      <c r="P90" s="33" t="s">
        <v>2251</v>
      </c>
      <c r="Q90" s="33"/>
      <c r="R90" s="33" t="s">
        <v>2263</v>
      </c>
      <c r="S90" s="56" t="s">
        <v>2277</v>
      </c>
      <c r="T90" s="56"/>
      <c r="U90" s="33" t="s">
        <v>2906</v>
      </c>
      <c r="V90" s="94" t="s">
        <v>2443</v>
      </c>
      <c r="W90" s="94" t="s">
        <v>2444</v>
      </c>
      <c r="X90" s="51"/>
      <c r="Y90" s="51"/>
      <c r="Z90" s="33" t="s">
        <v>2445</v>
      </c>
      <c r="AA90" s="33" t="s">
        <v>2446</v>
      </c>
      <c r="AB90" s="33"/>
      <c r="AC90" s="33" t="s">
        <v>2254</v>
      </c>
      <c r="AD90" s="33"/>
      <c r="AE90" s="33" t="s">
        <v>2267</v>
      </c>
      <c r="AF90" s="33" t="s">
        <v>2447</v>
      </c>
      <c r="AG90" s="33"/>
      <c r="AH90" s="33"/>
      <c r="AI90" s="33" t="s">
        <v>3315</v>
      </c>
      <c r="AJ90" s="94" t="s">
        <v>3316</v>
      </c>
      <c r="AK90" s="33" t="s">
        <v>3317</v>
      </c>
      <c r="AL90" s="33"/>
      <c r="AM90" s="33" t="s">
        <v>3318</v>
      </c>
      <c r="AN90" s="51" t="s">
        <v>3319</v>
      </c>
      <c r="AO90" s="51" t="s">
        <v>188</v>
      </c>
      <c r="AP90" s="33"/>
      <c r="AQ90" s="54"/>
      <c r="AR90" s="54"/>
      <c r="AS90" s="54"/>
      <c r="AT90" s="54"/>
      <c r="AU90" s="54"/>
      <c r="AV90" s="54"/>
      <c r="AW90" s="54"/>
      <c r="AX90" s="54"/>
      <c r="AY90" s="54"/>
      <c r="AZ90" s="54"/>
      <c r="BA90" s="54"/>
      <c r="BB90" s="54"/>
      <c r="BC90" s="54" t="s">
        <v>2434</v>
      </c>
      <c r="BD90" s="54"/>
      <c r="BE90" s="54"/>
      <c r="BF90" s="54"/>
      <c r="BG90" s="54"/>
      <c r="BH90" s="0"/>
      <c r="BI90" s="0"/>
      <c r="BJ90" s="0"/>
      <c r="BK90" s="0"/>
      <c r="BL90" s="0"/>
      <c r="BM90" s="0"/>
      <c r="BN90"/>
      <c r="BO90"/>
      <c r="BP90"/>
      <c r="BQ90"/>
      <c r="BR90"/>
      <c r="BS90"/>
      <c r="BT90"/>
      <c r="BU90"/>
      <c r="BV90"/>
      <c r="BW90"/>
      <c r="BX90"/>
      <c r="BY90"/>
      <c r="BZ90"/>
    </row>
    <row r="91" ht="15.0" customHeight="true">
      <c r="A91" s="51" t="s">
        <v>2435</v>
      </c>
      <c r="B91" s="33"/>
      <c r="C91" s="33" t="s">
        <v>3320</v>
      </c>
      <c r="D91" s="33"/>
      <c r="E91" s="33" t="s">
        <v>3321</v>
      </c>
      <c r="F91" s="33"/>
      <c r="G91" s="55" t="s">
        <v>3322</v>
      </c>
      <c r="H91" s="33" t="s">
        <v>2247</v>
      </c>
      <c r="I91" s="51" t="s">
        <v>3323</v>
      </c>
      <c r="J91" s="33"/>
      <c r="K91" s="51" t="s">
        <v>3324</v>
      </c>
      <c r="L91" s="33" t="s">
        <v>2458</v>
      </c>
      <c r="M91" s="55" t="s">
        <v>2957</v>
      </c>
      <c r="N91" s="55" t="s">
        <v>3325</v>
      </c>
      <c r="O91" s="33" t="s">
        <v>2271</v>
      </c>
      <c r="P91" s="33" t="s">
        <v>2251</v>
      </c>
      <c r="Q91" s="33"/>
      <c r="R91" s="33" t="s">
        <v>2263</v>
      </c>
      <c r="S91" s="56" t="s">
        <v>2277</v>
      </c>
      <c r="T91" s="56"/>
      <c r="U91" s="33" t="s">
        <v>2957</v>
      </c>
      <c r="V91" s="94" t="s">
        <v>2443</v>
      </c>
      <c r="W91" s="94" t="s">
        <v>2444</v>
      </c>
      <c r="X91" s="51"/>
      <c r="Y91" s="51"/>
      <c r="Z91" s="33" t="s">
        <v>2445</v>
      </c>
      <c r="AA91" s="33" t="s">
        <v>2446</v>
      </c>
      <c r="AB91" s="33"/>
      <c r="AC91" s="33" t="s">
        <v>2254</v>
      </c>
      <c r="AD91" s="33"/>
      <c r="AE91" s="33" t="s">
        <v>2267</v>
      </c>
      <c r="AF91" s="33" t="s">
        <v>2447</v>
      </c>
      <c r="AG91" s="33"/>
      <c r="AH91" s="33"/>
      <c r="AI91" s="33" t="s">
        <v>3326</v>
      </c>
      <c r="AJ91" s="94" t="s">
        <v>3327</v>
      </c>
      <c r="AK91" s="33" t="s">
        <v>3328</v>
      </c>
      <c r="AL91" s="33"/>
      <c r="AM91" s="33" t="s">
        <v>2731</v>
      </c>
      <c r="AN91" s="51" t="s">
        <v>3283</v>
      </c>
      <c r="AO91" s="51" t="s">
        <v>188</v>
      </c>
      <c r="AP91" s="33"/>
      <c r="AQ91" s="54"/>
      <c r="AR91" s="54"/>
      <c r="AS91" s="54"/>
      <c r="AT91" s="54"/>
      <c r="AU91" s="54"/>
      <c r="AV91" s="54"/>
      <c r="AW91" s="54"/>
      <c r="AX91" s="54"/>
      <c r="AY91" s="54"/>
      <c r="AZ91" s="54"/>
      <c r="BA91" s="54"/>
      <c r="BB91" s="54"/>
      <c r="BC91" s="54"/>
      <c r="BD91" s="54"/>
      <c r="BE91" s="54"/>
      <c r="BF91" s="54"/>
      <c r="BG91" s="54"/>
      <c r="BH91" s="0"/>
      <c r="BI91" s="0"/>
      <c r="BJ91" s="0"/>
      <c r="BK91" s="0"/>
      <c r="BL91" s="0"/>
      <c r="BM91" s="0"/>
      <c r="BN91"/>
      <c r="BO91"/>
      <c r="BP91"/>
      <c r="BQ91"/>
      <c r="BR91"/>
      <c r="BS91"/>
      <c r="BT91"/>
      <c r="BU91"/>
      <c r="BV91"/>
      <c r="BW91"/>
      <c r="BX91"/>
      <c r="BY91"/>
      <c r="BZ91"/>
    </row>
    <row r="92" ht="15.0" customHeight="true">
      <c r="A92" s="51" t="s">
        <v>2435</v>
      </c>
      <c r="B92" s="33"/>
      <c r="C92" s="33" t="s">
        <v>3329</v>
      </c>
      <c r="D92" s="33"/>
      <c r="E92" s="33" t="s">
        <v>3330</v>
      </c>
      <c r="F92" s="33"/>
      <c r="G92" s="55" t="s">
        <v>3331</v>
      </c>
      <c r="H92" s="33"/>
      <c r="I92" s="51" t="s">
        <v>3332</v>
      </c>
      <c r="J92" s="33"/>
      <c r="K92" s="51" t="s">
        <v>3333</v>
      </c>
      <c r="L92" s="33" t="s">
        <v>2441</v>
      </c>
      <c r="M92" s="55" t="s">
        <v>2906</v>
      </c>
      <c r="N92" s="55"/>
      <c r="O92" s="33"/>
      <c r="P92" s="33" t="s">
        <v>2251</v>
      </c>
      <c r="Q92" s="33"/>
      <c r="R92" s="33" t="s">
        <v>2263</v>
      </c>
      <c r="S92" s="56" t="s">
        <v>2277</v>
      </c>
      <c r="T92" s="56"/>
      <c r="U92" s="33" t="s">
        <v>2906</v>
      </c>
      <c r="V92" s="94" t="s">
        <v>2443</v>
      </c>
      <c r="W92" s="94" t="s">
        <v>2444</v>
      </c>
      <c r="X92" s="51"/>
      <c r="Y92" s="51"/>
      <c r="Z92" s="33" t="s">
        <v>2445</v>
      </c>
      <c r="AA92" s="33" t="s">
        <v>2446</v>
      </c>
      <c r="AB92" s="33"/>
      <c r="AC92" s="33" t="s">
        <v>2254</v>
      </c>
      <c r="AD92" s="33"/>
      <c r="AE92" s="33" t="s">
        <v>2267</v>
      </c>
      <c r="AF92" s="33" t="s">
        <v>2447</v>
      </c>
      <c r="AG92" s="33"/>
      <c r="AH92" s="33"/>
      <c r="AI92" s="33" t="s">
        <v>3334</v>
      </c>
      <c r="AJ92" s="94" t="s">
        <v>3335</v>
      </c>
      <c r="AK92" s="33" t="s">
        <v>3336</v>
      </c>
      <c r="AL92" s="33"/>
      <c r="AM92" s="33" t="s">
        <v>2451</v>
      </c>
      <c r="AN92" s="51" t="s">
        <v>3134</v>
      </c>
      <c r="AO92" s="51" t="s">
        <v>188</v>
      </c>
      <c r="AP92" s="33"/>
      <c r="AQ92" s="54"/>
      <c r="AR92" s="54"/>
      <c r="AS92" s="54"/>
      <c r="AT92" s="54"/>
      <c r="AU92" s="54"/>
      <c r="AV92" s="54"/>
      <c r="AW92" s="54"/>
      <c r="AX92" s="54"/>
      <c r="AY92" s="54"/>
      <c r="AZ92" s="54"/>
      <c r="BA92" s="54"/>
      <c r="BB92" s="54"/>
      <c r="BC92" s="54" t="s">
        <v>2434</v>
      </c>
      <c r="BD92" s="54"/>
      <c r="BE92" s="54"/>
      <c r="BF92" s="54"/>
      <c r="BG92" s="54"/>
      <c r="BH92" s="0"/>
      <c r="BI92" s="0"/>
      <c r="BJ92" s="0"/>
      <c r="BK92" s="0"/>
      <c r="BL92" s="0"/>
      <c r="BM92" s="0"/>
      <c r="BN92"/>
      <c r="BO92"/>
      <c r="BP92"/>
      <c r="BQ92"/>
      <c r="BR92"/>
      <c r="BS92"/>
      <c r="BT92"/>
      <c r="BU92"/>
      <c r="BV92"/>
      <c r="BW92"/>
      <c r="BX92"/>
      <c r="BY92"/>
      <c r="BZ92"/>
    </row>
    <row r="93" ht="15.0" customHeight="true">
      <c r="A93" s="51" t="s">
        <v>2435</v>
      </c>
      <c r="B93" s="33"/>
      <c r="C93" s="33" t="s">
        <v>3337</v>
      </c>
      <c r="D93" s="33"/>
      <c r="E93" s="33" t="s">
        <v>3338</v>
      </c>
      <c r="F93" s="33"/>
      <c r="G93" s="55" t="s">
        <v>3339</v>
      </c>
      <c r="H93" s="33"/>
      <c r="I93" s="51" t="s">
        <v>3340</v>
      </c>
      <c r="J93" s="33"/>
      <c r="K93" s="51" t="s">
        <v>3341</v>
      </c>
      <c r="L93" s="33" t="s">
        <v>2441</v>
      </c>
      <c r="M93" s="55" t="s">
        <v>3064</v>
      </c>
      <c r="N93" s="55"/>
      <c r="O93" s="33"/>
      <c r="P93" s="33" t="s">
        <v>2262</v>
      </c>
      <c r="Q93" s="33"/>
      <c r="R93" s="33" t="s">
        <v>2263</v>
      </c>
      <c r="S93" s="56" t="s">
        <v>2277</v>
      </c>
      <c r="T93" s="56"/>
      <c r="U93" s="33" t="s">
        <v>2592</v>
      </c>
      <c r="V93" s="94" t="s">
        <v>2443</v>
      </c>
      <c r="W93" s="94" t="s">
        <v>2444</v>
      </c>
      <c r="X93" s="51"/>
      <c r="Y93" s="51"/>
      <c r="Z93" s="33" t="s">
        <v>2445</v>
      </c>
      <c r="AA93" s="33" t="s">
        <v>2446</v>
      </c>
      <c r="AB93" s="33"/>
      <c r="AC93" s="33" t="s">
        <v>2254</v>
      </c>
      <c r="AD93" s="33"/>
      <c r="AE93" s="33" t="s">
        <v>2267</v>
      </c>
      <c r="AF93" s="33" t="s">
        <v>2447</v>
      </c>
      <c r="AG93" s="33"/>
      <c r="AH93" s="33" t="s">
        <v>3342</v>
      </c>
      <c r="AI93" s="33" t="s">
        <v>3342</v>
      </c>
      <c r="AJ93" s="94" t="s">
        <v>3343</v>
      </c>
      <c r="AK93" s="33" t="s">
        <v>3344</v>
      </c>
      <c r="AL93" s="33"/>
      <c r="AM93" s="33" t="s">
        <v>3224</v>
      </c>
      <c r="AN93" s="51" t="s">
        <v>3225</v>
      </c>
      <c r="AO93" s="51" t="s">
        <v>188</v>
      </c>
      <c r="AP93" s="33"/>
      <c r="AQ93" s="54"/>
      <c r="AR93" s="54"/>
      <c r="AS93" s="54"/>
      <c r="AT93" s="54"/>
      <c r="AU93" s="54"/>
      <c r="AV93" s="54"/>
      <c r="AW93" s="54"/>
      <c r="AX93" s="54"/>
      <c r="AY93" s="54"/>
      <c r="AZ93" s="54"/>
      <c r="BA93" s="54"/>
      <c r="BB93" s="54"/>
      <c r="BC93" s="54" t="s">
        <v>2434</v>
      </c>
      <c r="BD93" s="54"/>
      <c r="BE93" s="54"/>
      <c r="BF93" s="54"/>
      <c r="BG93" s="54"/>
      <c r="BH93" s="0"/>
      <c r="BI93" s="0"/>
      <c r="BJ93" s="0"/>
      <c r="BK93" s="0"/>
      <c r="BL93" s="0"/>
      <c r="BM93" s="0"/>
      <c r="BN93"/>
      <c r="BO93"/>
      <c r="BP93"/>
      <c r="BQ93"/>
      <c r="BR93"/>
      <c r="BS93"/>
      <c r="BT93"/>
      <c r="BU93"/>
      <c r="BV93"/>
      <c r="BW93"/>
      <c r="BX93"/>
      <c r="BY93"/>
      <c r="BZ93"/>
    </row>
    <row r="94" ht="15.0" customHeight="true">
      <c r="A94" s="51" t="s">
        <v>2435</v>
      </c>
      <c r="B94" s="33"/>
      <c r="C94" s="33" t="s">
        <v>3345</v>
      </c>
      <c r="D94" s="33"/>
      <c r="E94" s="33" t="s">
        <v>3346</v>
      </c>
      <c r="F94" s="33"/>
      <c r="G94" s="55" t="s">
        <v>3347</v>
      </c>
      <c r="H94" s="33"/>
      <c r="I94" s="51" t="s">
        <v>3348</v>
      </c>
      <c r="J94" s="33"/>
      <c r="K94" s="51" t="s">
        <v>3349</v>
      </c>
      <c r="L94" s="33" t="s">
        <v>2441</v>
      </c>
      <c r="M94" s="55" t="s">
        <v>3350</v>
      </c>
      <c r="N94" s="55"/>
      <c r="O94" s="33"/>
      <c r="P94" s="33" t="s">
        <v>2251</v>
      </c>
      <c r="Q94" s="33"/>
      <c r="R94" s="33" t="s">
        <v>2263</v>
      </c>
      <c r="S94" s="56" t="s">
        <v>2277</v>
      </c>
      <c r="T94" s="56"/>
      <c r="U94" s="33" t="s">
        <v>3350</v>
      </c>
      <c r="V94" s="94" t="s">
        <v>2443</v>
      </c>
      <c r="W94" s="94" t="s">
        <v>2444</v>
      </c>
      <c r="X94" s="51"/>
      <c r="Y94" s="51"/>
      <c r="Z94" s="33" t="s">
        <v>2445</v>
      </c>
      <c r="AA94" s="33" t="s">
        <v>2446</v>
      </c>
      <c r="AB94" s="33"/>
      <c r="AC94" s="33" t="s">
        <v>2254</v>
      </c>
      <c r="AD94" s="33"/>
      <c r="AE94" s="33" t="s">
        <v>2267</v>
      </c>
      <c r="AF94" s="33" t="s">
        <v>2447</v>
      </c>
      <c r="AG94" s="33"/>
      <c r="AH94" s="33"/>
      <c r="AI94" s="33" t="s">
        <v>3351</v>
      </c>
      <c r="AJ94" s="94" t="s">
        <v>3352</v>
      </c>
      <c r="AK94" s="33" t="s">
        <v>3353</v>
      </c>
      <c r="AL94" s="33"/>
      <c r="AM94" s="33" t="s">
        <v>3354</v>
      </c>
      <c r="AN94" s="51" t="s">
        <v>3355</v>
      </c>
      <c r="AO94" s="51" t="s">
        <v>188</v>
      </c>
      <c r="AP94" s="33"/>
      <c r="AQ94" s="54"/>
      <c r="AR94" s="54"/>
      <c r="AS94" s="54"/>
      <c r="AT94" s="54"/>
      <c r="AU94" s="54"/>
      <c r="AV94" s="54"/>
      <c r="AW94" s="54"/>
      <c r="AX94" s="54"/>
      <c r="AY94" s="54"/>
      <c r="AZ94" s="54"/>
      <c r="BA94" s="54"/>
      <c r="BB94" s="54"/>
      <c r="BC94" s="54" t="s">
        <v>2434</v>
      </c>
      <c r="BD94" s="54"/>
      <c r="BE94" s="54"/>
      <c r="BF94" s="54"/>
      <c r="BG94" s="54"/>
      <c r="BH94" s="0"/>
      <c r="BI94" s="0"/>
      <c r="BJ94" s="0"/>
      <c r="BK94" s="0"/>
      <c r="BL94" s="0"/>
      <c r="BM94" s="0"/>
      <c r="BN94"/>
      <c r="BO94"/>
      <c r="BP94"/>
      <c r="BQ94"/>
      <c r="BR94"/>
      <c r="BS94"/>
      <c r="BT94"/>
      <c r="BU94"/>
      <c r="BV94"/>
      <c r="BW94"/>
      <c r="BX94"/>
      <c r="BY94"/>
      <c r="BZ94"/>
    </row>
    <row r="95" ht="15.0" customHeight="true">
      <c r="A95" s="51" t="s">
        <v>2435</v>
      </c>
      <c r="B95" s="33"/>
      <c r="C95" s="33" t="s">
        <v>3356</v>
      </c>
      <c r="D95" s="33"/>
      <c r="E95" s="33" t="s">
        <v>3357</v>
      </c>
      <c r="F95" s="33"/>
      <c r="G95" s="55" t="s">
        <v>3358</v>
      </c>
      <c r="H95" s="33"/>
      <c r="I95" s="51" t="s">
        <v>3359</v>
      </c>
      <c r="J95" s="33"/>
      <c r="K95" s="51" t="s">
        <v>3360</v>
      </c>
      <c r="L95" s="33" t="s">
        <v>2441</v>
      </c>
      <c r="M95" s="55" t="s">
        <v>3361</v>
      </c>
      <c r="N95" s="55"/>
      <c r="O95" s="33"/>
      <c r="P95" s="33" t="s">
        <v>2251</v>
      </c>
      <c r="Q95" s="33"/>
      <c r="R95" s="33" t="s">
        <v>2263</v>
      </c>
      <c r="S95" s="56" t="s">
        <v>2277</v>
      </c>
      <c r="T95" s="56"/>
      <c r="U95" s="33" t="s">
        <v>3361</v>
      </c>
      <c r="V95" s="94" t="s">
        <v>2443</v>
      </c>
      <c r="W95" s="94" t="s">
        <v>2557</v>
      </c>
      <c r="X95" s="51"/>
      <c r="Y95" s="51"/>
      <c r="Z95" s="33" t="s">
        <v>2445</v>
      </c>
      <c r="AA95" s="33" t="s">
        <v>2482</v>
      </c>
      <c r="AB95" s="33"/>
      <c r="AC95" s="33" t="s">
        <v>2254</v>
      </c>
      <c r="AD95" s="33"/>
      <c r="AE95" s="33" t="s">
        <v>2267</v>
      </c>
      <c r="AF95" s="33" t="s">
        <v>2447</v>
      </c>
      <c r="AG95" s="33"/>
      <c r="AH95" s="33"/>
      <c r="AI95" s="33" t="s">
        <v>3362</v>
      </c>
      <c r="AJ95" s="94" t="s">
        <v>3363</v>
      </c>
      <c r="AK95" s="33" t="s">
        <v>3364</v>
      </c>
      <c r="AL95" s="33"/>
      <c r="AM95" s="33" t="s">
        <v>2451</v>
      </c>
      <c r="AN95" s="51" t="s">
        <v>3365</v>
      </c>
      <c r="AO95" s="51" t="s">
        <v>188</v>
      </c>
      <c r="AP95" s="33"/>
      <c r="AQ95" s="54"/>
      <c r="AR95" s="54"/>
      <c r="AS95" s="54"/>
      <c r="AT95" s="54"/>
      <c r="AU95" s="54"/>
      <c r="AV95" s="54"/>
      <c r="AW95" s="54"/>
      <c r="AX95" s="54"/>
      <c r="AY95" s="54"/>
      <c r="AZ95" s="54"/>
      <c r="BA95" s="54"/>
      <c r="BB95" s="54"/>
      <c r="BC95" s="54" t="s">
        <v>2434</v>
      </c>
      <c r="BD95" s="54"/>
      <c r="BE95" s="54"/>
      <c r="BF95" s="54"/>
      <c r="BG95" s="54"/>
      <c r="BH95" s="0"/>
      <c r="BI95" s="0"/>
      <c r="BJ95" s="0"/>
      <c r="BK95" s="0"/>
      <c r="BL95" s="0"/>
      <c r="BM95" s="0"/>
      <c r="BN95"/>
      <c r="BO95"/>
      <c r="BP95"/>
      <c r="BQ95"/>
      <c r="BR95"/>
      <c r="BS95"/>
      <c r="BT95"/>
      <c r="BU95"/>
      <c r="BV95"/>
      <c r="BW95"/>
      <c r="BX95"/>
      <c r="BY95"/>
      <c r="BZ95"/>
    </row>
    <row r="96" ht="15.0" customHeight="true">
      <c r="A96" s="51" t="s">
        <v>2435</v>
      </c>
      <c r="B96" s="33"/>
      <c r="C96" s="33" t="s">
        <v>3366</v>
      </c>
      <c r="D96" s="33"/>
      <c r="E96" s="33" t="s">
        <v>3367</v>
      </c>
      <c r="F96" s="33"/>
      <c r="G96" s="55" t="s">
        <v>3368</v>
      </c>
      <c r="H96" s="33"/>
      <c r="I96" s="51" t="s">
        <v>3369</v>
      </c>
      <c r="J96" s="33"/>
      <c r="K96" s="51" t="s">
        <v>3370</v>
      </c>
      <c r="L96" s="33" t="s">
        <v>2441</v>
      </c>
      <c r="M96" s="55" t="s">
        <v>3371</v>
      </c>
      <c r="N96" s="55"/>
      <c r="O96" s="33"/>
      <c r="P96" s="33" t="s">
        <v>2251</v>
      </c>
      <c r="Q96" s="33"/>
      <c r="R96" s="33" t="s">
        <v>2263</v>
      </c>
      <c r="S96" s="56" t="s">
        <v>2277</v>
      </c>
      <c r="T96" s="56"/>
      <c r="U96" s="33" t="s">
        <v>3371</v>
      </c>
      <c r="V96" s="94" t="s">
        <v>2443</v>
      </c>
      <c r="W96" s="94" t="s">
        <v>3035</v>
      </c>
      <c r="X96" s="51"/>
      <c r="Y96" s="51"/>
      <c r="Z96" s="33" t="s">
        <v>2445</v>
      </c>
      <c r="AA96" s="33" t="s">
        <v>2482</v>
      </c>
      <c r="AB96" s="33"/>
      <c r="AC96" s="33" t="s">
        <v>2254</v>
      </c>
      <c r="AD96" s="33"/>
      <c r="AE96" s="33" t="s">
        <v>2267</v>
      </c>
      <c r="AF96" s="33" t="s">
        <v>2447</v>
      </c>
      <c r="AG96" s="33"/>
      <c r="AH96" s="33"/>
      <c r="AI96" s="33" t="s">
        <v>3372</v>
      </c>
      <c r="AJ96" s="94" t="s">
        <v>3373</v>
      </c>
      <c r="AK96" s="33" t="s">
        <v>3374</v>
      </c>
      <c r="AL96" s="33"/>
      <c r="AM96" s="33" t="s">
        <v>3375</v>
      </c>
      <c r="AN96" s="51" t="s">
        <v>2797</v>
      </c>
      <c r="AO96" s="51" t="s">
        <v>188</v>
      </c>
      <c r="AP96" s="33"/>
      <c r="AQ96" s="54"/>
      <c r="AR96" s="54"/>
      <c r="AS96" s="54"/>
      <c r="AT96" s="54"/>
      <c r="AU96" s="54"/>
      <c r="AV96" s="54"/>
      <c r="AW96" s="54"/>
      <c r="AX96" s="54"/>
      <c r="AY96" s="54"/>
      <c r="AZ96" s="54"/>
      <c r="BA96" s="54"/>
      <c r="BB96" s="54"/>
      <c r="BC96" s="54" t="s">
        <v>2434</v>
      </c>
      <c r="BD96" s="54"/>
      <c r="BE96" s="54"/>
      <c r="BF96" s="54"/>
      <c r="BG96" s="54"/>
      <c r="BH96" s="0"/>
      <c r="BI96" s="0"/>
      <c r="BJ96" s="0"/>
      <c r="BK96" s="0"/>
      <c r="BL96" s="0"/>
      <c r="BM96" s="0"/>
      <c r="BN96"/>
      <c r="BO96"/>
      <c r="BP96"/>
      <c r="BQ96"/>
      <c r="BR96"/>
      <c r="BS96"/>
      <c r="BT96"/>
      <c r="BU96"/>
      <c r="BV96"/>
      <c r="BW96"/>
      <c r="BX96"/>
      <c r="BY96"/>
      <c r="BZ96"/>
    </row>
    <row r="97" ht="15.0" customHeight="true">
      <c r="A97" s="51" t="s">
        <v>2435</v>
      </c>
      <c r="B97" s="33"/>
      <c r="C97" s="33" t="s">
        <v>3376</v>
      </c>
      <c r="D97" s="33"/>
      <c r="E97" s="33" t="s">
        <v>3377</v>
      </c>
      <c r="F97" s="33"/>
      <c r="G97" s="55" t="s">
        <v>3378</v>
      </c>
      <c r="H97" s="33" t="s">
        <v>2247</v>
      </c>
      <c r="I97" s="51" t="s">
        <v>3379</v>
      </c>
      <c r="J97" s="33"/>
      <c r="K97" s="51" t="s">
        <v>3380</v>
      </c>
      <c r="L97" s="33" t="s">
        <v>2458</v>
      </c>
      <c r="M97" s="55" t="s">
        <v>2459</v>
      </c>
      <c r="N97" s="55" t="s">
        <v>2459</v>
      </c>
      <c r="O97" s="33" t="s">
        <v>2272</v>
      </c>
      <c r="P97" s="33" t="s">
        <v>2262</v>
      </c>
      <c r="Q97" s="33"/>
      <c r="R97" s="33" t="s">
        <v>2263</v>
      </c>
      <c r="S97" s="56" t="s">
        <v>2277</v>
      </c>
      <c r="T97" s="56"/>
      <c r="U97" s="33" t="s">
        <v>2459</v>
      </c>
      <c r="V97" s="94" t="s">
        <v>2443</v>
      </c>
      <c r="W97" s="94" t="s">
        <v>2444</v>
      </c>
      <c r="X97" s="51"/>
      <c r="Y97" s="51"/>
      <c r="Z97" s="33" t="s">
        <v>2445</v>
      </c>
      <c r="AA97" s="33" t="s">
        <v>2446</v>
      </c>
      <c r="AB97" s="33"/>
      <c r="AC97" s="33" t="s">
        <v>2254</v>
      </c>
      <c r="AD97" s="33"/>
      <c r="AE97" s="33" t="s">
        <v>2267</v>
      </c>
      <c r="AF97" s="33" t="s">
        <v>2447</v>
      </c>
      <c r="AG97" s="33"/>
      <c r="AH97" s="33"/>
      <c r="AI97" s="33" t="s">
        <v>3381</v>
      </c>
      <c r="AJ97" s="94" t="s">
        <v>3382</v>
      </c>
      <c r="AK97" s="33" t="s">
        <v>3383</v>
      </c>
      <c r="AL97" s="33"/>
      <c r="AM97" s="33" t="s">
        <v>3384</v>
      </c>
      <c r="AN97" s="51" t="s">
        <v>3385</v>
      </c>
      <c r="AO97" s="51" t="s">
        <v>188</v>
      </c>
      <c r="AP97" s="33"/>
      <c r="AQ97" s="54"/>
      <c r="AR97" s="54"/>
      <c r="AS97" s="54"/>
      <c r="AT97" s="54"/>
      <c r="AU97" s="54"/>
      <c r="AV97" s="54"/>
      <c r="AW97" s="54"/>
      <c r="AX97" s="54"/>
      <c r="AY97" s="54"/>
      <c r="AZ97" s="54"/>
      <c r="BA97" s="54"/>
      <c r="BB97" s="54"/>
      <c r="BC97" s="54"/>
      <c r="BD97" s="54"/>
      <c r="BE97" s="54"/>
      <c r="BF97" s="54"/>
      <c r="BG97" s="54"/>
      <c r="BH97" s="0"/>
      <c r="BI97" s="0"/>
      <c r="BJ97" s="0"/>
      <c r="BK97" s="0"/>
      <c r="BL97" s="0"/>
      <c r="BM97" s="0"/>
      <c r="BN97"/>
      <c r="BO97"/>
      <c r="BP97"/>
      <c r="BQ97"/>
      <c r="BR97"/>
      <c r="BS97"/>
      <c r="BT97"/>
      <c r="BU97"/>
      <c r="BV97"/>
      <c r="BW97"/>
      <c r="BX97"/>
      <c r="BY97"/>
      <c r="BZ97"/>
    </row>
    <row r="98" ht="15.0" customHeight="true">
      <c r="A98" s="51" t="s">
        <v>2435</v>
      </c>
      <c r="B98" s="33"/>
      <c r="C98" s="33" t="s">
        <v>3386</v>
      </c>
      <c r="D98" s="33"/>
      <c r="E98" s="33" t="s">
        <v>3387</v>
      </c>
      <c r="F98" s="33"/>
      <c r="G98" s="55" t="s">
        <v>3388</v>
      </c>
      <c r="H98" s="33" t="s">
        <v>2247</v>
      </c>
      <c r="I98" s="51" t="s">
        <v>3389</v>
      </c>
      <c r="J98" s="33"/>
      <c r="K98" s="51" t="s">
        <v>3390</v>
      </c>
      <c r="L98" s="33" t="s">
        <v>2458</v>
      </c>
      <c r="M98" s="55" t="s">
        <v>3391</v>
      </c>
      <c r="N98" s="55" t="s">
        <v>3392</v>
      </c>
      <c r="O98" s="33" t="s">
        <v>2271</v>
      </c>
      <c r="P98" s="33" t="s">
        <v>2251</v>
      </c>
      <c r="Q98" s="33"/>
      <c r="R98" s="33" t="s">
        <v>2263</v>
      </c>
      <c r="S98" s="56" t="s">
        <v>2277</v>
      </c>
      <c r="T98" s="56"/>
      <c r="U98" s="33" t="s">
        <v>3391</v>
      </c>
      <c r="V98" s="94" t="s">
        <v>2443</v>
      </c>
      <c r="W98" s="94" t="s">
        <v>2444</v>
      </c>
      <c r="X98" s="51"/>
      <c r="Y98" s="51"/>
      <c r="Z98" s="33" t="s">
        <v>2445</v>
      </c>
      <c r="AA98" s="33" t="s">
        <v>2446</v>
      </c>
      <c r="AB98" s="33"/>
      <c r="AC98" s="33" t="s">
        <v>2254</v>
      </c>
      <c r="AD98" s="33"/>
      <c r="AE98" s="33" t="s">
        <v>2267</v>
      </c>
      <c r="AF98" s="33" t="s">
        <v>2447</v>
      </c>
      <c r="AG98" s="33"/>
      <c r="AH98" s="33"/>
      <c r="AI98" s="33" t="s">
        <v>3393</v>
      </c>
      <c r="AJ98" s="94" t="s">
        <v>3394</v>
      </c>
      <c r="AK98" s="33" t="s">
        <v>3395</v>
      </c>
      <c r="AL98" s="33"/>
      <c r="AM98" s="33" t="s">
        <v>2549</v>
      </c>
      <c r="AN98" s="51" t="s">
        <v>2654</v>
      </c>
      <c r="AO98" s="51" t="s">
        <v>188</v>
      </c>
      <c r="AP98" s="33"/>
      <c r="AQ98" s="54"/>
      <c r="AR98" s="54"/>
      <c r="AS98" s="54"/>
      <c r="AT98" s="54"/>
      <c r="AU98" s="54"/>
      <c r="AV98" s="54"/>
      <c r="AW98" s="54"/>
      <c r="AX98" s="54"/>
      <c r="AY98" s="54"/>
      <c r="AZ98" s="54"/>
      <c r="BA98" s="54"/>
      <c r="BB98" s="54"/>
      <c r="BC98" s="54"/>
      <c r="BD98" s="54"/>
      <c r="BE98" s="54"/>
      <c r="BF98" s="54"/>
      <c r="BG98" s="54"/>
      <c r="BH98" s="0"/>
      <c r="BI98" s="0"/>
      <c r="BJ98" s="0"/>
      <c r="BK98" s="0"/>
      <c r="BL98" s="0"/>
      <c r="BM98" s="0"/>
      <c r="BN98"/>
      <c r="BO98"/>
      <c r="BP98"/>
      <c r="BQ98"/>
      <c r="BR98"/>
      <c r="BS98"/>
      <c r="BT98"/>
      <c r="BU98"/>
      <c r="BV98"/>
      <c r="BW98"/>
      <c r="BX98"/>
      <c r="BY98"/>
      <c r="BZ98"/>
    </row>
    <row r="99" ht="15.0" customHeight="true">
      <c r="A99" s="51" t="s">
        <v>2435</v>
      </c>
      <c r="B99" s="33"/>
      <c r="C99" s="33" t="s">
        <v>3396</v>
      </c>
      <c r="D99" s="33"/>
      <c r="E99" s="33" t="s">
        <v>3397</v>
      </c>
      <c r="F99" s="33"/>
      <c r="G99" s="55" t="s">
        <v>3398</v>
      </c>
      <c r="H99" s="33"/>
      <c r="I99" s="51" t="s">
        <v>3399</v>
      </c>
      <c r="J99" s="33"/>
      <c r="K99" s="51" t="s">
        <v>3400</v>
      </c>
      <c r="L99" s="33" t="s">
        <v>2441</v>
      </c>
      <c r="M99" s="55" t="s">
        <v>3401</v>
      </c>
      <c r="N99" s="55"/>
      <c r="O99" s="33"/>
      <c r="P99" s="33" t="s">
        <v>2251</v>
      </c>
      <c r="Q99" s="33"/>
      <c r="R99" s="33" t="s">
        <v>2263</v>
      </c>
      <c r="S99" s="56" t="s">
        <v>2277</v>
      </c>
      <c r="T99" s="56"/>
      <c r="U99" s="33" t="s">
        <v>3401</v>
      </c>
      <c r="V99" s="94" t="s">
        <v>2443</v>
      </c>
      <c r="W99" s="94" t="s">
        <v>2494</v>
      </c>
      <c r="X99" s="51"/>
      <c r="Y99" s="51"/>
      <c r="Z99" s="33" t="s">
        <v>2445</v>
      </c>
      <c r="AA99" s="33" t="s">
        <v>2593</v>
      </c>
      <c r="AB99" s="33"/>
      <c r="AC99" s="33" t="s">
        <v>2254</v>
      </c>
      <c r="AD99" s="33"/>
      <c r="AE99" s="33" t="s">
        <v>2267</v>
      </c>
      <c r="AF99" s="33" t="s">
        <v>2447</v>
      </c>
      <c r="AG99" s="33"/>
      <c r="AH99" s="33"/>
      <c r="AI99" s="33" t="s">
        <v>3402</v>
      </c>
      <c r="AJ99" s="94" t="s">
        <v>3403</v>
      </c>
      <c r="AK99" s="33" t="s">
        <v>3404</v>
      </c>
      <c r="AL99" s="33"/>
      <c r="AM99" s="33" t="s">
        <v>3405</v>
      </c>
      <c r="AN99" s="51" t="s">
        <v>3406</v>
      </c>
      <c r="AO99" s="51" t="s">
        <v>188</v>
      </c>
      <c r="AP99" s="33"/>
      <c r="AQ99" s="54"/>
      <c r="AR99" s="54"/>
      <c r="AS99" s="54"/>
      <c r="AT99" s="54"/>
      <c r="AU99" s="54"/>
      <c r="AV99" s="54"/>
      <c r="AW99" s="54"/>
      <c r="AX99" s="54"/>
      <c r="AY99" s="54"/>
      <c r="AZ99" s="54"/>
      <c r="BA99" s="54"/>
      <c r="BB99" s="54"/>
      <c r="BC99" s="54" t="s">
        <v>2586</v>
      </c>
      <c r="BD99" s="54"/>
      <c r="BE99" s="54"/>
      <c r="BF99" s="54"/>
      <c r="BG99" s="54"/>
      <c r="BH99" s="0"/>
      <c r="BI99" s="0"/>
      <c r="BJ99" s="0"/>
      <c r="BK99" s="0"/>
      <c r="BL99" s="0"/>
      <c r="BM99" s="0"/>
      <c r="BN99"/>
      <c r="BO99"/>
      <c r="BP99"/>
      <c r="BQ99"/>
      <c r="BR99"/>
      <c r="BS99"/>
      <c r="BT99"/>
      <c r="BU99"/>
      <c r="BV99"/>
      <c r="BW99"/>
      <c r="BX99"/>
      <c r="BY99"/>
      <c r="BZ99"/>
    </row>
    <row r="100" ht="15.0" customHeight="true">
      <c r="A100" s="51" t="s">
        <v>2435</v>
      </c>
      <c r="B100" s="33"/>
      <c r="C100" s="33" t="s">
        <v>3407</v>
      </c>
      <c r="D100" s="33"/>
      <c r="E100" s="33" t="s">
        <v>3408</v>
      </c>
      <c r="F100" s="33"/>
      <c r="G100" s="55" t="s">
        <v>3409</v>
      </c>
      <c r="H100" s="33"/>
      <c r="I100" s="51" t="s">
        <v>3410</v>
      </c>
      <c r="J100" s="33"/>
      <c r="K100" s="51" t="s">
        <v>3411</v>
      </c>
      <c r="L100" s="33" t="s">
        <v>2441</v>
      </c>
      <c r="M100" s="55" t="s">
        <v>2843</v>
      </c>
      <c r="N100" s="55"/>
      <c r="O100" s="33"/>
      <c r="P100" s="33" t="s">
        <v>2251</v>
      </c>
      <c r="Q100" s="33"/>
      <c r="R100" s="33" t="s">
        <v>2263</v>
      </c>
      <c r="S100" s="56" t="s">
        <v>2277</v>
      </c>
      <c r="T100" s="56"/>
      <c r="U100" s="33" t="s">
        <v>2843</v>
      </c>
      <c r="V100" s="94" t="s">
        <v>2443</v>
      </c>
      <c r="W100" s="94" t="s">
        <v>2444</v>
      </c>
      <c r="X100" s="51"/>
      <c r="Y100" s="51"/>
      <c r="Z100" s="33" t="s">
        <v>2445</v>
      </c>
      <c r="AA100" s="33" t="s">
        <v>2446</v>
      </c>
      <c r="AB100" s="33"/>
      <c r="AC100" s="33" t="s">
        <v>2254</v>
      </c>
      <c r="AD100" s="33"/>
      <c r="AE100" s="33" t="s">
        <v>2267</v>
      </c>
      <c r="AF100" s="33" t="s">
        <v>2447</v>
      </c>
      <c r="AG100" s="33"/>
      <c r="AH100" s="33"/>
      <c r="AI100" s="33" t="s">
        <v>3412</v>
      </c>
      <c r="AJ100" s="94" t="s">
        <v>3413</v>
      </c>
      <c r="AK100" s="33" t="s">
        <v>3414</v>
      </c>
      <c r="AL100" s="33"/>
      <c r="AM100" s="33" t="s">
        <v>3415</v>
      </c>
      <c r="AN100" s="51" t="s">
        <v>3416</v>
      </c>
      <c r="AO100" s="51" t="s">
        <v>188</v>
      </c>
      <c r="AP100" s="33"/>
      <c r="AQ100" s="54"/>
      <c r="AR100" s="54"/>
      <c r="AS100" s="54"/>
      <c r="AT100" s="54"/>
      <c r="AU100" s="54"/>
      <c r="AV100" s="54"/>
      <c r="AW100" s="54"/>
      <c r="AX100" s="54"/>
      <c r="AY100" s="54"/>
      <c r="AZ100" s="54"/>
      <c r="BA100" s="54"/>
      <c r="BB100" s="54"/>
      <c r="BC100" s="54" t="s">
        <v>2434</v>
      </c>
      <c r="BD100" s="54"/>
      <c r="BE100" s="54"/>
      <c r="BF100" s="54"/>
      <c r="BG100" s="54"/>
      <c r="BH100" s="0"/>
      <c r="BI100" s="0"/>
      <c r="BJ100" s="0"/>
      <c r="BK100" s="0"/>
      <c r="BL100" s="0"/>
      <c r="BM100" s="0"/>
      <c r="BN100"/>
      <c r="BO100"/>
      <c r="BP100"/>
      <c r="BQ100"/>
      <c r="BR100"/>
      <c r="BS100"/>
      <c r="BT100"/>
      <c r="BU100"/>
      <c r="BV100"/>
      <c r="BW100"/>
      <c r="BX100"/>
      <c r="BY100"/>
      <c r="BZ100"/>
    </row>
    <row r="101" spans="1:57" x14ac:dyDescent="0.35" ht="15.0" customHeight="true">
      <c r="A101" s="51"/>
      <c r="F101" s="33"/>
      <c r="H101" s="33"/>
      <c r="I101" s="51"/>
      <c r="J101" s="33"/>
      <c r="K101" s="51"/>
      <c r="L101" s="33"/>
      <c r="T101" s="56"/>
      <c r="X101" s="51"/>
      <c r="Y101" s="51"/>
      <c r="AM101" s="33"/>
      <c r="AN101" s="51"/>
      <c r="AQ101" s="51"/>
      <c r="AR101" s="54"/>
      <c r="AS101" s="54"/>
      <c r="AT101" s="54"/>
      <c r="AU101" s="34"/>
      <c r="AV101" s="34"/>
      <c r="AW101" s="34"/>
      <c r="AX101" s="34"/>
      <c r="AY101" s="34"/>
      <c r="AZ101" s="44"/>
      <c r="BA101" s="34"/>
      <c r="BB101" s="34"/>
    </row>
    <row r="102" spans="1:57" x14ac:dyDescent="0.35" ht="15.0" customHeight="true">
      <c r="A102" s="51"/>
      <c r="F102" s="33"/>
      <c r="H102" s="33"/>
      <c r="I102" s="51"/>
      <c r="J102" s="33"/>
      <c r="K102" s="51"/>
      <c r="L102" s="33"/>
      <c r="T102" s="56"/>
      <c r="X102" s="51"/>
      <c r="Y102" s="51"/>
      <c r="AM102" s="33"/>
      <c r="AN102" s="51"/>
      <c r="AQ102" s="51"/>
      <c r="AR102" s="54"/>
      <c r="AS102" s="54"/>
      <c r="AT102" s="54"/>
      <c r="AU102" s="34"/>
      <c r="AV102" s="34"/>
      <c r="AW102" s="34"/>
      <c r="AX102" s="34"/>
      <c r="AY102" s="34"/>
      <c r="AZ102" s="44"/>
      <c r="BA102" s="34"/>
      <c r="BB102" s="34"/>
    </row>
    <row r="103" spans="1:57" x14ac:dyDescent="0.35" ht="15.0" customHeight="true">
      <c r="A103" s="51"/>
      <c r="F103" s="33"/>
      <c r="H103" s="33"/>
      <c r="I103" s="51"/>
      <c r="J103" s="33"/>
      <c r="K103" s="51"/>
      <c r="L103" s="33"/>
      <c r="T103" s="56"/>
      <c r="X103" s="51"/>
      <c r="Y103" s="51"/>
      <c r="AM103" s="33"/>
      <c r="AN103" s="51"/>
      <c r="AQ103" s="51"/>
      <c r="AR103" s="54"/>
      <c r="AS103" s="54"/>
      <c r="AT103" s="54"/>
      <c r="AU103" s="34"/>
      <c r="AV103" s="34"/>
      <c r="AW103" s="34"/>
      <c r="AX103" s="34"/>
      <c r="AY103" s="34"/>
      <c r="AZ103" s="44"/>
      <c r="BA103" s="34"/>
      <c r="BB103" s="34"/>
    </row>
    <row r="104" spans="1:57" x14ac:dyDescent="0.35" ht="15.0" customHeight="true">
      <c r="A104" s="51"/>
      <c r="F104" s="33"/>
      <c r="H104" s="33"/>
      <c r="I104" s="51"/>
      <c r="J104" s="33"/>
      <c r="K104" s="51"/>
      <c r="L104" s="33"/>
      <c r="T104" s="56"/>
      <c r="X104" s="51"/>
      <c r="Y104" s="51"/>
      <c r="AM104" s="33"/>
      <c r="AN104" s="51"/>
      <c r="AQ104" s="51"/>
      <c r="AR104" s="54"/>
      <c r="AS104" s="54"/>
      <c r="AT104" s="54"/>
      <c r="AU104" s="34"/>
      <c r="AV104" s="34"/>
      <c r="AW104" s="34"/>
      <c r="AX104" s="34"/>
      <c r="AY104" s="34"/>
      <c r="AZ104" s="44"/>
      <c r="BA104" s="34"/>
      <c r="BB104" s="34"/>
    </row>
    <row r="105" spans="1:57" x14ac:dyDescent="0.35" ht="15.0" customHeight="true">
      <c r="A105" s="51"/>
      <c r="F105" s="33"/>
      <c r="H105" s="33"/>
      <c r="I105" s="51"/>
      <c r="J105" s="33"/>
      <c r="K105" s="51"/>
      <c r="L105" s="33"/>
      <c r="T105" s="56"/>
      <c r="X105" s="51"/>
      <c r="Y105" s="51"/>
      <c r="AM105" s="33"/>
      <c r="AN105" s="51"/>
      <c r="AQ105" s="51"/>
      <c r="AR105" s="54"/>
      <c r="AS105" s="54"/>
      <c r="AT105" s="54"/>
      <c r="AU105" s="34"/>
      <c r="AV105" s="34"/>
      <c r="AW105" s="34"/>
      <c r="AX105" s="34"/>
      <c r="AY105" s="34"/>
      <c r="AZ105" s="44"/>
      <c r="BA105" s="34"/>
      <c r="BB105" s="34"/>
    </row>
    <row r="106" spans="1:57" x14ac:dyDescent="0.35" ht="15.0" customHeight="true">
      <c r="A106" s="51"/>
      <c r="F106" s="33"/>
      <c r="H106" s="33"/>
      <c r="I106" s="51"/>
      <c r="J106" s="33"/>
      <c r="K106" s="51"/>
      <c r="L106" s="33"/>
      <c r="T106" s="56"/>
      <c r="X106" s="51"/>
      <c r="Y106" s="51"/>
      <c r="AM106" s="33"/>
      <c r="AN106" s="51"/>
      <c r="AQ106" s="51"/>
      <c r="AR106" s="54"/>
      <c r="AS106" s="54"/>
      <c r="AT106" s="54"/>
      <c r="AU106" s="34"/>
      <c r="AV106" s="34"/>
      <c r="AW106" s="34"/>
      <c r="AX106" s="34"/>
      <c r="AY106" s="34"/>
      <c r="AZ106" s="44"/>
      <c r="BA106" s="34"/>
      <c r="BB106" s="34"/>
    </row>
    <row r="107" spans="1:57" x14ac:dyDescent="0.35" ht="15.0" customHeight="true">
      <c r="A107" s="51"/>
      <c r="F107" s="33"/>
      <c r="H107" s="33"/>
      <c r="I107" s="51"/>
      <c r="J107" s="33"/>
      <c r="K107" s="51"/>
      <c r="L107" s="33"/>
      <c r="T107" s="56"/>
      <c r="X107" s="51"/>
      <c r="Y107" s="51"/>
      <c r="AM107" s="33"/>
      <c r="AN107" s="51"/>
      <c r="AQ107" s="51"/>
      <c r="AR107" s="54"/>
      <c r="AS107" s="54"/>
      <c r="AT107" s="54"/>
      <c r="AU107" s="34"/>
      <c r="AV107" s="34"/>
      <c r="AW107" s="34"/>
      <c r="AX107" s="34"/>
      <c r="AY107" s="34"/>
      <c r="AZ107" s="44"/>
      <c r="BA107" s="34"/>
      <c r="BB107" s="34"/>
    </row>
    <row r="108" spans="1:57" x14ac:dyDescent="0.35" ht="15.0" customHeight="true">
      <c r="A108" s="51"/>
      <c r="F108" s="33"/>
      <c r="H108" s="33"/>
      <c r="I108" s="51"/>
      <c r="J108" s="33"/>
      <c r="K108" s="51"/>
      <c r="L108" s="33"/>
      <c r="T108" s="56"/>
      <c r="X108" s="51"/>
      <c r="Y108" s="51"/>
      <c r="AM108" s="33"/>
      <c r="AN108" s="51"/>
      <c r="AQ108" s="51"/>
      <c r="AR108" s="54"/>
      <c r="AS108" s="54"/>
      <c r="AT108" s="54"/>
      <c r="AU108" s="34"/>
      <c r="AV108" s="34"/>
      <c r="AW108" s="34"/>
      <c r="AX108" s="34"/>
      <c r="AY108" s="34"/>
      <c r="AZ108" s="44"/>
      <c r="BA108" s="34"/>
      <c r="BB108" s="34"/>
    </row>
    <row r="109" spans="1:57" x14ac:dyDescent="0.35" ht="15.0" customHeight="true">
      <c r="A109" s="51"/>
      <c r="F109" s="33"/>
      <c r="H109" s="33"/>
      <c r="I109" s="51"/>
      <c r="J109" s="33"/>
      <c r="K109" s="51"/>
      <c r="L109" s="33"/>
      <c r="T109" s="56"/>
      <c r="X109" s="51"/>
      <c r="Y109" s="51"/>
      <c r="AM109" s="33"/>
      <c r="AN109" s="51"/>
      <c r="AQ109" s="51"/>
      <c r="AR109" s="54"/>
      <c r="AS109" s="54"/>
      <c r="AT109" s="54"/>
      <c r="AU109" s="34"/>
      <c r="AV109" s="34"/>
      <c r="AW109" s="34"/>
      <c r="AX109" s="34"/>
      <c r="AY109" s="34"/>
      <c r="AZ109" s="44"/>
      <c r="BA109" s="34"/>
      <c r="BB109" s="34"/>
    </row>
    <row r="110" spans="1:54" x14ac:dyDescent="0.35" ht="15.0" customHeight="true">
      <c r="A110" s="51"/>
      <c r="F110" s="33"/>
      <c r="H110" s="33"/>
      <c r="I110" s="51"/>
      <c r="J110" s="33"/>
      <c r="K110" s="51"/>
      <c r="L110" s="33"/>
      <c r="T110" s="56"/>
      <c r="X110" s="51"/>
      <c r="Y110" s="51"/>
      <c r="AM110" s="33"/>
      <c r="AN110" s="51"/>
      <c r="AQ110" s="51"/>
      <c r="AR110" s="54"/>
      <c r="AS110" s="54"/>
      <c r="AT110" s="54"/>
      <c r="AU110" s="34"/>
      <c r="AV110" s="34"/>
      <c r="AW110" s="34"/>
      <c r="AX110" s="34"/>
      <c r="AY110" s="34"/>
      <c r="AZ110" s="44"/>
      <c r="BA110" s="34"/>
      <c r="BB110" s="34"/>
    </row>
    <row r="111" spans="1:54" x14ac:dyDescent="0.35" ht="15.0" customHeight="true">
      <c r="A111" s="51"/>
      <c r="F111" s="33"/>
      <c r="H111" s="33"/>
      <c r="I111" s="51"/>
      <c r="J111" s="33"/>
      <c r="K111" s="51"/>
      <c r="L111" s="33"/>
      <c r="T111" s="56"/>
      <c r="X111" s="51"/>
      <c r="Y111" s="51"/>
      <c r="AM111" s="33"/>
      <c r="AN111" s="51"/>
      <c r="AQ111" s="51"/>
      <c r="AR111" s="54"/>
      <c r="AS111" s="54"/>
      <c r="AT111" s="54"/>
      <c r="AU111" s="34"/>
      <c r="AV111" s="34"/>
      <c r="AW111" s="34"/>
      <c r="AX111" s="34"/>
      <c r="AY111" s="34"/>
      <c r="AZ111" s="44"/>
      <c r="BA111" s="34"/>
      <c r="BB111" s="34"/>
    </row>
    <row r="112" spans="1:54" x14ac:dyDescent="0.35" ht="15.0" customHeight="true">
      <c r="A112" s="51"/>
      <c r="F112" s="33"/>
      <c r="H112" s="33"/>
      <c r="I112" s="51"/>
      <c r="J112" s="33"/>
      <c r="K112" s="51"/>
      <c r="L112" s="33"/>
      <c r="T112" s="56"/>
      <c r="X112" s="51"/>
      <c r="Y112" s="51"/>
      <c r="AM112" s="33"/>
      <c r="AN112" s="51"/>
      <c r="AQ112" s="51"/>
      <c r="AR112" s="54"/>
      <c r="AS112" s="54"/>
      <c r="AT112" s="54"/>
      <c r="AU112" s="34"/>
      <c r="AV112" s="34"/>
      <c r="AW112" s="34"/>
      <c r="AX112" s="34"/>
      <c r="AY112" s="34"/>
      <c r="AZ112" s="44"/>
      <c r="BA112" s="34"/>
      <c r="BB112" s="34"/>
    </row>
    <row r="113" spans="1:54" x14ac:dyDescent="0.35" ht="15.0" customHeight="true">
      <c r="A113" s="51"/>
      <c r="F113" s="33"/>
      <c r="H113" s="33"/>
      <c r="I113" s="51"/>
      <c r="J113" s="33"/>
      <c r="K113" s="51"/>
      <c r="L113" s="33"/>
      <c r="T113" s="56"/>
      <c r="X113" s="51"/>
      <c r="Y113" s="51"/>
      <c r="AM113" s="33"/>
      <c r="AN113" s="51"/>
      <c r="AQ113" s="51"/>
      <c r="AR113" s="54"/>
      <c r="AS113" s="54"/>
      <c r="AT113" s="54"/>
      <c r="AU113" s="34"/>
      <c r="AV113" s="34"/>
      <c r="AW113" s="34"/>
      <c r="AX113" s="34"/>
      <c r="AY113" s="34"/>
      <c r="AZ113" s="44"/>
      <c r="BA113" s="34"/>
      <c r="BB113" s="34"/>
    </row>
    <row r="114" spans="1:54" x14ac:dyDescent="0.35" ht="15.0" customHeight="true">
      <c r="A114" s="51"/>
      <c r="F114" s="33"/>
      <c r="H114" s="33"/>
      <c r="I114" s="51"/>
      <c r="J114" s="33"/>
      <c r="K114" s="51"/>
      <c r="L114" s="33"/>
      <c r="T114" s="56"/>
      <c r="X114" s="51"/>
      <c r="Y114" s="51"/>
      <c r="AM114" s="33"/>
      <c r="AN114" s="51"/>
      <c r="AQ114" s="51"/>
      <c r="AR114" s="54"/>
      <c r="AS114" s="54"/>
      <c r="AT114" s="54"/>
      <c r="AU114" s="34"/>
      <c r="AV114" s="34"/>
      <c r="AW114" s="34"/>
      <c r="AX114" s="34"/>
      <c r="AY114" s="34"/>
      <c r="AZ114" s="44"/>
      <c r="BA114" s="34"/>
      <c r="BB114" s="34"/>
    </row>
    <row r="115" spans="1:54" x14ac:dyDescent="0.35" ht="15.0" customHeight="true">
      <c r="A115" s="51"/>
      <c r="F115" s="33"/>
      <c r="H115" s="33"/>
      <c r="I115" s="51"/>
      <c r="J115" s="33"/>
      <c r="K115" s="51"/>
      <c r="L115" s="33"/>
      <c r="T115" s="56"/>
      <c r="X115" s="51"/>
      <c r="Y115" s="51"/>
      <c r="AM115" s="33"/>
      <c r="AN115" s="51"/>
      <c r="AQ115" s="51"/>
      <c r="AR115" s="54"/>
      <c r="AS115" s="54"/>
      <c r="AT115" s="54"/>
      <c r="AU115" s="34"/>
      <c r="AV115" s="34"/>
      <c r="AW115" s="34"/>
      <c r="AX115" s="34"/>
      <c r="AY115" s="34"/>
      <c r="AZ115" s="44"/>
      <c r="BA115" s="34"/>
      <c r="BB115" s="34"/>
    </row>
    <row r="116" spans="1:54" x14ac:dyDescent="0.35" ht="15.0" customHeight="true">
      <c r="A116" s="51"/>
      <c r="F116" s="33"/>
      <c r="H116" s="33"/>
      <c r="I116" s="51"/>
      <c r="J116" s="33"/>
      <c r="K116" s="51"/>
      <c r="L116" s="33"/>
      <c r="T116" s="56"/>
      <c r="X116" s="51"/>
      <c r="Y116" s="51"/>
      <c r="AM116" s="33"/>
      <c r="AN116" s="51"/>
      <c r="AQ116" s="51"/>
      <c r="AR116" s="54"/>
      <c r="AS116" s="54"/>
      <c r="AT116" s="54"/>
      <c r="AU116" s="34"/>
      <c r="AV116" s="34"/>
      <c r="AW116" s="34"/>
      <c r="AX116" s="34"/>
      <c r="AY116" s="34"/>
      <c r="AZ116" s="44"/>
      <c r="BA116" s="34"/>
      <c r="BB116" s="34"/>
    </row>
    <row r="117" spans="1:54" x14ac:dyDescent="0.35" ht="15.0" customHeight="true">
      <c r="A117" s="51"/>
      <c r="F117" s="33"/>
      <c r="H117" s="33"/>
      <c r="I117" s="51"/>
      <c r="J117" s="33"/>
      <c r="K117" s="51"/>
      <c r="L117" s="33"/>
      <c r="T117" s="56"/>
      <c r="X117" s="51"/>
      <c r="Y117" s="51"/>
      <c r="AM117" s="33"/>
      <c r="AN117" s="51"/>
      <c r="AQ117" s="51"/>
      <c r="AR117" s="54"/>
      <c r="AS117" s="54"/>
      <c r="AT117" s="54"/>
      <c r="AU117" s="34"/>
      <c r="AV117" s="34"/>
      <c r="AW117" s="34"/>
      <c r="AX117" s="34"/>
      <c r="AY117" s="34"/>
      <c r="AZ117" s="44"/>
      <c r="BA117" s="34"/>
      <c r="BB117" s="34"/>
    </row>
    <row r="118" spans="1:54" x14ac:dyDescent="0.35" ht="15.0" customHeight="true">
      <c r="A118" s="51"/>
      <c r="F118" s="33"/>
      <c r="H118" s="33"/>
      <c r="I118" s="51"/>
      <c r="J118" s="33"/>
      <c r="K118" s="51"/>
      <c r="L118" s="33"/>
      <c r="T118" s="56"/>
      <c r="X118" s="51"/>
      <c r="Y118" s="51"/>
      <c r="AM118" s="33"/>
      <c r="AN118" s="51"/>
      <c r="AQ118" s="51"/>
      <c r="AR118" s="54"/>
      <c r="AS118" s="54"/>
      <c r="AT118" s="54"/>
      <c r="AU118" s="34"/>
      <c r="AV118" s="34"/>
      <c r="AW118" s="34"/>
      <c r="AX118" s="34"/>
      <c r="AY118" s="34"/>
      <c r="AZ118" s="44"/>
      <c r="BA118" s="34"/>
      <c r="BB118" s="34"/>
    </row>
    <row r="119" spans="1:54" x14ac:dyDescent="0.35" ht="15.0" customHeight="true">
      <c r="A119" s="51"/>
      <c r="F119" s="33"/>
      <c r="H119" s="33"/>
      <c r="I119" s="51"/>
      <c r="J119" s="33"/>
      <c r="K119" s="51"/>
      <c r="L119" s="33"/>
      <c r="T119" s="56"/>
      <c r="X119" s="51"/>
      <c r="Y119" s="51"/>
      <c r="AM119" s="33"/>
      <c r="AN119" s="51"/>
      <c r="AQ119" s="51"/>
      <c r="AR119" s="54"/>
      <c r="AS119" s="54"/>
      <c r="AT119" s="54"/>
      <c r="AU119" s="34"/>
      <c r="AV119" s="34"/>
      <c r="AW119" s="34"/>
      <c r="AX119" s="34"/>
      <c r="AY119" s="34"/>
      <c r="AZ119" s="44"/>
      <c r="BA119" s="34"/>
      <c r="BB119" s="34"/>
    </row>
    <row r="120" spans="1:54" x14ac:dyDescent="0.35" ht="15.0" customHeight="true">
      <c r="A120" s="51"/>
      <c r="F120" s="33"/>
      <c r="H120" s="33"/>
      <c r="I120" s="51"/>
      <c r="J120" s="33"/>
      <c r="K120" s="51"/>
      <c r="L120" s="33"/>
      <c r="T120" s="56"/>
      <c r="X120" s="51"/>
      <c r="Y120" s="51"/>
      <c r="AM120" s="33"/>
      <c r="AN120" s="51"/>
      <c r="AQ120" s="51"/>
      <c r="AR120" s="54"/>
      <c r="AS120" s="54"/>
      <c r="AT120" s="54"/>
      <c r="AU120" s="34"/>
      <c r="AV120" s="34"/>
      <c r="AW120" s="34"/>
      <c r="AX120" s="34"/>
      <c r="AY120" s="34"/>
      <c r="AZ120" s="44"/>
      <c r="BA120" s="34"/>
      <c r="BB120" s="34"/>
    </row>
    <row r="121" spans="1:54" x14ac:dyDescent="0.35" ht="15.0" customHeight="true">
      <c r="A121" s="51"/>
      <c r="F121" s="33"/>
      <c r="H121" s="33"/>
      <c r="I121" s="51"/>
      <c r="J121" s="33"/>
      <c r="K121" s="51"/>
      <c r="L121" s="33"/>
      <c r="T121" s="56"/>
      <c r="X121" s="51"/>
      <c r="Y121" s="51"/>
      <c r="AM121" s="33"/>
      <c r="AN121" s="51"/>
      <c r="AQ121" s="51"/>
      <c r="AR121" s="54"/>
      <c r="AS121" s="54"/>
      <c r="AT121" s="54"/>
      <c r="AU121" s="34"/>
      <c r="AV121" s="34"/>
      <c r="AW121" s="34"/>
      <c r="AX121" s="34"/>
      <c r="AY121" s="34"/>
      <c r="AZ121" s="44"/>
      <c r="BA121" s="34"/>
      <c r="BB121" s="34"/>
    </row>
    <row r="122" spans="1:54" x14ac:dyDescent="0.35" ht="15.0" customHeight="true">
      <c r="A122" s="51"/>
      <c r="F122" s="33"/>
      <c r="H122" s="33"/>
      <c r="I122" s="51"/>
      <c r="J122" s="33"/>
      <c r="K122" s="51"/>
      <c r="L122" s="33"/>
      <c r="T122" s="56"/>
      <c r="X122" s="51"/>
      <c r="Y122" s="51"/>
      <c r="AM122" s="33"/>
      <c r="AN122" s="51"/>
      <c r="AQ122" s="51"/>
      <c r="AR122" s="54"/>
      <c r="AS122" s="54"/>
      <c r="AT122" s="54"/>
      <c r="AU122" s="34"/>
      <c r="AV122" s="34"/>
      <c r="AW122" s="34"/>
      <c r="AX122" s="34"/>
      <c r="AY122" s="34"/>
      <c r="AZ122" s="44"/>
      <c r="BA122" s="34"/>
      <c r="BB122" s="34"/>
    </row>
    <row r="123" spans="1:54" x14ac:dyDescent="0.35" ht="15.0" customHeight="true">
      <c r="A123" s="51"/>
      <c r="F123" s="33"/>
      <c r="H123" s="33"/>
      <c r="I123" s="51"/>
      <c r="J123" s="33"/>
      <c r="K123" s="51"/>
      <c r="L123" s="33"/>
      <c r="T123" s="56"/>
      <c r="X123" s="51"/>
      <c r="Y123" s="51"/>
      <c r="AM123" s="33"/>
      <c r="AN123" s="51"/>
      <c r="AQ123" s="51"/>
      <c r="AR123" s="54"/>
      <c r="AS123" s="54"/>
      <c r="AT123" s="54"/>
      <c r="AU123" s="34"/>
      <c r="AV123" s="34"/>
      <c r="AW123" s="34"/>
      <c r="AX123" s="34"/>
      <c r="AY123" s="34"/>
      <c r="AZ123" s="44"/>
      <c r="BA123" s="34"/>
      <c r="BB123" s="34"/>
    </row>
    <row r="124" spans="1:54" x14ac:dyDescent="0.35" ht="15.0" customHeight="true">
      <c r="A124" s="51"/>
      <c r="F124" s="33"/>
      <c r="H124" s="33"/>
      <c r="I124" s="51"/>
      <c r="J124" s="33"/>
      <c r="K124" s="51"/>
      <c r="L124" s="33"/>
      <c r="T124" s="56"/>
      <c r="X124" s="51"/>
      <c r="Y124" s="51"/>
      <c r="AM124" s="33"/>
      <c r="AN124" s="51"/>
      <c r="AQ124" s="51"/>
      <c r="AR124" s="54"/>
      <c r="AS124" s="54"/>
      <c r="AT124" s="54"/>
      <c r="AU124" s="34"/>
      <c r="AV124" s="34"/>
      <c r="AW124" s="34"/>
      <c r="AX124" s="34"/>
      <c r="AY124" s="34"/>
      <c r="AZ124" s="44"/>
      <c r="BA124" s="34"/>
      <c r="BB124" s="34"/>
    </row>
    <row r="125" spans="1:54" x14ac:dyDescent="0.35" ht="15.0" customHeight="true">
      <c r="A125" s="51"/>
      <c r="F125" s="33"/>
      <c r="H125" s="33"/>
      <c r="I125" s="51"/>
      <c r="J125" s="33"/>
      <c r="K125" s="51"/>
      <c r="L125" s="33"/>
      <c r="T125" s="56"/>
      <c r="X125" s="51"/>
      <c r="Y125" s="51"/>
      <c r="AM125" s="33"/>
      <c r="AN125" s="51"/>
      <c r="AQ125" s="51"/>
      <c r="AR125" s="54"/>
      <c r="AS125" s="54"/>
      <c r="AT125" s="54"/>
      <c r="AU125" s="34"/>
      <c r="AV125" s="34"/>
      <c r="AW125" s="34"/>
      <c r="AX125" s="34"/>
      <c r="AY125" s="34"/>
      <c r="AZ125" s="44"/>
      <c r="BA125" s="34"/>
      <c r="BB125" s="34"/>
    </row>
    <row r="126" spans="1:54" x14ac:dyDescent="0.35" ht="15.0" customHeight="true">
      <c r="A126" s="51"/>
      <c r="F126" s="33"/>
      <c r="H126" s="33"/>
      <c r="I126" s="51"/>
      <c r="J126" s="33"/>
      <c r="K126" s="51"/>
      <c r="L126" s="33"/>
      <c r="T126" s="56"/>
      <c r="X126" s="51"/>
      <c r="Y126" s="51"/>
      <c r="AM126" s="33"/>
      <c r="AN126" s="51"/>
      <c r="AQ126" s="51"/>
      <c r="AR126" s="54"/>
      <c r="AS126" s="54"/>
      <c r="AT126" s="54"/>
      <c r="AU126" s="34"/>
      <c r="AV126" s="34"/>
      <c r="AW126" s="34"/>
      <c r="AX126" s="34"/>
      <c r="AY126" s="34"/>
      <c r="AZ126" s="44"/>
      <c r="BA126" s="34"/>
      <c r="BB126" s="34"/>
    </row>
    <row r="127" spans="1:54" x14ac:dyDescent="0.35" ht="15.0" customHeight="true">
      <c r="A127" s="51"/>
      <c r="F127" s="33"/>
      <c r="H127" s="33"/>
      <c r="I127" s="51"/>
      <c r="J127" s="33"/>
      <c r="K127" s="51"/>
      <c r="L127" s="33"/>
      <c r="T127" s="56"/>
      <c r="X127" s="51"/>
      <c r="Y127" s="51"/>
      <c r="AM127" s="33"/>
      <c r="AN127" s="51"/>
      <c r="AQ127" s="51"/>
      <c r="AR127" s="54"/>
      <c r="AS127" s="54"/>
      <c r="AT127" s="54"/>
      <c r="AU127" s="34"/>
      <c r="AV127" s="34"/>
      <c r="AW127" s="34"/>
      <c r="AX127" s="34"/>
      <c r="AY127" s="34"/>
      <c r="AZ127" s="44"/>
      <c r="BA127" s="34"/>
      <c r="BB127" s="34"/>
    </row>
    <row r="128" spans="1:54" x14ac:dyDescent="0.35" ht="15.0" customHeight="true">
      <c r="A128" s="51"/>
      <c r="F128" s="33"/>
      <c r="H128" s="33"/>
      <c r="I128" s="51"/>
      <c r="J128" s="33"/>
      <c r="K128" s="51"/>
      <c r="L128" s="33"/>
      <c r="T128" s="56"/>
      <c r="X128" s="51"/>
      <c r="Y128" s="51"/>
      <c r="AM128" s="33"/>
      <c r="AN128" s="51"/>
      <c r="AQ128" s="51"/>
      <c r="AR128" s="54"/>
      <c r="AS128" s="54"/>
      <c r="AT128" s="54"/>
      <c r="AU128" s="34"/>
      <c r="AV128" s="34"/>
      <c r="AW128" s="34"/>
      <c r="AX128" s="34"/>
      <c r="AY128" s="34"/>
      <c r="AZ128" s="44"/>
      <c r="BA128" s="34"/>
      <c r="BB128" s="34"/>
    </row>
    <row r="129" spans="1:54" x14ac:dyDescent="0.35" ht="15.0" customHeight="true">
      <c r="A129" s="51"/>
      <c r="F129" s="33"/>
      <c r="H129" s="33"/>
      <c r="I129" s="51"/>
      <c r="J129" s="33"/>
      <c r="K129" s="51"/>
      <c r="L129" s="33"/>
      <c r="T129" s="56"/>
      <c r="X129" s="51"/>
      <c r="Y129" s="51"/>
      <c r="AM129" s="33"/>
      <c r="AN129" s="51"/>
      <c r="AQ129" s="51"/>
      <c r="AR129" s="54"/>
      <c r="AS129" s="54"/>
      <c r="AT129" s="54"/>
      <c r="AU129" s="34"/>
      <c r="AV129" s="34"/>
      <c r="AW129" s="34"/>
      <c r="AX129" s="34"/>
      <c r="AY129" s="34"/>
      <c r="AZ129" s="44"/>
      <c r="BA129" s="34"/>
      <c r="BB129" s="34"/>
    </row>
    <row r="130" spans="1:54" x14ac:dyDescent="0.35" ht="15.0" customHeight="true">
      <c r="A130" s="51"/>
      <c r="F130" s="33"/>
      <c r="H130" s="33"/>
      <c r="I130" s="51"/>
      <c r="J130" s="33"/>
      <c r="K130" s="51"/>
      <c r="L130" s="33"/>
      <c r="T130" s="56"/>
      <c r="X130" s="51"/>
      <c r="Y130" s="51"/>
      <c r="AM130" s="33"/>
      <c r="AN130" s="51"/>
      <c r="AQ130" s="51"/>
      <c r="AR130" s="54"/>
      <c r="AS130" s="54"/>
      <c r="AT130" s="54"/>
      <c r="AU130" s="34"/>
      <c r="AV130" s="34"/>
      <c r="AW130" s="34"/>
      <c r="AX130" s="34"/>
      <c r="AY130" s="34"/>
      <c r="AZ130" s="44"/>
      <c r="BA130" s="34"/>
      <c r="BB130" s="34"/>
    </row>
    <row r="131" spans="1:54" x14ac:dyDescent="0.35" ht="15.0" customHeight="true">
      <c r="A131" s="51"/>
      <c r="B131" s="34"/>
      <c r="C131" s="34"/>
      <c r="D131" s="34"/>
      <c r="E131" s="34"/>
      <c r="F131" s="34"/>
      <c r="G131" s="44"/>
      <c r="H131" s="34"/>
      <c r="I131" s="54"/>
      <c r="J131" s="34"/>
      <c r="K131" s="54"/>
      <c r="L131" s="34"/>
      <c r="M131" s="44"/>
      <c r="N131" s="44"/>
      <c r="O131" s="34"/>
      <c r="P131" s="34"/>
      <c r="Q131" s="34"/>
      <c r="R131" s="34"/>
      <c r="U131" s="44"/>
      <c r="W131" s="95"/>
      <c r="X131" s="54"/>
      <c r="Y131" s="54"/>
      <c r="Z131" s="34"/>
      <c r="AA131" s="34"/>
      <c r="AB131" s="34"/>
      <c r="AC131" s="34"/>
      <c r="AD131" s="34"/>
      <c r="AE131" s="34"/>
      <c r="AF131" s="34"/>
      <c r="AG131" s="34"/>
      <c r="AH131" s="52"/>
      <c r="AI131" s="52"/>
      <c r="AK131" s="34"/>
      <c r="AL131" s="34"/>
      <c r="AM131" s="34"/>
      <c r="AN131" s="54"/>
      <c r="AO131" s="34"/>
      <c r="AP131" s="34"/>
      <c r="AQ131" s="54"/>
      <c r="AR131" s="54"/>
      <c r="AS131" s="54"/>
      <c r="AT131" s="54"/>
      <c r="AU131" s="34"/>
      <c r="AV131" s="34"/>
      <c r="AW131" s="34"/>
      <c r="AX131" s="34"/>
      <c r="AY131" s="34"/>
      <c r="AZ131" s="44"/>
      <c r="BA131" s="34"/>
      <c r="BB131" s="34"/>
    </row>
    <row r="132" spans="1:54" x14ac:dyDescent="0.35" ht="15.0" customHeight="true">
      <c r="A132" s="51"/>
      <c r="B132" s="34"/>
      <c r="C132" s="34"/>
      <c r="D132" s="34"/>
      <c r="E132" s="34"/>
      <c r="F132" s="34"/>
      <c r="G132" s="44"/>
      <c r="H132" s="34"/>
      <c r="I132" s="54"/>
      <c r="J132" s="34"/>
      <c r="K132" s="54"/>
      <c r="L132" s="34"/>
      <c r="M132" s="44"/>
      <c r="N132" s="44"/>
      <c r="O132" s="34"/>
      <c r="P132" s="34"/>
      <c r="Q132" s="34"/>
      <c r="R132" s="34"/>
      <c r="U132" s="44"/>
      <c r="W132" s="95"/>
      <c r="X132" s="54"/>
      <c r="Y132" s="54"/>
      <c r="Z132" s="34"/>
      <c r="AA132" s="34"/>
      <c r="AB132" s="34"/>
      <c r="AC132" s="34"/>
      <c r="AD132" s="34"/>
      <c r="AE132" s="34"/>
      <c r="AF132" s="34"/>
      <c r="AG132" s="34"/>
      <c r="AH132" s="52"/>
      <c r="AI132" s="52"/>
      <c r="AK132" s="34"/>
      <c r="AL132" s="34"/>
      <c r="AM132" s="34"/>
      <c r="AN132" s="54"/>
      <c r="AO132" s="34"/>
      <c r="AP132" s="34"/>
      <c r="AQ132" s="54"/>
      <c r="AR132" s="54"/>
      <c r="AS132" s="54"/>
      <c r="AT132" s="54"/>
      <c r="AU132" s="34"/>
      <c r="AV132" s="34"/>
      <c r="AW132" s="34"/>
      <c r="AX132" s="34"/>
      <c r="AY132" s="34"/>
      <c r="AZ132" s="44"/>
      <c r="BA132" s="34"/>
      <c r="BB132" s="34"/>
    </row>
    <row r="133" spans="1:54" x14ac:dyDescent="0.35" ht="15.0" customHeight="true">
      <c r="A133" s="51"/>
      <c r="B133" s="34"/>
      <c r="C133" s="34"/>
      <c r="D133" s="34"/>
      <c r="E133" s="34"/>
      <c r="F133" s="34"/>
      <c r="G133" s="44"/>
      <c r="H133" s="34"/>
      <c r="I133" s="54"/>
      <c r="J133" s="34"/>
      <c r="K133" s="54"/>
      <c r="L133" s="34"/>
      <c r="M133" s="44"/>
      <c r="N133" s="44"/>
      <c r="O133" s="34"/>
      <c r="P133" s="34"/>
      <c r="Q133" s="34"/>
      <c r="R133" s="34"/>
      <c r="U133" s="44"/>
      <c r="W133" s="95"/>
      <c r="X133" s="54"/>
      <c r="Y133" s="54"/>
      <c r="Z133" s="34"/>
      <c r="AA133" s="34"/>
      <c r="AB133" s="34"/>
      <c r="AC133" s="34"/>
      <c r="AD133" s="34"/>
      <c r="AE133" s="34"/>
      <c r="AF133" s="34"/>
      <c r="AG133" s="34"/>
      <c r="AH133" s="52"/>
      <c r="AI133" s="52"/>
      <c r="AK133" s="34"/>
      <c r="AL133" s="34"/>
      <c r="AM133" s="34"/>
      <c r="AN133" s="54"/>
      <c r="AO133" s="34"/>
      <c r="AP133" s="34"/>
      <c r="AQ133" s="54"/>
      <c r="AR133" s="54"/>
      <c r="AS133" s="54"/>
      <c r="AT133" s="54"/>
      <c r="AU133" s="34"/>
      <c r="AV133" s="34"/>
      <c r="AW133" s="34"/>
      <c r="AX133" s="34"/>
      <c r="AY133" s="34"/>
      <c r="AZ133" s="44"/>
      <c r="BA133" s="34"/>
      <c r="BB133" s="34"/>
    </row>
    <row r="134" spans="1:54" x14ac:dyDescent="0.35" ht="15.0" customHeight="true">
      <c r="A134" s="51"/>
      <c r="B134" s="34"/>
      <c r="C134" s="34"/>
      <c r="D134" s="34"/>
      <c r="E134" s="34"/>
      <c r="F134" s="34"/>
      <c r="G134" s="44"/>
      <c r="H134" s="34"/>
      <c r="I134" s="54"/>
      <c r="J134" s="34"/>
      <c r="K134" s="54"/>
      <c r="L134" s="34"/>
      <c r="M134" s="44"/>
      <c r="N134" s="44"/>
      <c r="O134" s="34"/>
      <c r="P134" s="34"/>
      <c r="Q134" s="34"/>
      <c r="R134" s="34"/>
      <c r="U134" s="44"/>
      <c r="W134" s="95"/>
      <c r="X134" s="54"/>
      <c r="Y134" s="54"/>
      <c r="Z134" s="34"/>
      <c r="AA134" s="34"/>
      <c r="AB134" s="34"/>
      <c r="AC134" s="34"/>
      <c r="AD134" s="34"/>
      <c r="AE134" s="34"/>
      <c r="AF134" s="34"/>
      <c r="AG134" s="34"/>
      <c r="AH134" s="52"/>
      <c r="AI134" s="52"/>
      <c r="AK134" s="34"/>
      <c r="AL134" s="34"/>
      <c r="AM134" s="34"/>
      <c r="AN134" s="54"/>
      <c r="AO134" s="34"/>
      <c r="AP134" s="34"/>
      <c r="AQ134" s="54"/>
      <c r="AR134" s="54"/>
      <c r="AS134" s="54"/>
      <c r="AT134" s="54"/>
      <c r="AU134" s="34"/>
      <c r="AV134" s="34"/>
      <c r="AW134" s="34"/>
      <c r="AX134" s="34"/>
      <c r="AY134" s="34"/>
      <c r="AZ134" s="44"/>
      <c r="BA134" s="34"/>
      <c r="BB134" s="34"/>
    </row>
    <row r="135" spans="1:54" x14ac:dyDescent="0.35" ht="15.0" customHeight="true">
      <c r="A135" s="51"/>
      <c r="B135" s="34"/>
      <c r="C135" s="34"/>
      <c r="D135" s="34"/>
      <c r="E135" s="34"/>
      <c r="F135" s="34"/>
      <c r="G135" s="44"/>
      <c r="H135" s="34"/>
      <c r="I135" s="54"/>
      <c r="J135" s="34"/>
      <c r="K135" s="54"/>
      <c r="L135" s="34"/>
      <c r="M135" s="44"/>
      <c r="N135" s="44"/>
      <c r="O135" s="34"/>
      <c r="P135" s="34"/>
      <c r="Q135" s="34"/>
      <c r="R135" s="34"/>
      <c r="U135" s="44"/>
      <c r="W135" s="95"/>
      <c r="X135" s="54"/>
      <c r="Y135" s="54"/>
      <c r="Z135" s="34"/>
      <c r="AA135" s="34"/>
      <c r="AB135" s="34"/>
      <c r="AC135" s="34"/>
      <c r="AD135" s="34"/>
      <c r="AE135" s="34"/>
      <c r="AF135" s="34"/>
      <c r="AG135" s="34"/>
      <c r="AH135" s="52"/>
      <c r="AI135" s="52"/>
      <c r="AK135" s="34"/>
      <c r="AL135" s="34"/>
      <c r="AM135" s="34"/>
      <c r="AN135" s="54"/>
      <c r="AO135" s="34"/>
      <c r="AP135" s="34"/>
      <c r="AQ135" s="54"/>
      <c r="AR135" s="54"/>
      <c r="AS135" s="54"/>
      <c r="AT135" s="54"/>
      <c r="AU135" s="34"/>
      <c r="AV135" s="34"/>
      <c r="AW135" s="34"/>
      <c r="AX135" s="34"/>
      <c r="AY135" s="34"/>
      <c r="AZ135" s="44"/>
      <c r="BA135" s="34"/>
      <c r="BB135" s="34"/>
    </row>
    <row r="136" spans="1:54" x14ac:dyDescent="0.35" ht="15.0" customHeight="true">
      <c r="A136" s="51"/>
      <c r="B136" s="34"/>
      <c r="C136" s="34"/>
      <c r="D136" s="34"/>
      <c r="E136" s="34"/>
      <c r="F136" s="34"/>
      <c r="G136" s="44"/>
      <c r="H136" s="34"/>
      <c r="I136" s="54"/>
      <c r="J136" s="34"/>
      <c r="K136" s="54"/>
      <c r="L136" s="34"/>
      <c r="M136" s="44"/>
      <c r="N136" s="44"/>
      <c r="O136" s="34"/>
      <c r="P136" s="34"/>
      <c r="Q136" s="34"/>
      <c r="R136" s="34"/>
      <c r="U136" s="44"/>
      <c r="W136" s="95"/>
      <c r="X136" s="54"/>
      <c r="Y136" s="54"/>
      <c r="Z136" s="34"/>
      <c r="AA136" s="34"/>
      <c r="AB136" s="34"/>
      <c r="AC136" s="34"/>
      <c r="AD136" s="34"/>
      <c r="AE136" s="34"/>
      <c r="AF136" s="34"/>
      <c r="AG136" s="34"/>
      <c r="AH136" s="52"/>
      <c r="AI136" s="52"/>
      <c r="AK136" s="34"/>
      <c r="AL136" s="34"/>
      <c r="AM136" s="34"/>
      <c r="AN136" s="54"/>
      <c r="AO136" s="34"/>
      <c r="AP136" s="34"/>
      <c r="AQ136" s="54"/>
      <c r="AR136" s="54"/>
      <c r="AS136" s="54"/>
      <c r="AT136" s="54"/>
      <c r="AU136" s="34"/>
      <c r="AV136" s="34"/>
      <c r="AW136" s="34"/>
      <c r="AX136" s="34"/>
      <c r="AY136" s="34"/>
      <c r="AZ136" s="44"/>
      <c r="BA136" s="34"/>
      <c r="BB136" s="34"/>
    </row>
    <row r="137" spans="1:54" x14ac:dyDescent="0.35" ht="15.0" customHeight="true">
      <c r="A137" s="51"/>
      <c r="B137" s="34"/>
      <c r="C137" s="34"/>
      <c r="D137" s="34"/>
      <c r="E137" s="34"/>
      <c r="F137" s="34"/>
      <c r="G137" s="44"/>
      <c r="H137" s="34"/>
      <c r="I137" s="54"/>
      <c r="J137" s="34"/>
      <c r="K137" s="54"/>
      <c r="L137" s="34"/>
      <c r="M137" s="44"/>
      <c r="N137" s="44"/>
      <c r="O137" s="34"/>
      <c r="P137" s="34"/>
      <c r="Q137" s="34"/>
      <c r="R137" s="34"/>
      <c r="U137" s="44"/>
      <c r="W137" s="95"/>
      <c r="X137" s="54"/>
      <c r="Y137" s="54"/>
      <c r="Z137" s="34"/>
      <c r="AA137" s="34"/>
      <c r="AB137" s="34"/>
      <c r="AC137" s="34"/>
      <c r="AD137" s="34"/>
      <c r="AE137" s="34"/>
      <c r="AF137" s="34"/>
      <c r="AG137" s="34"/>
      <c r="AH137" s="52"/>
      <c r="AI137" s="52"/>
      <c r="AK137" s="34"/>
      <c r="AL137" s="34"/>
      <c r="AM137" s="34"/>
      <c r="AN137" s="54"/>
      <c r="AO137" s="34"/>
      <c r="AP137" s="34"/>
      <c r="AQ137" s="54"/>
      <c r="AR137" s="54"/>
      <c r="AS137" s="54"/>
      <c r="AT137" s="54"/>
      <c r="AU137" s="34"/>
      <c r="AV137" s="34"/>
      <c r="AW137" s="34"/>
      <c r="AX137" s="34"/>
      <c r="AY137" s="34"/>
      <c r="AZ137" s="44"/>
      <c r="BA137" s="34"/>
      <c r="BB137" s="34"/>
    </row>
    <row r="138" spans="1:54" x14ac:dyDescent="0.35" ht="15.0" customHeight="true">
      <c r="A138" s="51"/>
      <c r="B138" s="34"/>
      <c r="C138" s="34"/>
      <c r="D138" s="34"/>
      <c r="E138" s="34"/>
      <c r="F138" s="34"/>
      <c r="G138" s="44"/>
      <c r="H138" s="34"/>
      <c r="I138" s="54"/>
      <c r="J138" s="34"/>
      <c r="K138" s="54"/>
      <c r="L138" s="34"/>
      <c r="M138" s="44"/>
      <c r="N138" s="44"/>
      <c r="O138" s="34"/>
      <c r="P138" s="34"/>
      <c r="Q138" s="34"/>
      <c r="R138" s="34"/>
      <c r="U138" s="44"/>
      <c r="W138" s="95"/>
      <c r="X138" s="54"/>
      <c r="Y138" s="54"/>
      <c r="Z138" s="34"/>
      <c r="AA138" s="34"/>
      <c r="AB138" s="34"/>
      <c r="AC138" s="34"/>
      <c r="AD138" s="34"/>
      <c r="AE138" s="34"/>
      <c r="AF138" s="34"/>
      <c r="AG138" s="34"/>
      <c r="AH138" s="52"/>
      <c r="AI138" s="52"/>
      <c r="AK138" s="34"/>
      <c r="AL138" s="34"/>
      <c r="AM138" s="34"/>
      <c r="AN138" s="54"/>
      <c r="AO138" s="34"/>
      <c r="AP138" s="34"/>
      <c r="AQ138" s="54"/>
      <c r="AR138" s="54"/>
      <c r="AS138" s="54"/>
      <c r="AT138" s="54"/>
      <c r="AU138" s="34"/>
      <c r="AV138" s="34"/>
      <c r="AW138" s="34"/>
      <c r="AX138" s="34"/>
      <c r="AY138" s="34"/>
      <c r="AZ138" s="44"/>
      <c r="BA138" s="34"/>
      <c r="BB138" s="34"/>
    </row>
    <row r="139" spans="1:54" x14ac:dyDescent="0.35" ht="15.0" customHeight="true">
      <c r="A139" s="51"/>
      <c r="B139" s="34"/>
      <c r="C139" s="34"/>
      <c r="D139" s="34"/>
      <c r="E139" s="34"/>
      <c r="F139" s="34"/>
      <c r="G139" s="44"/>
      <c r="H139" s="34"/>
      <c r="I139" s="54"/>
      <c r="J139" s="34"/>
      <c r="K139" s="54"/>
      <c r="L139" s="34"/>
      <c r="M139" s="44"/>
      <c r="N139" s="44"/>
      <c r="O139" s="34"/>
      <c r="P139" s="34"/>
      <c r="Q139" s="34"/>
      <c r="R139" s="34"/>
      <c r="U139" s="44"/>
      <c r="W139" s="95"/>
      <c r="X139" s="54"/>
      <c r="Y139" s="54"/>
      <c r="Z139" s="34"/>
      <c r="AA139" s="34"/>
      <c r="AB139" s="34"/>
      <c r="AC139" s="34"/>
      <c r="AD139" s="34"/>
      <c r="AE139" s="34"/>
      <c r="AF139" s="34"/>
      <c r="AG139" s="34"/>
      <c r="AH139" s="52"/>
      <c r="AI139" s="52"/>
      <c r="AK139" s="34"/>
      <c r="AL139" s="34"/>
      <c r="AM139" s="34"/>
      <c r="AN139" s="54"/>
      <c r="AO139" s="34"/>
      <c r="AP139" s="34"/>
      <c r="AQ139" s="54"/>
      <c r="AR139" s="54"/>
      <c r="AS139" s="54"/>
      <c r="AT139" s="54"/>
      <c r="AU139" s="34"/>
      <c r="AV139" s="34"/>
      <c r="AW139" s="34"/>
      <c r="AX139" s="34"/>
      <c r="AY139" s="34"/>
      <c r="AZ139" s="44"/>
      <c r="BA139" s="34"/>
      <c r="BB139" s="34"/>
    </row>
    <row r="140" spans="1:54" x14ac:dyDescent="0.35" ht="15.0" customHeight="true">
      <c r="A140" s="51"/>
      <c r="B140" s="34"/>
      <c r="C140" s="34"/>
      <c r="D140" s="34"/>
      <c r="E140" s="34"/>
      <c r="F140" s="34"/>
      <c r="G140" s="44"/>
      <c r="H140" s="34"/>
      <c r="I140" s="54"/>
      <c r="J140" s="34"/>
      <c r="K140" s="54"/>
      <c r="L140" s="34"/>
      <c r="M140" s="44"/>
      <c r="N140" s="44"/>
      <c r="O140" s="34"/>
      <c r="P140" s="34"/>
      <c r="Q140" s="34"/>
      <c r="R140" s="34"/>
      <c r="U140" s="44"/>
      <c r="W140" s="95"/>
      <c r="X140" s="54"/>
      <c r="Y140" s="54"/>
      <c r="Z140" s="34"/>
      <c r="AA140" s="34"/>
      <c r="AB140" s="34"/>
      <c r="AC140" s="34"/>
      <c r="AD140" s="34"/>
      <c r="AE140" s="34"/>
      <c r="AF140" s="34"/>
      <c r="AG140" s="34"/>
      <c r="AH140" s="52"/>
      <c r="AI140" s="52"/>
      <c r="AK140" s="34"/>
      <c r="AL140" s="34"/>
      <c r="AM140" s="34"/>
      <c r="AN140" s="54"/>
      <c r="AO140" s="34"/>
      <c r="AP140" s="34"/>
      <c r="AQ140" s="54"/>
      <c r="AR140" s="54"/>
      <c r="AS140" s="54"/>
      <c r="AT140" s="54"/>
      <c r="AU140" s="34"/>
      <c r="AV140" s="34"/>
      <c r="AW140" s="34"/>
      <c r="AX140" s="34"/>
      <c r="AY140" s="34"/>
      <c r="AZ140" s="44"/>
      <c r="BA140" s="34"/>
      <c r="BB140" s="34"/>
    </row>
    <row r="141" spans="1:54" x14ac:dyDescent="0.35" ht="15.0" customHeight="true">
      <c r="A141" s="51"/>
      <c r="B141" s="34"/>
      <c r="C141" s="34"/>
      <c r="D141" s="34"/>
      <c r="E141" s="34"/>
      <c r="F141" s="34"/>
      <c r="G141" s="44"/>
      <c r="H141" s="34"/>
      <c r="I141" s="54"/>
      <c r="J141" s="34"/>
      <c r="K141" s="54"/>
      <c r="L141" s="34"/>
      <c r="M141" s="44"/>
      <c r="N141" s="44"/>
      <c r="O141" s="34"/>
      <c r="P141" s="34"/>
      <c r="Q141" s="34"/>
      <c r="R141" s="34"/>
      <c r="U141" s="44"/>
      <c r="W141" s="95"/>
      <c r="X141" s="54"/>
      <c r="Y141" s="54"/>
      <c r="Z141" s="34"/>
      <c r="AA141" s="34"/>
      <c r="AB141" s="34"/>
      <c r="AC141" s="34"/>
      <c r="AD141" s="34"/>
      <c r="AE141" s="34"/>
      <c r="AF141" s="34"/>
      <c r="AG141" s="34"/>
      <c r="AH141" s="52"/>
      <c r="AI141" s="52"/>
      <c r="AK141" s="34"/>
      <c r="AL141" s="34"/>
      <c r="AM141" s="34"/>
      <c r="AN141" s="54"/>
      <c r="AO141" s="34"/>
      <c r="AP141" s="34"/>
      <c r="AQ141" s="54"/>
      <c r="AR141" s="54"/>
      <c r="AS141" s="54"/>
      <c r="AT141" s="54"/>
      <c r="AU141" s="34"/>
      <c r="AV141" s="34"/>
      <c r="AW141" s="34"/>
      <c r="AX141" s="34"/>
      <c r="AY141" s="34"/>
      <c r="AZ141" s="44"/>
      <c r="BA141" s="34"/>
      <c r="BB141" s="34"/>
    </row>
    <row r="142" spans="1:54" x14ac:dyDescent="0.35" ht="15.0" customHeight="true">
      <c r="A142" s="51"/>
      <c r="B142" s="34"/>
      <c r="C142" s="34"/>
      <c r="D142" s="34"/>
      <c r="E142" s="34"/>
      <c r="F142" s="34"/>
      <c r="G142" s="44"/>
      <c r="H142" s="34"/>
      <c r="I142" s="54"/>
      <c r="J142" s="34"/>
      <c r="K142" s="54"/>
      <c r="L142" s="34"/>
      <c r="M142" s="44"/>
      <c r="N142" s="44"/>
      <c r="O142" s="34"/>
      <c r="P142" s="34"/>
      <c r="Q142" s="34"/>
      <c r="R142" s="34"/>
      <c r="U142" s="44"/>
      <c r="W142" s="95"/>
      <c r="X142" s="54"/>
      <c r="Y142" s="54"/>
      <c r="Z142" s="34"/>
      <c r="AA142" s="34"/>
      <c r="AB142" s="34"/>
      <c r="AC142" s="34"/>
      <c r="AD142" s="34"/>
      <c r="AE142" s="34"/>
      <c r="AF142" s="34"/>
      <c r="AG142" s="34"/>
      <c r="AH142" s="52"/>
      <c r="AI142" s="52"/>
      <c r="AK142" s="34"/>
      <c r="AL142" s="34"/>
      <c r="AM142" s="34"/>
      <c r="AN142" s="54"/>
      <c r="AO142" s="34"/>
      <c r="AP142" s="34"/>
      <c r="AQ142" s="54"/>
      <c r="AR142" s="54"/>
      <c r="AS142" s="54"/>
      <c r="AT142" s="54"/>
      <c r="AU142" s="34"/>
      <c r="AV142" s="34"/>
      <c r="AW142" s="34"/>
      <c r="AX142" s="34"/>
      <c r="AY142" s="34"/>
      <c r="AZ142" s="44"/>
      <c r="BA142" s="34"/>
      <c r="BB142" s="34"/>
    </row>
    <row r="143" spans="1:54" x14ac:dyDescent="0.35" ht="15.0" customHeight="true">
      <c r="A143" s="51"/>
      <c r="B143" s="34"/>
      <c r="C143" s="34"/>
      <c r="D143" s="34"/>
      <c r="E143" s="34"/>
      <c r="F143" s="34"/>
      <c r="G143" s="44"/>
      <c r="H143" s="34"/>
      <c r="I143" s="54"/>
      <c r="J143" s="34"/>
      <c r="K143" s="54"/>
      <c r="L143" s="34"/>
      <c r="M143" s="44"/>
      <c r="N143" s="44"/>
      <c r="O143" s="34"/>
      <c r="P143" s="34"/>
      <c r="Q143" s="34"/>
      <c r="R143" s="34"/>
      <c r="U143" s="44"/>
      <c r="W143" s="95"/>
      <c r="X143" s="54"/>
      <c r="Y143" s="54"/>
      <c r="Z143" s="34"/>
      <c r="AA143" s="34"/>
      <c r="AB143" s="34"/>
      <c r="AC143" s="34"/>
      <c r="AD143" s="34"/>
      <c r="AE143" s="34"/>
      <c r="AF143" s="34"/>
      <c r="AG143" s="34"/>
      <c r="AH143" s="52"/>
      <c r="AI143" s="52"/>
      <c r="AK143" s="34"/>
      <c r="AL143" s="34"/>
      <c r="AM143" s="34"/>
      <c r="AN143" s="54"/>
      <c r="AO143" s="34"/>
      <c r="AP143" s="34"/>
      <c r="AQ143" s="54"/>
      <c r="AR143" s="54"/>
      <c r="AS143" s="54"/>
      <c r="AT143" s="54"/>
      <c r="AU143" s="34"/>
      <c r="AV143" s="34"/>
      <c r="AW143" s="34"/>
      <c r="AX143" s="34"/>
      <c r="AY143" s="34"/>
      <c r="AZ143" s="44"/>
      <c r="BA143" s="34"/>
      <c r="BB143" s="34"/>
    </row>
    <row r="144" spans="1:54" x14ac:dyDescent="0.35" ht="15.0" customHeight="true">
      <c r="A144" s="51"/>
      <c r="B144" s="34"/>
      <c r="C144" s="34"/>
      <c r="D144" s="34"/>
      <c r="E144" s="34"/>
      <c r="F144" s="34"/>
      <c r="G144" s="44"/>
      <c r="H144" s="34"/>
      <c r="I144" s="54"/>
      <c r="J144" s="34"/>
      <c r="K144" s="54"/>
      <c r="L144" s="34"/>
      <c r="M144" s="44"/>
      <c r="N144" s="44"/>
      <c r="O144" s="34"/>
      <c r="P144" s="34"/>
      <c r="Q144" s="34"/>
      <c r="R144" s="34"/>
      <c r="U144" s="44"/>
      <c r="W144" s="95"/>
      <c r="X144" s="54"/>
      <c r="Y144" s="54"/>
      <c r="Z144" s="34"/>
      <c r="AA144" s="34"/>
      <c r="AB144" s="34"/>
      <c r="AC144" s="34"/>
      <c r="AD144" s="34"/>
      <c r="AE144" s="34"/>
      <c r="AF144" s="34"/>
      <c r="AG144" s="34"/>
      <c r="AH144" s="52"/>
      <c r="AI144" s="52"/>
      <c r="AK144" s="34"/>
      <c r="AL144" s="34"/>
      <c r="AM144" s="34"/>
      <c r="AN144" s="54"/>
      <c r="AO144" s="34"/>
      <c r="AP144" s="34"/>
      <c r="AQ144" s="54"/>
      <c r="AR144" s="54"/>
      <c r="AS144" s="54"/>
      <c r="AT144" s="54"/>
      <c r="AU144" s="34"/>
      <c r="AV144" s="34"/>
      <c r="AW144" s="34"/>
      <c r="AX144" s="34"/>
      <c r="AY144" s="34"/>
      <c r="AZ144" s="44"/>
      <c r="BA144" s="34"/>
      <c r="BB144" s="34"/>
    </row>
    <row r="145" spans="1:54" x14ac:dyDescent="0.35" ht="15.0" customHeight="true">
      <c r="A145" s="51"/>
      <c r="B145" s="34"/>
      <c r="C145" s="34"/>
      <c r="D145" s="34"/>
      <c r="E145" s="34"/>
      <c r="F145" s="34"/>
      <c r="G145" s="44"/>
      <c r="H145" s="34"/>
      <c r="I145" s="54"/>
      <c r="J145" s="34"/>
      <c r="K145" s="54"/>
      <c r="L145" s="34"/>
      <c r="M145" s="44"/>
      <c r="N145" s="44"/>
      <c r="O145" s="34"/>
      <c r="P145" s="34"/>
      <c r="Q145" s="34"/>
      <c r="R145" s="34"/>
      <c r="U145" s="44"/>
      <c r="W145" s="95"/>
      <c r="X145" s="54"/>
      <c r="Y145" s="54"/>
      <c r="Z145" s="34"/>
      <c r="AA145" s="34"/>
      <c r="AB145" s="34"/>
      <c r="AC145" s="34"/>
      <c r="AD145" s="34"/>
      <c r="AE145" s="34"/>
      <c r="AF145" s="34"/>
      <c r="AG145" s="34"/>
      <c r="AH145" s="52"/>
      <c r="AI145" s="52"/>
      <c r="AK145" s="34"/>
      <c r="AL145" s="34"/>
      <c r="AM145" s="34"/>
      <c r="AN145" s="54"/>
      <c r="AO145" s="34"/>
      <c r="AP145" s="34"/>
      <c r="AQ145" s="54"/>
      <c r="AR145" s="54"/>
      <c r="AS145" s="54"/>
      <c r="AT145" s="54"/>
      <c r="AU145" s="34"/>
      <c r="AV145" s="34"/>
      <c r="AW145" s="34"/>
      <c r="AX145" s="34"/>
      <c r="AY145" s="34"/>
      <c r="AZ145" s="44"/>
      <c r="BA145" s="34"/>
      <c r="BB145" s="34"/>
    </row>
    <row r="146" spans="1:54" x14ac:dyDescent="0.35" ht="15.0" customHeight="true">
      <c r="A146" s="51"/>
      <c r="B146" s="34"/>
      <c r="C146" s="34"/>
      <c r="D146" s="34"/>
      <c r="E146" s="34"/>
      <c r="F146" s="34"/>
      <c r="G146" s="44"/>
      <c r="H146" s="34"/>
      <c r="I146" s="54"/>
      <c r="J146" s="34"/>
      <c r="K146" s="54"/>
      <c r="L146" s="34"/>
      <c r="M146" s="44"/>
      <c r="N146" s="44"/>
      <c r="O146" s="34"/>
      <c r="P146" s="34"/>
      <c r="Q146" s="34"/>
      <c r="R146" s="34"/>
      <c r="U146" s="44"/>
      <c r="W146" s="95"/>
      <c r="X146" s="54"/>
      <c r="Y146" s="54"/>
      <c r="Z146" s="34"/>
      <c r="AA146" s="34"/>
      <c r="AB146" s="34"/>
      <c r="AC146" s="34"/>
      <c r="AD146" s="34"/>
      <c r="AE146" s="34"/>
      <c r="AF146" s="34"/>
      <c r="AG146" s="34"/>
      <c r="AH146" s="52"/>
      <c r="AI146" s="52"/>
      <c r="AK146" s="34"/>
      <c r="AL146" s="34"/>
      <c r="AM146" s="34"/>
      <c r="AN146" s="54"/>
      <c r="AO146" s="34"/>
      <c r="AP146" s="34"/>
      <c r="AQ146" s="54"/>
      <c r="AR146" s="54"/>
      <c r="AS146" s="54"/>
      <c r="AT146" s="54"/>
      <c r="AU146" s="34"/>
      <c r="AV146" s="34"/>
      <c r="AW146" s="34"/>
      <c r="AX146" s="34"/>
      <c r="AY146" s="34"/>
      <c r="AZ146" s="44"/>
      <c r="BA146" s="34"/>
      <c r="BB146" s="34"/>
    </row>
    <row r="147" spans="1:54" x14ac:dyDescent="0.35" ht="15.0" customHeight="true">
      <c r="A147" s="51"/>
      <c r="B147" s="34"/>
      <c r="C147" s="34"/>
      <c r="D147" s="34"/>
      <c r="E147" s="34"/>
      <c r="F147" s="34"/>
      <c r="G147" s="44"/>
      <c r="H147" s="34"/>
      <c r="I147" s="54"/>
      <c r="J147" s="34"/>
      <c r="K147" s="54"/>
      <c r="L147" s="34"/>
      <c r="M147" s="44"/>
      <c r="N147" s="44"/>
      <c r="O147" s="34"/>
      <c r="P147" s="34"/>
      <c r="Q147" s="34"/>
      <c r="R147" s="34"/>
      <c r="U147" s="44"/>
      <c r="W147" s="95"/>
      <c r="X147" s="54"/>
      <c r="Y147" s="54"/>
      <c r="Z147" s="34"/>
      <c r="AA147" s="34"/>
      <c r="AB147" s="34"/>
      <c r="AC147" s="34"/>
      <c r="AD147" s="34"/>
      <c r="AE147" s="34"/>
      <c r="AF147" s="34"/>
      <c r="AG147" s="34"/>
      <c r="AH147" s="52"/>
      <c r="AI147" s="52"/>
      <c r="AK147" s="34"/>
      <c r="AL147" s="34"/>
      <c r="AM147" s="34"/>
      <c r="AN147" s="54"/>
      <c r="AO147" s="34"/>
      <c r="AP147" s="34"/>
      <c r="AQ147" s="54"/>
      <c r="AR147" s="54"/>
      <c r="AS147" s="54"/>
      <c r="AT147" s="54"/>
      <c r="AU147" s="34"/>
      <c r="AV147" s="34"/>
      <c r="AW147" s="34"/>
      <c r="AX147" s="34"/>
      <c r="AY147" s="34"/>
      <c r="AZ147" s="44"/>
      <c r="BA147" s="34"/>
      <c r="BB147" s="34"/>
    </row>
    <row r="148" spans="1:54" x14ac:dyDescent="0.35" ht="15.0" customHeight="true">
      <c r="A148" s="51"/>
      <c r="B148" s="34"/>
      <c r="C148" s="34"/>
      <c r="D148" s="34"/>
      <c r="E148" s="34"/>
      <c r="F148" s="34"/>
      <c r="G148" s="44"/>
      <c r="H148" s="34"/>
      <c r="I148" s="54"/>
      <c r="J148" s="34"/>
      <c r="K148" s="54"/>
      <c r="L148" s="34"/>
      <c r="M148" s="44"/>
      <c r="N148" s="44"/>
      <c r="O148" s="34"/>
      <c r="P148" s="34"/>
      <c r="Q148" s="34"/>
      <c r="R148" s="34"/>
      <c r="U148" s="44"/>
      <c r="W148" s="95"/>
      <c r="X148" s="54"/>
      <c r="Y148" s="54"/>
      <c r="Z148" s="34"/>
      <c r="AA148" s="34"/>
      <c r="AB148" s="34"/>
      <c r="AC148" s="34"/>
      <c r="AD148" s="34"/>
      <c r="AE148" s="34"/>
      <c r="AF148" s="34"/>
      <c r="AG148" s="34"/>
      <c r="AH148" s="52"/>
      <c r="AI148" s="52"/>
      <c r="AK148" s="34"/>
      <c r="AL148" s="34"/>
      <c r="AM148" s="34"/>
      <c r="AN148" s="54"/>
      <c r="AO148" s="34"/>
      <c r="AP148" s="34"/>
      <c r="AQ148" s="54"/>
      <c r="AR148" s="54"/>
      <c r="AS148" s="54"/>
      <c r="AT148" s="54"/>
      <c r="AU148" s="34"/>
      <c r="AV148" s="34"/>
      <c r="AW148" s="34"/>
      <c r="AX148" s="34"/>
      <c r="AY148" s="34"/>
      <c r="AZ148" s="44"/>
      <c r="BA148" s="34"/>
      <c r="BB148" s="34"/>
    </row>
    <row r="149" spans="1:54" x14ac:dyDescent="0.35" ht="15.0" customHeight="true">
      <c r="A149" s="51"/>
      <c r="B149" s="34"/>
      <c r="C149" s="34"/>
      <c r="D149" s="34"/>
      <c r="E149" s="34"/>
      <c r="F149" s="34"/>
      <c r="G149" s="44"/>
      <c r="H149" s="34"/>
      <c r="I149" s="54"/>
      <c r="J149" s="34"/>
      <c r="K149" s="54"/>
      <c r="L149" s="34"/>
      <c r="M149" s="44"/>
      <c r="N149" s="44"/>
      <c r="O149" s="34"/>
      <c r="P149" s="34"/>
      <c r="Q149" s="34"/>
      <c r="R149" s="34"/>
      <c r="U149" s="44"/>
      <c r="W149" s="95"/>
      <c r="X149" s="54"/>
      <c r="Y149" s="54"/>
      <c r="Z149" s="34"/>
      <c r="AA149" s="34"/>
      <c r="AB149" s="34"/>
      <c r="AC149" s="34"/>
      <c r="AD149" s="34"/>
      <c r="AE149" s="34"/>
      <c r="AF149" s="34"/>
      <c r="AG149" s="34"/>
      <c r="AH149" s="52"/>
      <c r="AI149" s="52"/>
      <c r="AK149" s="34"/>
      <c r="AL149" s="34"/>
      <c r="AM149" s="34"/>
      <c r="AN149" s="54"/>
      <c r="AO149" s="34"/>
      <c r="AP149" s="34"/>
      <c r="AQ149" s="54"/>
      <c r="AR149" s="54"/>
      <c r="AS149" s="54"/>
      <c r="AT149" s="54"/>
      <c r="AU149" s="34"/>
      <c r="AV149" s="34"/>
      <c r="AW149" s="34"/>
      <c r="AX149" s="34"/>
      <c r="AY149" s="34"/>
      <c r="AZ149" s="44"/>
      <c r="BA149" s="34"/>
      <c r="BB149" s="34"/>
    </row>
    <row r="150" spans="1:54" x14ac:dyDescent="0.35" ht="15.0" customHeight="true">
      <c r="A150" s="51"/>
      <c r="B150" s="34"/>
      <c r="C150" s="34"/>
      <c r="D150" s="34"/>
      <c r="E150" s="34"/>
      <c r="F150" s="34"/>
      <c r="G150" s="44"/>
      <c r="H150" s="34"/>
      <c r="I150" s="54"/>
      <c r="J150" s="34"/>
      <c r="K150" s="54"/>
      <c r="L150" s="34"/>
      <c r="M150" s="44"/>
      <c r="N150" s="44"/>
      <c r="O150" s="34"/>
      <c r="P150" s="34"/>
      <c r="Q150" s="34"/>
      <c r="R150" s="34"/>
      <c r="U150" s="44"/>
      <c r="W150" s="95"/>
      <c r="X150" s="54"/>
      <c r="Y150" s="54"/>
      <c r="Z150" s="34"/>
      <c r="AA150" s="34"/>
      <c r="AB150" s="34"/>
      <c r="AC150" s="34"/>
      <c r="AD150" s="34"/>
      <c r="AE150" s="34"/>
      <c r="AF150" s="34"/>
      <c r="AG150" s="34"/>
      <c r="AH150" s="52"/>
      <c r="AI150" s="52"/>
      <c r="AK150" s="34"/>
      <c r="AL150" s="34"/>
      <c r="AM150" s="34"/>
      <c r="AN150" s="54"/>
      <c r="AO150" s="34"/>
      <c r="AP150" s="34"/>
      <c r="AQ150" s="54"/>
      <c r="AR150" s="54"/>
      <c r="AS150" s="54"/>
      <c r="AT150" s="54"/>
      <c r="AU150" s="34"/>
      <c r="AV150" s="34"/>
      <c r="AW150" s="34"/>
      <c r="AX150" s="34"/>
      <c r="AY150" s="34"/>
      <c r="AZ150" s="44"/>
      <c r="BA150" s="34"/>
      <c r="BB150" s="34"/>
    </row>
    <row r="151" spans="1:54" x14ac:dyDescent="0.35" ht="15.0" customHeight="true">
      <c r="A151" s="51"/>
      <c r="B151" s="34"/>
      <c r="C151" s="34"/>
      <c r="D151" s="34"/>
      <c r="E151" s="34"/>
      <c r="F151" s="34"/>
      <c r="G151" s="44"/>
      <c r="H151" s="34"/>
      <c r="I151" s="54"/>
      <c r="J151" s="34"/>
      <c r="K151" s="54"/>
      <c r="L151" s="34"/>
      <c r="M151" s="44"/>
      <c r="N151" s="44"/>
      <c r="O151" s="34"/>
      <c r="P151" s="34"/>
      <c r="Q151" s="34"/>
      <c r="R151" s="34"/>
      <c r="U151" s="44"/>
      <c r="W151" s="95"/>
      <c r="X151" s="54"/>
      <c r="Y151" s="54"/>
      <c r="Z151" s="34"/>
      <c r="AA151" s="34"/>
      <c r="AB151" s="34"/>
      <c r="AC151" s="34"/>
      <c r="AD151" s="34"/>
      <c r="AE151" s="34"/>
      <c r="AF151" s="34"/>
      <c r="AG151" s="34"/>
      <c r="AH151" s="52"/>
      <c r="AI151" s="52"/>
      <c r="AK151" s="34"/>
      <c r="AL151" s="34"/>
      <c r="AM151" s="34"/>
      <c r="AN151" s="54"/>
      <c r="AO151" s="34"/>
      <c r="AP151" s="34"/>
      <c r="AQ151" s="54"/>
      <c r="AR151" s="54"/>
      <c r="AS151" s="54"/>
      <c r="AT151" s="54"/>
      <c r="AU151" s="34"/>
      <c r="AV151" s="34"/>
      <c r="AW151" s="34"/>
      <c r="AX151" s="34"/>
      <c r="AY151" s="34"/>
      <c r="AZ151" s="44"/>
      <c r="BA151" s="34"/>
      <c r="BB151" s="34"/>
    </row>
    <row r="152" spans="1:54" x14ac:dyDescent="0.35" ht="15.0" customHeight="true">
      <c r="A152" s="51"/>
      <c r="B152" s="34"/>
      <c r="C152" s="34"/>
      <c r="D152" s="34"/>
      <c r="E152" s="34"/>
      <c r="F152" s="34"/>
      <c r="G152" s="44"/>
      <c r="H152" s="34"/>
      <c r="I152" s="54"/>
      <c r="J152" s="34"/>
      <c r="K152" s="54"/>
      <c r="L152" s="34"/>
      <c r="M152" s="44"/>
      <c r="N152" s="44"/>
      <c r="O152" s="34"/>
      <c r="P152" s="34"/>
      <c r="Q152" s="34"/>
      <c r="R152" s="34"/>
      <c r="U152" s="44"/>
      <c r="W152" s="95"/>
      <c r="X152" s="54"/>
      <c r="Y152" s="54"/>
      <c r="Z152" s="34"/>
      <c r="AA152" s="34"/>
      <c r="AB152" s="34"/>
      <c r="AC152" s="34"/>
      <c r="AD152" s="34"/>
      <c r="AE152" s="34"/>
      <c r="AF152" s="34"/>
      <c r="AG152" s="34"/>
      <c r="AH152" s="52"/>
      <c r="AI152" s="52"/>
      <c r="AK152" s="34"/>
      <c r="AL152" s="34"/>
      <c r="AM152" s="34"/>
      <c r="AN152" s="54"/>
      <c r="AO152" s="34"/>
      <c r="AP152" s="34"/>
      <c r="AQ152" s="54"/>
      <c r="AR152" s="54"/>
      <c r="AS152" s="54"/>
      <c r="AT152" s="54"/>
      <c r="AU152" s="34"/>
      <c r="AV152" s="34"/>
      <c r="AW152" s="34"/>
      <c r="AX152" s="34"/>
      <c r="AY152" s="34"/>
      <c r="AZ152" s="44"/>
      <c r="BA152" s="34"/>
      <c r="BB152" s="34"/>
    </row>
    <row r="153" spans="1:54" x14ac:dyDescent="0.35" ht="15.0" customHeight="true">
      <c r="A153" s="51"/>
      <c r="B153" s="34"/>
      <c r="C153" s="34"/>
      <c r="D153" s="34"/>
      <c r="E153" s="34"/>
      <c r="F153" s="34"/>
      <c r="G153" s="44"/>
      <c r="H153" s="34"/>
      <c r="I153" s="54"/>
      <c r="J153" s="34"/>
      <c r="K153" s="54"/>
      <c r="L153" s="34"/>
      <c r="M153" s="44"/>
      <c r="N153" s="44"/>
      <c r="O153" s="34"/>
      <c r="P153" s="34"/>
      <c r="Q153" s="34"/>
      <c r="R153" s="34"/>
      <c r="U153" s="44"/>
      <c r="W153" s="95"/>
      <c r="X153" s="54"/>
      <c r="Y153" s="54"/>
      <c r="Z153" s="34"/>
      <c r="AA153" s="34"/>
      <c r="AB153" s="34"/>
      <c r="AC153" s="34"/>
      <c r="AD153" s="34"/>
      <c r="AE153" s="34"/>
      <c r="AF153" s="34"/>
      <c r="AG153" s="34"/>
      <c r="AH153" s="52"/>
      <c r="AI153" s="52"/>
      <c r="AK153" s="34"/>
      <c r="AL153" s="34"/>
      <c r="AM153" s="34"/>
      <c r="AN153" s="54"/>
      <c r="AO153" s="34"/>
      <c r="AP153" s="34"/>
      <c r="AQ153" s="54"/>
      <c r="AR153" s="54"/>
      <c r="AS153" s="54"/>
      <c r="AT153" s="54"/>
      <c r="AU153" s="34"/>
      <c r="AV153" s="34"/>
      <c r="AW153" s="34"/>
      <c r="AX153" s="34"/>
      <c r="AY153" s="34"/>
      <c r="AZ153" s="44"/>
      <c r="BA153" s="34"/>
      <c r="BB153" s="34"/>
    </row>
    <row r="154" spans="1:54" x14ac:dyDescent="0.35" ht="15.0" customHeight="true">
      <c r="A154" s="51"/>
      <c r="B154" s="34"/>
      <c r="C154" s="34"/>
      <c r="D154" s="34"/>
      <c r="E154" s="34"/>
      <c r="F154" s="34"/>
      <c r="G154" s="44"/>
      <c r="H154" s="34"/>
      <c r="I154" s="54"/>
      <c r="J154" s="34"/>
      <c r="K154" s="54"/>
      <c r="L154" s="34"/>
      <c r="M154" s="44"/>
      <c r="N154" s="44"/>
      <c r="O154" s="34"/>
      <c r="P154" s="34"/>
      <c r="Q154" s="34"/>
      <c r="R154" s="34"/>
      <c r="U154" s="44"/>
      <c r="W154" s="95"/>
      <c r="X154" s="54"/>
      <c r="Y154" s="54"/>
      <c r="Z154" s="34"/>
      <c r="AA154" s="34"/>
      <c r="AB154" s="34"/>
      <c r="AC154" s="34"/>
      <c r="AD154" s="34"/>
      <c r="AE154" s="34"/>
      <c r="AF154" s="34"/>
      <c r="AG154" s="34"/>
      <c r="AH154" s="52"/>
      <c r="AI154" s="52"/>
      <c r="AK154" s="34"/>
      <c r="AL154" s="34"/>
      <c r="AM154" s="34"/>
      <c r="AN154" s="54"/>
      <c r="AO154" s="34"/>
      <c r="AP154" s="34"/>
      <c r="AQ154" s="54"/>
      <c r="AR154" s="54"/>
      <c r="AS154" s="54"/>
      <c r="AT154" s="54"/>
      <c r="AU154" s="34"/>
      <c r="AV154" s="34"/>
      <c r="AW154" s="34"/>
      <c r="AX154" s="34"/>
      <c r="AY154" s="34"/>
      <c r="AZ154" s="44"/>
      <c r="BA154" s="34"/>
      <c r="BB154" s="34"/>
    </row>
    <row r="155" spans="1:54" x14ac:dyDescent="0.35" ht="15.0" customHeight="true">
      <c r="A155" s="51"/>
      <c r="B155" s="34"/>
      <c r="C155" s="34"/>
      <c r="D155" s="34"/>
      <c r="E155" s="34"/>
      <c r="F155" s="34"/>
      <c r="G155" s="44"/>
      <c r="H155" s="34"/>
      <c r="I155" s="54"/>
      <c r="J155" s="34"/>
      <c r="K155" s="54"/>
      <c r="L155" s="34"/>
      <c r="M155" s="44"/>
      <c r="N155" s="44"/>
      <c r="O155" s="34"/>
      <c r="P155" s="34"/>
      <c r="Q155" s="34"/>
      <c r="R155" s="34"/>
      <c r="U155" s="44"/>
      <c r="W155" s="95"/>
      <c r="X155" s="54"/>
      <c r="Y155" s="54"/>
      <c r="Z155" s="34"/>
      <c r="AA155" s="34"/>
      <c r="AB155" s="34"/>
      <c r="AC155" s="34"/>
      <c r="AD155" s="34"/>
      <c r="AE155" s="34"/>
      <c r="AF155" s="34"/>
      <c r="AG155" s="34"/>
      <c r="AH155" s="52"/>
      <c r="AI155" s="52"/>
      <c r="AK155" s="34"/>
      <c r="AL155" s="34"/>
      <c r="AM155" s="34"/>
      <c r="AN155" s="54"/>
      <c r="AO155" s="34"/>
      <c r="AP155" s="34"/>
      <c r="AQ155" s="54"/>
      <c r="AR155" s="54"/>
      <c r="AS155" s="54"/>
      <c r="AT155" s="54"/>
      <c r="AU155" s="34"/>
      <c r="AV155" s="34"/>
      <c r="AW155" s="34"/>
      <c r="AX155" s="34"/>
      <c r="AY155" s="34"/>
      <c r="AZ155" s="44"/>
      <c r="BA155" s="34"/>
      <c r="BB155" s="34"/>
    </row>
    <row r="156" spans="1:54" x14ac:dyDescent="0.35" ht="15.0" customHeight="true">
      <c r="A156" s="51"/>
      <c r="B156" s="34"/>
      <c r="C156" s="34"/>
      <c r="D156" s="34"/>
      <c r="E156" s="34"/>
      <c r="F156" s="34"/>
      <c r="G156" s="44"/>
      <c r="H156" s="34"/>
      <c r="I156" s="54"/>
      <c r="J156" s="34"/>
      <c r="K156" s="54"/>
      <c r="L156" s="34"/>
      <c r="M156" s="44"/>
      <c r="N156" s="44"/>
      <c r="O156" s="34"/>
      <c r="P156" s="34"/>
      <c r="Q156" s="34"/>
      <c r="R156" s="34"/>
      <c r="U156" s="44"/>
      <c r="W156" s="95"/>
      <c r="X156" s="54"/>
      <c r="Y156" s="54"/>
      <c r="Z156" s="34"/>
      <c r="AA156" s="34"/>
      <c r="AB156" s="34"/>
      <c r="AC156" s="34"/>
      <c r="AD156" s="34"/>
      <c r="AE156" s="34"/>
      <c r="AF156" s="34"/>
      <c r="AG156" s="34"/>
      <c r="AH156" s="52"/>
      <c r="AI156" s="52"/>
      <c r="AK156" s="34"/>
      <c r="AL156" s="34"/>
      <c r="AM156" s="34"/>
      <c r="AN156" s="54"/>
      <c r="AO156" s="34"/>
      <c r="AP156" s="34"/>
      <c r="AQ156" s="54"/>
      <c r="AR156" s="54"/>
      <c r="AS156" s="54"/>
      <c r="AT156" s="54"/>
      <c r="AU156" s="34"/>
      <c r="AV156" s="34"/>
      <c r="AW156" s="34"/>
      <c r="AX156" s="34"/>
      <c r="AY156" s="34"/>
      <c r="AZ156" s="44"/>
      <c r="BA156" s="34"/>
      <c r="BB156" s="34"/>
    </row>
    <row r="157" spans="1:54" x14ac:dyDescent="0.35" ht="15.0" customHeight="true">
      <c r="A157" s="51"/>
      <c r="B157" s="34"/>
      <c r="C157" s="34"/>
      <c r="D157" s="34"/>
      <c r="E157" s="34"/>
      <c r="F157" s="34"/>
      <c r="G157" s="44"/>
      <c r="H157" s="34"/>
      <c r="I157" s="54"/>
      <c r="J157" s="34"/>
      <c r="K157" s="54"/>
      <c r="L157" s="34"/>
      <c r="M157" s="44"/>
      <c r="N157" s="44"/>
      <c r="O157" s="34"/>
      <c r="P157" s="34"/>
      <c r="Q157" s="34"/>
      <c r="R157" s="34"/>
      <c r="U157" s="44"/>
      <c r="W157" s="95"/>
      <c r="X157" s="54"/>
      <c r="Y157" s="54"/>
      <c r="Z157" s="34"/>
      <c r="AA157" s="34"/>
      <c r="AB157" s="34"/>
      <c r="AC157" s="34"/>
      <c r="AD157" s="34"/>
      <c r="AE157" s="34"/>
      <c r="AF157" s="34"/>
      <c r="AG157" s="34"/>
      <c r="AH157" s="52"/>
      <c r="AI157" s="52"/>
      <c r="AK157" s="34"/>
      <c r="AL157" s="34"/>
      <c r="AM157" s="34"/>
      <c r="AN157" s="54"/>
      <c r="AO157" s="34"/>
      <c r="AP157" s="34"/>
      <c r="AQ157" s="54"/>
      <c r="AR157" s="54"/>
      <c r="AS157" s="54"/>
      <c r="AT157" s="54"/>
      <c r="AU157" s="34"/>
      <c r="AV157" s="34"/>
      <c r="AW157" s="34"/>
      <c r="AX157" s="34"/>
      <c r="AY157" s="34"/>
      <c r="AZ157" s="44"/>
      <c r="BA157" s="34"/>
      <c r="BB157" s="34"/>
    </row>
    <row r="158" spans="1:54" x14ac:dyDescent="0.35" ht="15.0" customHeight="true">
      <c r="A158" s="51"/>
      <c r="B158" s="34"/>
      <c r="C158" s="34"/>
      <c r="D158" s="34"/>
      <c r="E158" s="34"/>
      <c r="F158" s="34"/>
      <c r="G158" s="44"/>
      <c r="H158" s="34"/>
      <c r="I158" s="54"/>
      <c r="J158" s="34"/>
      <c r="K158" s="54"/>
      <c r="L158" s="34"/>
      <c r="M158" s="44"/>
      <c r="N158" s="44"/>
      <c r="O158" s="34"/>
      <c r="P158" s="34"/>
      <c r="Q158" s="34"/>
      <c r="R158" s="34"/>
      <c r="U158" s="44"/>
      <c r="W158" s="95"/>
      <c r="X158" s="54"/>
      <c r="Y158" s="54"/>
      <c r="Z158" s="34"/>
      <c r="AA158" s="34"/>
      <c r="AB158" s="34"/>
      <c r="AC158" s="34"/>
      <c r="AD158" s="34"/>
      <c r="AE158" s="34"/>
      <c r="AF158" s="34"/>
      <c r="AG158" s="34"/>
      <c r="AH158" s="52"/>
      <c r="AI158" s="52"/>
      <c r="AK158" s="34"/>
      <c r="AL158" s="34"/>
      <c r="AM158" s="34"/>
      <c r="AN158" s="54"/>
      <c r="AO158" s="34"/>
      <c r="AP158" s="34"/>
      <c r="AQ158" s="54"/>
      <c r="AR158" s="54"/>
      <c r="AS158" s="54"/>
      <c r="AT158" s="54"/>
      <c r="AU158" s="34"/>
      <c r="AV158" s="34"/>
      <c r="AW158" s="34"/>
      <c r="AX158" s="34"/>
      <c r="AY158" s="34"/>
      <c r="AZ158" s="44"/>
      <c r="BA158" s="34"/>
      <c r="BB158" s="34"/>
    </row>
    <row r="159" spans="1:54" x14ac:dyDescent="0.35" ht="15.0" customHeight="true">
      <c r="A159" s="51"/>
      <c r="B159" s="34"/>
      <c r="C159" s="34"/>
      <c r="D159" s="34"/>
      <c r="E159" s="34"/>
      <c r="F159" s="34"/>
      <c r="G159" s="44"/>
      <c r="H159" s="34"/>
      <c r="I159" s="54"/>
      <c r="J159" s="34"/>
      <c r="K159" s="54"/>
      <c r="L159" s="34"/>
      <c r="M159" s="44"/>
      <c r="N159" s="44"/>
      <c r="O159" s="34"/>
      <c r="P159" s="34"/>
      <c r="Q159" s="34"/>
      <c r="R159" s="34"/>
      <c r="U159" s="44"/>
      <c r="W159" s="95"/>
      <c r="X159" s="54"/>
      <c r="Y159" s="54"/>
      <c r="Z159" s="34"/>
      <c r="AA159" s="34"/>
      <c r="AB159" s="34"/>
      <c r="AC159" s="34"/>
      <c r="AD159" s="34"/>
      <c r="AE159" s="34"/>
      <c r="AF159" s="34"/>
      <c r="AG159" s="34"/>
      <c r="AH159" s="52"/>
      <c r="AI159" s="52"/>
      <c r="AK159" s="34"/>
      <c r="AL159" s="34"/>
      <c r="AM159" s="34"/>
      <c r="AN159" s="54"/>
      <c r="AO159" s="34"/>
      <c r="AP159" s="34"/>
      <c r="AQ159" s="54"/>
      <c r="AR159" s="54"/>
      <c r="AS159" s="54"/>
      <c r="AT159" s="54"/>
      <c r="AU159" s="34"/>
      <c r="AV159" s="34"/>
      <c r="AW159" s="34"/>
      <c r="AX159" s="34"/>
      <c r="AY159" s="34"/>
      <c r="AZ159" s="44"/>
      <c r="BA159" s="34"/>
      <c r="BB159" s="34"/>
    </row>
    <row r="160" spans="1:54" x14ac:dyDescent="0.35" ht="15.0" customHeight="true">
      <c r="A160" s="51"/>
      <c r="B160" s="34"/>
      <c r="C160" s="34"/>
      <c r="D160" s="34"/>
      <c r="E160" s="34"/>
      <c r="F160" s="34"/>
      <c r="G160" s="44"/>
      <c r="H160" s="34"/>
      <c r="I160" s="54"/>
      <c r="J160" s="34"/>
      <c r="K160" s="54"/>
      <c r="L160" s="34"/>
      <c r="M160" s="44"/>
      <c r="N160" s="44"/>
      <c r="O160" s="34"/>
      <c r="P160" s="34"/>
      <c r="Q160" s="34"/>
      <c r="R160" s="34"/>
      <c r="U160" s="44"/>
      <c r="W160" s="95"/>
      <c r="X160" s="54"/>
      <c r="Y160" s="54"/>
      <c r="Z160" s="34"/>
      <c r="AA160" s="34"/>
      <c r="AB160" s="34"/>
      <c r="AC160" s="34"/>
      <c r="AD160" s="34"/>
      <c r="AE160" s="34"/>
      <c r="AF160" s="34"/>
      <c r="AG160" s="34"/>
      <c r="AH160" s="52"/>
      <c r="AI160" s="52"/>
      <c r="AK160" s="34"/>
      <c r="AL160" s="34"/>
      <c r="AM160" s="34"/>
      <c r="AN160" s="54"/>
      <c r="AO160" s="34"/>
      <c r="AP160" s="34"/>
      <c r="AQ160" s="54"/>
      <c r="AR160" s="54"/>
      <c r="AS160" s="54"/>
      <c r="AT160" s="54"/>
      <c r="AU160" s="34"/>
      <c r="AV160" s="34"/>
      <c r="AW160" s="34"/>
      <c r="AX160" s="34"/>
      <c r="AY160" s="34"/>
      <c r="AZ160" s="44"/>
      <c r="BA160" s="34"/>
      <c r="BB160" s="34"/>
    </row>
    <row r="161" spans="1:54" x14ac:dyDescent="0.35" ht="15.0" customHeight="true">
      <c r="A161" s="51"/>
      <c r="B161" s="34"/>
      <c r="C161" s="34"/>
      <c r="D161" s="34"/>
      <c r="E161" s="34"/>
      <c r="F161" s="34"/>
      <c r="G161" s="44"/>
      <c r="H161" s="34"/>
      <c r="I161" s="54"/>
      <c r="J161" s="34"/>
      <c r="K161" s="54"/>
      <c r="L161" s="34"/>
      <c r="M161" s="44"/>
      <c r="N161" s="44"/>
      <c r="O161" s="34"/>
      <c r="P161" s="34"/>
      <c r="Q161" s="34"/>
      <c r="R161" s="34"/>
      <c r="U161" s="44"/>
      <c r="W161" s="95"/>
      <c r="X161" s="54"/>
      <c r="Y161" s="54"/>
      <c r="Z161" s="34"/>
      <c r="AA161" s="34"/>
      <c r="AB161" s="34"/>
      <c r="AC161" s="34"/>
      <c r="AD161" s="34"/>
      <c r="AE161" s="34"/>
      <c r="AF161" s="34"/>
      <c r="AG161" s="34"/>
      <c r="AH161" s="52"/>
      <c r="AI161" s="52"/>
      <c r="AK161" s="34"/>
      <c r="AL161" s="34"/>
      <c r="AM161" s="34"/>
      <c r="AN161" s="54"/>
      <c r="AO161" s="34"/>
      <c r="AP161" s="34"/>
      <c r="AQ161" s="54"/>
      <c r="AR161" s="54"/>
      <c r="AS161" s="54"/>
      <c r="AT161" s="54"/>
      <c r="AU161" s="34"/>
      <c r="AV161" s="34"/>
      <c r="AW161" s="34"/>
      <c r="AX161" s="34"/>
      <c r="AY161" s="34"/>
      <c r="AZ161" s="44"/>
      <c r="BA161" s="34"/>
      <c r="BB161" s="34"/>
    </row>
    <row r="162" spans="1:54" x14ac:dyDescent="0.35" ht="15.0" customHeight="true">
      <c r="A162" s="51"/>
      <c r="B162" s="34"/>
      <c r="C162" s="34"/>
      <c r="D162" s="34"/>
      <c r="E162" s="34"/>
      <c r="F162" s="34"/>
      <c r="G162" s="44"/>
      <c r="H162" s="34"/>
      <c r="I162" s="54"/>
      <c r="J162" s="34"/>
      <c r="K162" s="54"/>
      <c r="L162" s="34"/>
      <c r="M162" s="44"/>
      <c r="N162" s="44"/>
      <c r="O162" s="34"/>
      <c r="P162" s="34"/>
      <c r="Q162" s="34"/>
      <c r="R162" s="34"/>
      <c r="U162" s="44"/>
      <c r="W162" s="95"/>
      <c r="X162" s="54"/>
      <c r="Y162" s="54"/>
      <c r="Z162" s="34"/>
      <c r="AA162" s="34"/>
      <c r="AB162" s="34"/>
      <c r="AC162" s="34"/>
      <c r="AD162" s="34"/>
      <c r="AE162" s="34"/>
      <c r="AF162" s="34"/>
      <c r="AG162" s="34"/>
      <c r="AH162" s="52"/>
      <c r="AI162" s="52"/>
      <c r="AK162" s="34"/>
      <c r="AL162" s="34"/>
      <c r="AM162" s="34"/>
      <c r="AN162" s="54"/>
      <c r="AO162" s="34"/>
      <c r="AP162" s="34"/>
      <c r="AQ162" s="54"/>
      <c r="AR162" s="54"/>
      <c r="AS162" s="54"/>
      <c r="AT162" s="54"/>
      <c r="AU162" s="34"/>
      <c r="AV162" s="34"/>
      <c r="AW162" s="34"/>
      <c r="AX162" s="34"/>
      <c r="AY162" s="34"/>
      <c r="AZ162" s="44"/>
      <c r="BA162" s="34"/>
      <c r="BB162" s="34"/>
    </row>
    <row r="163" spans="1:54" x14ac:dyDescent="0.35" ht="15.0" customHeight="true">
      <c r="A163" s="51"/>
      <c r="B163" s="34"/>
      <c r="C163" s="34"/>
      <c r="D163" s="34"/>
      <c r="E163" s="34"/>
      <c r="F163" s="34"/>
      <c r="G163" s="44"/>
      <c r="H163" s="34"/>
      <c r="I163" s="54"/>
      <c r="J163" s="34"/>
      <c r="K163" s="54"/>
      <c r="L163" s="34"/>
      <c r="M163" s="44"/>
      <c r="N163" s="44"/>
      <c r="O163" s="34"/>
      <c r="P163" s="34"/>
      <c r="Q163" s="34"/>
      <c r="R163" s="34"/>
      <c r="U163" s="44"/>
      <c r="W163" s="95"/>
      <c r="X163" s="54"/>
      <c r="Y163" s="54"/>
      <c r="Z163" s="34"/>
      <c r="AA163" s="34"/>
      <c r="AB163" s="34"/>
      <c r="AC163" s="34"/>
      <c r="AD163" s="34"/>
      <c r="AE163" s="34"/>
      <c r="AF163" s="34"/>
      <c r="AG163" s="34"/>
      <c r="AH163" s="52"/>
      <c r="AI163" s="52"/>
      <c r="AK163" s="34"/>
      <c r="AL163" s="34"/>
      <c r="AM163" s="34"/>
      <c r="AN163" s="54"/>
      <c r="AO163" s="34"/>
      <c r="AP163" s="34"/>
      <c r="AQ163" s="54"/>
      <c r="AR163" s="54"/>
      <c r="AS163" s="54"/>
      <c r="AT163" s="54"/>
      <c r="AU163" s="34"/>
      <c r="AV163" s="34"/>
      <c r="AW163" s="34"/>
      <c r="AX163" s="34"/>
      <c r="AY163" s="34"/>
      <c r="AZ163" s="44"/>
      <c r="BA163" s="34"/>
      <c r="BB163" s="34"/>
    </row>
    <row r="164" spans="1:54" x14ac:dyDescent="0.35" ht="15.0" customHeight="true">
      <c r="A164" s="51"/>
      <c r="B164" s="34"/>
      <c r="C164" s="34"/>
      <c r="D164" s="34"/>
      <c r="E164" s="34"/>
      <c r="F164" s="34"/>
      <c r="G164" s="44"/>
      <c r="H164" s="34"/>
      <c r="I164" s="54"/>
      <c r="J164" s="34"/>
      <c r="K164" s="54"/>
      <c r="L164" s="34"/>
      <c r="M164" s="44"/>
      <c r="N164" s="44"/>
      <c r="O164" s="34"/>
      <c r="P164" s="34"/>
      <c r="Q164" s="34"/>
      <c r="R164" s="34"/>
      <c r="U164" s="44"/>
      <c r="W164" s="95"/>
      <c r="X164" s="54"/>
      <c r="Y164" s="54"/>
      <c r="Z164" s="34"/>
      <c r="AA164" s="34"/>
      <c r="AB164" s="34"/>
      <c r="AC164" s="34"/>
      <c r="AD164" s="34"/>
      <c r="AE164" s="34"/>
      <c r="AF164" s="34"/>
      <c r="AG164" s="34"/>
      <c r="AH164" s="52"/>
      <c r="AI164" s="52"/>
      <c r="AK164" s="34"/>
      <c r="AL164" s="34"/>
      <c r="AM164" s="34"/>
      <c r="AN164" s="54"/>
      <c r="AO164" s="34"/>
      <c r="AP164" s="34"/>
      <c r="AQ164" s="54"/>
      <c r="AR164" s="54"/>
      <c r="AS164" s="54"/>
      <c r="AT164" s="54"/>
      <c r="AU164" s="34"/>
      <c r="AV164" s="34"/>
      <c r="AW164" s="34"/>
      <c r="AX164" s="34"/>
      <c r="AY164" s="34"/>
      <c r="AZ164" s="44"/>
      <c r="BA164" s="34"/>
      <c r="BB164" s="34"/>
    </row>
    <row r="165" spans="1:54" x14ac:dyDescent="0.35" ht="15.0" customHeight="true">
      <c r="A165" s="51"/>
      <c r="B165" s="34"/>
      <c r="C165" s="34"/>
      <c r="D165" s="34"/>
      <c r="E165" s="34"/>
      <c r="F165" s="34"/>
      <c r="G165" s="44"/>
      <c r="H165" s="34"/>
      <c r="I165" s="54"/>
      <c r="J165" s="34"/>
      <c r="K165" s="54"/>
      <c r="L165" s="34"/>
      <c r="M165" s="44"/>
      <c r="N165" s="44"/>
      <c r="O165" s="34"/>
      <c r="P165" s="34"/>
      <c r="Q165" s="34"/>
      <c r="R165" s="34"/>
      <c r="U165" s="44"/>
      <c r="W165" s="95"/>
      <c r="X165" s="54"/>
      <c r="Y165" s="54"/>
      <c r="Z165" s="34"/>
      <c r="AA165" s="34"/>
      <c r="AB165" s="34"/>
      <c r="AC165" s="34"/>
      <c r="AD165" s="34"/>
      <c r="AE165" s="34"/>
      <c r="AF165" s="34"/>
      <c r="AG165" s="34"/>
      <c r="AH165" s="52"/>
      <c r="AI165" s="52"/>
      <c r="AK165" s="34"/>
      <c r="AL165" s="34"/>
      <c r="AM165" s="34"/>
      <c r="AN165" s="54"/>
      <c r="AO165" s="34"/>
      <c r="AP165" s="34"/>
      <c r="AQ165" s="54"/>
      <c r="AR165" s="54"/>
      <c r="AS165" s="54"/>
      <c r="AT165" s="54"/>
      <c r="AU165" s="34"/>
      <c r="AV165" s="34"/>
      <c r="AW165" s="34"/>
      <c r="AX165" s="34"/>
      <c r="AY165" s="34"/>
      <c r="AZ165" s="44"/>
      <c r="BA165" s="34"/>
      <c r="BB165" s="34"/>
    </row>
    <row r="166" spans="1:54" x14ac:dyDescent="0.35" ht="15.0" customHeight="true">
      <c r="A166" s="51"/>
      <c r="B166" s="34"/>
      <c r="C166" s="34"/>
      <c r="D166" s="34"/>
      <c r="E166" s="34"/>
      <c r="F166" s="34"/>
      <c r="G166" s="44"/>
      <c r="H166" s="34"/>
      <c r="I166" s="54"/>
      <c r="J166" s="34"/>
      <c r="K166" s="54"/>
      <c r="L166" s="34"/>
      <c r="M166" s="44"/>
      <c r="N166" s="44"/>
      <c r="O166" s="34"/>
      <c r="P166" s="34"/>
      <c r="Q166" s="34"/>
      <c r="R166" s="34"/>
      <c r="U166" s="44"/>
      <c r="W166" s="95"/>
      <c r="X166" s="54"/>
      <c r="Y166" s="54"/>
      <c r="Z166" s="34"/>
      <c r="AA166" s="34"/>
      <c r="AB166" s="34"/>
      <c r="AC166" s="34"/>
      <c r="AD166" s="34"/>
      <c r="AE166" s="34"/>
      <c r="AF166" s="34"/>
      <c r="AG166" s="34"/>
      <c r="AH166" s="52"/>
      <c r="AI166" s="52"/>
      <c r="AK166" s="34"/>
      <c r="AL166" s="34"/>
      <c r="AM166" s="34"/>
      <c r="AN166" s="54"/>
      <c r="AO166" s="34"/>
      <c r="AP166" s="34"/>
      <c r="AQ166" s="54"/>
      <c r="AR166" s="54"/>
      <c r="AS166" s="54"/>
      <c r="AT166" s="54"/>
      <c r="AU166" s="34"/>
      <c r="AV166" s="34"/>
      <c r="AW166" s="34"/>
      <c r="AX166" s="34"/>
      <c r="AY166" s="34"/>
      <c r="AZ166" s="44"/>
      <c r="BA166" s="34"/>
      <c r="BB166" s="34"/>
    </row>
    <row r="167" spans="1:54" x14ac:dyDescent="0.35" ht="15.0" customHeight="true">
      <c r="A167" s="51"/>
      <c r="B167" s="34"/>
      <c r="C167" s="34"/>
      <c r="D167" s="34"/>
      <c r="E167" s="34"/>
      <c r="F167" s="34"/>
      <c r="G167" s="44"/>
      <c r="H167" s="34"/>
      <c r="I167" s="54"/>
      <c r="J167" s="34"/>
      <c r="K167" s="54"/>
      <c r="L167" s="34"/>
      <c r="M167" s="44"/>
      <c r="N167" s="44"/>
      <c r="O167" s="34"/>
      <c r="P167" s="34"/>
      <c r="Q167" s="34"/>
      <c r="R167" s="34"/>
      <c r="U167" s="44"/>
      <c r="W167" s="95"/>
      <c r="X167" s="54"/>
      <c r="Y167" s="54"/>
      <c r="Z167" s="34"/>
      <c r="AA167" s="34"/>
      <c r="AB167" s="34"/>
      <c r="AC167" s="34"/>
      <c r="AD167" s="34"/>
      <c r="AE167" s="34"/>
      <c r="AF167" s="34"/>
      <c r="AG167" s="34"/>
      <c r="AH167" s="52"/>
      <c r="AI167" s="52"/>
      <c r="AK167" s="34"/>
      <c r="AL167" s="34"/>
      <c r="AM167" s="34"/>
      <c r="AN167" s="54"/>
      <c r="AO167" s="34"/>
      <c r="AP167" s="34"/>
      <c r="AQ167" s="54"/>
      <c r="AR167" s="54"/>
      <c r="AS167" s="54"/>
      <c r="AT167" s="54"/>
      <c r="AU167" s="34"/>
      <c r="AV167" s="34"/>
      <c r="AW167" s="34"/>
      <c r="AX167" s="34"/>
      <c r="AY167" s="34"/>
      <c r="AZ167" s="44"/>
      <c r="BA167" s="34"/>
      <c r="BB167" s="34"/>
    </row>
    <row r="168" spans="1:54" x14ac:dyDescent="0.35" ht="15.0" customHeight="true">
      <c r="A168" s="51"/>
      <c r="B168" s="34"/>
      <c r="C168" s="34"/>
      <c r="D168" s="34"/>
      <c r="E168" s="34"/>
      <c r="F168" s="34"/>
      <c r="G168" s="44"/>
      <c r="H168" s="34"/>
      <c r="I168" s="54"/>
      <c r="J168" s="34"/>
      <c r="K168" s="54"/>
      <c r="L168" s="34"/>
      <c r="M168" s="44"/>
      <c r="N168" s="44"/>
      <c r="O168" s="34"/>
      <c r="P168" s="34"/>
      <c r="Q168" s="34"/>
      <c r="R168" s="34"/>
      <c r="U168" s="44"/>
      <c r="W168" s="95"/>
      <c r="X168" s="54"/>
      <c r="Y168" s="54"/>
      <c r="Z168" s="34"/>
      <c r="AA168" s="34"/>
      <c r="AB168" s="34"/>
      <c r="AC168" s="34"/>
      <c r="AD168" s="34"/>
      <c r="AE168" s="34"/>
      <c r="AF168" s="34"/>
      <c r="AG168" s="34"/>
      <c r="AH168" s="52"/>
      <c r="AI168" s="52"/>
      <c r="AK168" s="34"/>
      <c r="AL168" s="34"/>
      <c r="AM168" s="34"/>
      <c r="AN168" s="54"/>
      <c r="AO168" s="34"/>
      <c r="AP168" s="34"/>
      <c r="AQ168" s="54"/>
      <c r="AR168" s="54"/>
      <c r="AS168" s="54"/>
      <c r="AT168" s="54"/>
      <c r="AU168" s="34"/>
      <c r="AV168" s="34"/>
      <c r="AW168" s="34"/>
      <c r="AX168" s="34"/>
      <c r="AY168" s="34"/>
      <c r="AZ168" s="44"/>
      <c r="BA168" s="34"/>
      <c r="BB168" s="34"/>
    </row>
    <row r="169" spans="1:54" x14ac:dyDescent="0.35" ht="15.0" customHeight="true">
      <c r="A169" s="51"/>
      <c r="B169" s="34"/>
      <c r="C169" s="34"/>
      <c r="D169" s="34"/>
      <c r="E169" s="34"/>
      <c r="F169" s="34"/>
      <c r="G169" s="44"/>
      <c r="H169" s="34"/>
      <c r="I169" s="54"/>
      <c r="J169" s="34"/>
      <c r="K169" s="54"/>
      <c r="L169" s="34"/>
      <c r="M169" s="44"/>
      <c r="N169" s="44"/>
      <c r="O169" s="34"/>
      <c r="P169" s="34"/>
      <c r="Q169" s="34"/>
      <c r="R169" s="34"/>
      <c r="U169" s="44"/>
      <c r="W169" s="95"/>
      <c r="X169" s="54"/>
      <c r="Y169" s="54"/>
      <c r="Z169" s="34"/>
      <c r="AA169" s="34"/>
      <c r="AB169" s="34"/>
      <c r="AC169" s="34"/>
      <c r="AD169" s="34"/>
      <c r="AE169" s="34"/>
      <c r="AF169" s="34"/>
      <c r="AG169" s="34"/>
      <c r="AH169" s="52"/>
      <c r="AI169" s="52"/>
      <c r="AK169" s="34"/>
      <c r="AL169" s="34"/>
      <c r="AM169" s="34"/>
      <c r="AN169" s="54"/>
      <c r="AO169" s="34"/>
      <c r="AP169" s="34"/>
      <c r="AQ169" s="54"/>
      <c r="AR169" s="54"/>
      <c r="AS169" s="54"/>
      <c r="AT169" s="54"/>
      <c r="AU169" s="34"/>
      <c r="AV169" s="34"/>
      <c r="AW169" s="34"/>
      <c r="AX169" s="34"/>
      <c r="AY169" s="34"/>
      <c r="AZ169" s="44"/>
      <c r="BA169" s="34"/>
      <c r="BB169" s="34"/>
    </row>
    <row r="170" spans="1:54" x14ac:dyDescent="0.35" ht="15.0" customHeight="true">
      <c r="A170" s="51"/>
      <c r="B170" s="34"/>
      <c r="C170" s="34"/>
      <c r="D170" s="34"/>
      <c r="E170" s="34"/>
      <c r="F170" s="34"/>
      <c r="G170" s="44"/>
      <c r="H170" s="34"/>
      <c r="I170" s="54"/>
      <c r="J170" s="34"/>
      <c r="K170" s="54"/>
      <c r="L170" s="34"/>
      <c r="M170" s="44"/>
      <c r="N170" s="44"/>
      <c r="O170" s="34"/>
      <c r="P170" s="34"/>
      <c r="Q170" s="34"/>
      <c r="R170" s="34"/>
      <c r="U170" s="44"/>
      <c r="W170" s="95"/>
      <c r="X170" s="54"/>
      <c r="Y170" s="54"/>
      <c r="Z170" s="34"/>
      <c r="AA170" s="34"/>
      <c r="AB170" s="34"/>
      <c r="AC170" s="34"/>
      <c r="AD170" s="34"/>
      <c r="AE170" s="34"/>
      <c r="AF170" s="34"/>
      <c r="AG170" s="34"/>
      <c r="AH170" s="52"/>
      <c r="AI170" s="52"/>
      <c r="AK170" s="34"/>
      <c r="AL170" s="34"/>
      <c r="AM170" s="34"/>
      <c r="AN170" s="54"/>
      <c r="AO170" s="34"/>
      <c r="AP170" s="34"/>
      <c r="AQ170" s="54"/>
      <c r="AR170" s="54"/>
      <c r="AS170" s="54"/>
      <c r="AT170" s="54"/>
      <c r="AU170" s="34"/>
      <c r="AV170" s="34"/>
      <c r="AW170" s="34"/>
      <c r="AX170" s="34"/>
      <c r="AY170" s="34"/>
      <c r="AZ170" s="44"/>
      <c r="BA170" s="34"/>
      <c r="BB170" s="34"/>
    </row>
    <row r="171" spans="1:54" x14ac:dyDescent="0.35" ht="15.0" customHeight="true">
      <c r="A171" s="51"/>
      <c r="B171" s="34"/>
      <c r="C171" s="34"/>
      <c r="D171" s="34"/>
      <c r="E171" s="34"/>
      <c r="F171" s="34"/>
      <c r="G171" s="44"/>
      <c r="H171" s="34"/>
      <c r="I171" s="54"/>
      <c r="J171" s="34"/>
      <c r="K171" s="54"/>
      <c r="L171" s="34"/>
      <c r="M171" s="44"/>
      <c r="N171" s="44"/>
      <c r="O171" s="34"/>
      <c r="P171" s="34"/>
      <c r="Q171" s="34"/>
      <c r="R171" s="34"/>
      <c r="U171" s="44"/>
      <c r="W171" s="95"/>
      <c r="X171" s="54"/>
      <c r="Y171" s="54"/>
      <c r="Z171" s="34"/>
      <c r="AA171" s="34"/>
      <c r="AB171" s="34"/>
      <c r="AC171" s="34"/>
      <c r="AD171" s="34"/>
      <c r="AE171" s="34"/>
      <c r="AF171" s="34"/>
      <c r="AG171" s="34"/>
      <c r="AH171" s="52"/>
      <c r="AI171" s="52"/>
      <c r="AK171" s="34"/>
      <c r="AL171" s="34"/>
      <c r="AM171" s="34"/>
      <c r="AN171" s="54"/>
      <c r="AO171" s="34"/>
      <c r="AP171" s="34"/>
      <c r="AQ171" s="54"/>
      <c r="AR171" s="54"/>
      <c r="AS171" s="54"/>
      <c r="AT171" s="54"/>
      <c r="AU171" s="34"/>
      <c r="AV171" s="34"/>
      <c r="AW171" s="34"/>
      <c r="AX171" s="34"/>
      <c r="AY171" s="34"/>
      <c r="AZ171" s="44"/>
      <c r="BA171" s="34"/>
      <c r="BB171" s="34"/>
    </row>
    <row r="172" spans="1:54" x14ac:dyDescent="0.35" ht="15.0" customHeight="true">
      <c r="A172" s="51"/>
      <c r="B172" s="34"/>
      <c r="C172" s="34"/>
      <c r="D172" s="34"/>
      <c r="E172" s="34"/>
      <c r="F172" s="34"/>
      <c r="G172" s="44"/>
      <c r="H172" s="34"/>
      <c r="I172" s="54"/>
      <c r="J172" s="34"/>
      <c r="K172" s="54"/>
      <c r="L172" s="34"/>
      <c r="M172" s="44"/>
      <c r="N172" s="44"/>
      <c r="O172" s="34"/>
      <c r="P172" s="34"/>
      <c r="Q172" s="34"/>
      <c r="R172" s="34"/>
      <c r="U172" s="44"/>
      <c r="W172" s="95"/>
      <c r="X172" s="54"/>
      <c r="Y172" s="54"/>
      <c r="Z172" s="34"/>
      <c r="AA172" s="34"/>
      <c r="AB172" s="34"/>
      <c r="AC172" s="34"/>
      <c r="AD172" s="34"/>
      <c r="AE172" s="34"/>
      <c r="AF172" s="34"/>
      <c r="AG172" s="34"/>
      <c r="AH172" s="52"/>
      <c r="AI172" s="52"/>
      <c r="AK172" s="34"/>
      <c r="AL172" s="34"/>
      <c r="AM172" s="34"/>
      <c r="AN172" s="54"/>
      <c r="AO172" s="34"/>
      <c r="AP172" s="34"/>
      <c r="AQ172" s="54"/>
      <c r="AR172" s="54"/>
      <c r="AS172" s="54"/>
      <c r="AT172" s="54"/>
      <c r="AU172" s="34"/>
      <c r="AV172" s="34"/>
      <c r="AW172" s="34"/>
      <c r="AX172" s="34"/>
      <c r="AY172" s="34"/>
      <c r="AZ172" s="44"/>
      <c r="BA172" s="34"/>
      <c r="BB172" s="34"/>
    </row>
    <row r="173" spans="1:54" x14ac:dyDescent="0.35" ht="15.0" customHeight="true">
      <c r="A173" s="51"/>
      <c r="B173" s="34"/>
      <c r="C173" s="34"/>
      <c r="D173" s="34"/>
      <c r="E173" s="34"/>
      <c r="F173" s="34"/>
      <c r="G173" s="44"/>
      <c r="H173" s="34"/>
      <c r="I173" s="54"/>
      <c r="J173" s="34"/>
      <c r="K173" s="54"/>
      <c r="L173" s="34"/>
      <c r="M173" s="44"/>
      <c r="N173" s="44"/>
      <c r="O173" s="34"/>
      <c r="P173" s="34"/>
      <c r="Q173" s="34"/>
      <c r="R173" s="34"/>
      <c r="U173" s="44"/>
      <c r="W173" s="95"/>
      <c r="X173" s="54"/>
      <c r="Y173" s="54"/>
      <c r="Z173" s="34"/>
      <c r="AA173" s="34"/>
      <c r="AB173" s="34"/>
      <c r="AC173" s="34"/>
      <c r="AD173" s="34"/>
      <c r="AE173" s="34"/>
      <c r="AF173" s="34"/>
      <c r="AG173" s="34"/>
      <c r="AH173" s="52"/>
      <c r="AI173" s="52"/>
      <c r="AK173" s="34"/>
      <c r="AL173" s="34"/>
      <c r="AM173" s="34"/>
      <c r="AN173" s="54"/>
      <c r="AO173" s="34"/>
      <c r="AP173" s="34"/>
      <c r="AQ173" s="54"/>
      <c r="AR173" s="54"/>
      <c r="AS173" s="54"/>
      <c r="AT173" s="54"/>
      <c r="AU173" s="34"/>
      <c r="AV173" s="34"/>
      <c r="AW173" s="34"/>
      <c r="AX173" s="34"/>
      <c r="AY173" s="34"/>
      <c r="AZ173" s="44"/>
      <c r="BA173" s="34"/>
      <c r="BB173" s="34"/>
    </row>
    <row r="174" spans="1:54" x14ac:dyDescent="0.35" ht="15.0" customHeight="true">
      <c r="A174" s="51"/>
      <c r="B174" s="34"/>
      <c r="C174" s="34"/>
      <c r="D174" s="34"/>
      <c r="E174" s="34"/>
      <c r="F174" s="34"/>
      <c r="G174" s="44"/>
      <c r="H174" s="34"/>
      <c r="I174" s="54"/>
      <c r="J174" s="34"/>
      <c r="K174" s="54"/>
      <c r="L174" s="34"/>
      <c r="M174" s="44"/>
      <c r="N174" s="44"/>
      <c r="O174" s="34"/>
      <c r="P174" s="34"/>
      <c r="Q174" s="34"/>
      <c r="R174" s="34"/>
      <c r="U174" s="44"/>
      <c r="W174" s="95"/>
      <c r="X174" s="54"/>
      <c r="Y174" s="54"/>
      <c r="Z174" s="34"/>
      <c r="AA174" s="34"/>
      <c r="AB174" s="34"/>
      <c r="AC174" s="34"/>
      <c r="AD174" s="34"/>
      <c r="AE174" s="34"/>
      <c r="AF174" s="34"/>
      <c r="AG174" s="34"/>
      <c r="AH174" s="52"/>
      <c r="AI174" s="52"/>
      <c r="AK174" s="34"/>
      <c r="AL174" s="34"/>
      <c r="AM174" s="34"/>
      <c r="AN174" s="54"/>
      <c r="AO174" s="34"/>
      <c r="AP174" s="34"/>
      <c r="AQ174" s="54"/>
      <c r="AR174" s="54"/>
      <c r="AS174" s="54"/>
      <c r="AT174" s="54"/>
      <c r="AU174" s="34"/>
      <c r="AV174" s="34"/>
      <c r="AW174" s="34"/>
      <c r="AX174" s="34"/>
      <c r="AY174" s="34"/>
      <c r="AZ174" s="44"/>
      <c r="BA174" s="34"/>
      <c r="BB174" s="34"/>
    </row>
    <row r="175" spans="1:54" x14ac:dyDescent="0.35" ht="15.0" customHeight="true">
      <c r="A175" s="51"/>
      <c r="B175" s="34"/>
      <c r="C175" s="34"/>
      <c r="D175" s="34"/>
      <c r="E175" s="34"/>
      <c r="F175" s="34"/>
      <c r="G175" s="44"/>
      <c r="H175" s="34"/>
      <c r="I175" s="54"/>
      <c r="J175" s="34"/>
      <c r="K175" s="54"/>
      <c r="L175" s="34"/>
      <c r="M175" s="44"/>
      <c r="N175" s="44"/>
      <c r="O175" s="34"/>
      <c r="P175" s="34"/>
      <c r="Q175" s="34"/>
      <c r="R175" s="34"/>
      <c r="U175" s="44"/>
      <c r="W175" s="95"/>
      <c r="X175" s="54"/>
      <c r="Y175" s="54"/>
      <c r="Z175" s="34"/>
      <c r="AA175" s="34"/>
      <c r="AB175" s="34"/>
      <c r="AC175" s="34"/>
      <c r="AD175" s="34"/>
      <c r="AE175" s="34"/>
      <c r="AF175" s="34"/>
      <c r="AG175" s="34"/>
      <c r="AH175" s="52"/>
      <c r="AI175" s="52"/>
      <c r="AK175" s="34"/>
      <c r="AL175" s="34"/>
      <c r="AM175" s="34"/>
      <c r="AN175" s="54"/>
      <c r="AO175" s="34"/>
      <c r="AP175" s="34"/>
      <c r="AQ175" s="54"/>
      <c r="AR175" s="54"/>
      <c r="AS175" s="54"/>
      <c r="AT175" s="54"/>
      <c r="AU175" s="34"/>
      <c r="AV175" s="34"/>
      <c r="AW175" s="34"/>
      <c r="AX175" s="34"/>
      <c r="AY175" s="34"/>
      <c r="AZ175" s="44"/>
      <c r="BA175" s="34"/>
      <c r="BB175" s="34"/>
    </row>
    <row r="176" spans="1:54" x14ac:dyDescent="0.35" ht="15.0" customHeight="true">
      <c r="A176" s="51"/>
      <c r="B176" s="34"/>
      <c r="C176" s="34"/>
      <c r="D176" s="34"/>
      <c r="E176" s="34"/>
      <c r="F176" s="34"/>
      <c r="G176" s="44"/>
      <c r="H176" s="34"/>
      <c r="I176" s="54"/>
      <c r="J176" s="34"/>
      <c r="K176" s="54"/>
      <c r="L176" s="34"/>
      <c r="M176" s="44"/>
      <c r="N176" s="44"/>
      <c r="O176" s="34"/>
      <c r="P176" s="34"/>
      <c r="Q176" s="34"/>
      <c r="R176" s="34"/>
      <c r="U176" s="44"/>
      <c r="W176" s="95"/>
      <c r="X176" s="54"/>
      <c r="Y176" s="54"/>
      <c r="Z176" s="34"/>
      <c r="AA176" s="34"/>
      <c r="AB176" s="34"/>
      <c r="AC176" s="34"/>
      <c r="AD176" s="34"/>
      <c r="AE176" s="34"/>
      <c r="AF176" s="34"/>
      <c r="AG176" s="34"/>
      <c r="AH176" s="52"/>
      <c r="AI176" s="52"/>
      <c r="AK176" s="34"/>
      <c r="AL176" s="34"/>
      <c r="AM176" s="34"/>
      <c r="AN176" s="54"/>
      <c r="AO176" s="34"/>
      <c r="AP176" s="34"/>
      <c r="AQ176" s="54"/>
      <c r="AR176" s="54"/>
      <c r="AS176" s="54"/>
      <c r="AT176" s="54"/>
      <c r="AU176" s="34"/>
      <c r="AV176" s="34"/>
      <c r="AW176" s="34"/>
      <c r="AX176" s="34"/>
      <c r="AY176" s="34"/>
      <c r="AZ176" s="44"/>
      <c r="BA176" s="34"/>
      <c r="BB176" s="34"/>
    </row>
    <row r="177" spans="1:54" x14ac:dyDescent="0.35" ht="15.0" customHeight="true">
      <c r="A177" s="51"/>
      <c r="B177" s="34"/>
      <c r="C177" s="34"/>
      <c r="D177" s="34"/>
      <c r="E177" s="34"/>
      <c r="F177" s="34"/>
      <c r="G177" s="44"/>
      <c r="H177" s="34"/>
      <c r="I177" s="54"/>
      <c r="J177" s="34"/>
      <c r="K177" s="54"/>
      <c r="L177" s="34"/>
      <c r="M177" s="44"/>
      <c r="N177" s="44"/>
      <c r="O177" s="34"/>
      <c r="P177" s="34"/>
      <c r="Q177" s="34"/>
      <c r="R177" s="34"/>
      <c r="U177" s="44"/>
      <c r="W177" s="95"/>
      <c r="X177" s="54"/>
      <c r="Y177" s="54"/>
      <c r="Z177" s="34"/>
      <c r="AA177" s="34"/>
      <c r="AB177" s="34"/>
      <c r="AC177" s="34"/>
      <c r="AD177" s="34"/>
      <c r="AE177" s="34"/>
      <c r="AF177" s="34"/>
      <c r="AG177" s="34"/>
      <c r="AH177" s="52"/>
      <c r="AI177" s="52"/>
      <c r="AK177" s="34"/>
      <c r="AL177" s="34"/>
      <c r="AM177" s="34"/>
      <c r="AN177" s="54"/>
      <c r="AO177" s="34"/>
      <c r="AP177" s="34"/>
      <c r="AQ177" s="54"/>
      <c r="AR177" s="54"/>
      <c r="AS177" s="54"/>
      <c r="AT177" s="54"/>
      <c r="AU177" s="34"/>
      <c r="AV177" s="34"/>
      <c r="AW177" s="34"/>
      <c r="AX177" s="34"/>
      <c r="AY177" s="34"/>
      <c r="AZ177" s="44"/>
      <c r="BA177" s="34"/>
      <c r="BB177" s="34"/>
    </row>
    <row r="178" spans="1:54" x14ac:dyDescent="0.35" ht="15.0" customHeight="true">
      <c r="A178" s="51"/>
      <c r="B178" s="34"/>
      <c r="C178" s="34"/>
      <c r="D178" s="34"/>
      <c r="E178" s="34"/>
      <c r="F178" s="34"/>
      <c r="G178" s="44"/>
      <c r="H178" s="34"/>
      <c r="I178" s="54"/>
      <c r="J178" s="34"/>
      <c r="K178" s="54"/>
      <c r="L178" s="34"/>
      <c r="M178" s="44"/>
      <c r="N178" s="44"/>
      <c r="O178" s="34"/>
      <c r="P178" s="34"/>
      <c r="Q178" s="34"/>
      <c r="R178" s="34"/>
      <c r="U178" s="44"/>
      <c r="W178" s="95"/>
      <c r="X178" s="54"/>
      <c r="Y178" s="54"/>
      <c r="Z178" s="34"/>
      <c r="AA178" s="34"/>
      <c r="AB178" s="34"/>
      <c r="AC178" s="34"/>
      <c r="AD178" s="34"/>
      <c r="AE178" s="34"/>
      <c r="AF178" s="34"/>
      <c r="AG178" s="34"/>
      <c r="AH178" s="52"/>
      <c r="AI178" s="52"/>
      <c r="AK178" s="34"/>
      <c r="AL178" s="34"/>
      <c r="AM178" s="34"/>
      <c r="AN178" s="54"/>
      <c r="AO178" s="34"/>
      <c r="AP178" s="34"/>
      <c r="AQ178" s="54"/>
      <c r="AR178" s="54"/>
      <c r="AS178" s="54"/>
      <c r="AT178" s="54"/>
      <c r="AU178" s="34"/>
      <c r="AV178" s="34"/>
      <c r="AW178" s="34"/>
      <c r="AX178" s="34"/>
      <c r="AY178" s="34"/>
      <c r="AZ178" s="44"/>
      <c r="BA178" s="34"/>
      <c r="BB178" s="34"/>
    </row>
    <row r="179" spans="1:54" x14ac:dyDescent="0.35" ht="15.0" customHeight="true">
      <c r="A179" s="51"/>
      <c r="B179" s="34"/>
      <c r="C179" s="34"/>
      <c r="D179" s="34"/>
      <c r="E179" s="34"/>
      <c r="F179" s="34"/>
      <c r="G179" s="44"/>
      <c r="H179" s="34"/>
      <c r="I179" s="54"/>
      <c r="J179" s="34"/>
      <c r="K179" s="54"/>
      <c r="L179" s="34"/>
      <c r="M179" s="44"/>
      <c r="N179" s="44"/>
      <c r="O179" s="34"/>
      <c r="P179" s="34"/>
      <c r="Q179" s="34"/>
      <c r="R179" s="34"/>
      <c r="U179" s="44"/>
      <c r="W179" s="95"/>
      <c r="X179" s="54"/>
      <c r="Y179" s="54"/>
      <c r="Z179" s="34"/>
      <c r="AA179" s="34"/>
      <c r="AB179" s="34"/>
      <c r="AC179" s="34"/>
      <c r="AD179" s="34"/>
      <c r="AE179" s="34"/>
      <c r="AF179" s="34"/>
      <c r="AG179" s="34"/>
      <c r="AH179" s="52"/>
      <c r="AI179" s="52"/>
      <c r="AK179" s="34"/>
      <c r="AL179" s="34"/>
      <c r="AM179" s="34"/>
      <c r="AN179" s="54"/>
      <c r="AO179" s="34"/>
      <c r="AP179" s="34"/>
      <c r="AQ179" s="54"/>
      <c r="AR179" s="54"/>
      <c r="AS179" s="54"/>
      <c r="AT179" s="54"/>
      <c r="AU179" s="34"/>
      <c r="AV179" s="34"/>
      <c r="AW179" s="34"/>
      <c r="AX179" s="34"/>
      <c r="AY179" s="34"/>
      <c r="AZ179" s="44"/>
      <c r="BA179" s="34"/>
      <c r="BB179" s="34"/>
    </row>
    <row r="180" spans="1:54" x14ac:dyDescent="0.35" ht="15.0" customHeight="true">
      <c r="A180" s="51"/>
      <c r="B180" s="34"/>
      <c r="C180" s="34"/>
      <c r="D180" s="34"/>
      <c r="E180" s="34"/>
      <c r="F180" s="34"/>
      <c r="G180" s="44"/>
      <c r="H180" s="34"/>
      <c r="I180" s="54"/>
      <c r="J180" s="34"/>
      <c r="K180" s="54"/>
      <c r="L180" s="34"/>
      <c r="M180" s="44"/>
      <c r="N180" s="44"/>
      <c r="O180" s="34"/>
      <c r="P180" s="34"/>
      <c r="Q180" s="34"/>
      <c r="R180" s="34"/>
      <c r="U180" s="44"/>
      <c r="W180" s="95"/>
      <c r="X180" s="54"/>
      <c r="Y180" s="54"/>
      <c r="Z180" s="34"/>
      <c r="AA180" s="34"/>
      <c r="AB180" s="34"/>
      <c r="AC180" s="34"/>
      <c r="AD180" s="34"/>
      <c r="AE180" s="34"/>
      <c r="AF180" s="34"/>
      <c r="AG180" s="34"/>
      <c r="AH180" s="52"/>
      <c r="AI180" s="52"/>
      <c r="AK180" s="34"/>
      <c r="AL180" s="34"/>
      <c r="AM180" s="34"/>
      <c r="AN180" s="54"/>
      <c r="AO180" s="34"/>
      <c r="AP180" s="34"/>
      <c r="AQ180" s="54"/>
      <c r="AR180" s="54"/>
      <c r="AS180" s="54"/>
      <c r="AT180" s="54"/>
      <c r="AU180" s="34"/>
      <c r="AV180" s="34"/>
      <c r="AW180" s="34"/>
      <c r="AX180" s="34"/>
      <c r="AY180" s="34"/>
      <c r="AZ180" s="44"/>
      <c r="BA180" s="34"/>
      <c r="BB180" s="34"/>
    </row>
    <row r="181" spans="1:54" x14ac:dyDescent="0.35" ht="15.0" customHeight="true">
      <c r="A181" s="51"/>
      <c r="B181" s="34"/>
      <c r="C181" s="34"/>
      <c r="D181" s="34"/>
      <c r="E181" s="34"/>
      <c r="F181" s="34"/>
      <c r="G181" s="44"/>
      <c r="H181" s="34"/>
      <c r="I181" s="54"/>
      <c r="J181" s="34"/>
      <c r="K181" s="54"/>
      <c r="L181" s="34"/>
      <c r="M181" s="44"/>
      <c r="N181" s="44"/>
      <c r="O181" s="34"/>
      <c r="P181" s="34"/>
      <c r="Q181" s="34"/>
      <c r="R181" s="34"/>
      <c r="U181" s="44"/>
      <c r="W181" s="95"/>
      <c r="X181" s="54"/>
      <c r="Y181" s="54"/>
      <c r="Z181" s="34"/>
      <c r="AA181" s="34"/>
      <c r="AB181" s="34"/>
      <c r="AC181" s="34"/>
      <c r="AD181" s="34"/>
      <c r="AE181" s="34"/>
      <c r="AF181" s="34"/>
      <c r="AG181" s="34"/>
      <c r="AH181" s="52"/>
      <c r="AI181" s="52"/>
      <c r="AK181" s="34"/>
      <c r="AL181" s="34"/>
      <c r="AM181" s="34"/>
      <c r="AN181" s="54"/>
      <c r="AO181" s="34"/>
      <c r="AP181" s="34"/>
      <c r="AQ181" s="54"/>
      <c r="AR181" s="54"/>
      <c r="AS181" s="54"/>
      <c r="AT181" s="54"/>
      <c r="AU181" s="34"/>
      <c r="AV181" s="34"/>
      <c r="AW181" s="34"/>
      <c r="AX181" s="34"/>
      <c r="AY181" s="34"/>
      <c r="AZ181" s="44"/>
      <c r="BA181" s="34"/>
      <c r="BB181" s="34"/>
    </row>
    <row r="182" spans="1:54" x14ac:dyDescent="0.35" ht="15.0" customHeight="true">
      <c r="A182" s="51"/>
      <c r="B182" s="34"/>
      <c r="C182" s="34"/>
      <c r="D182" s="34"/>
      <c r="E182" s="34"/>
      <c r="F182" s="34"/>
      <c r="G182" s="44"/>
      <c r="H182" s="34"/>
      <c r="I182" s="54"/>
      <c r="J182" s="34"/>
      <c r="K182" s="54"/>
      <c r="L182" s="34"/>
      <c r="M182" s="44"/>
      <c r="N182" s="44"/>
      <c r="O182" s="34"/>
      <c r="P182" s="34"/>
      <c r="Q182" s="34"/>
      <c r="R182" s="34"/>
      <c r="U182" s="44"/>
      <c r="W182" s="95"/>
      <c r="X182" s="54"/>
      <c r="Y182" s="54"/>
      <c r="Z182" s="34"/>
      <c r="AA182" s="34"/>
      <c r="AB182" s="34"/>
      <c r="AC182" s="34"/>
      <c r="AD182" s="34"/>
      <c r="AE182" s="34"/>
      <c r="AF182" s="34"/>
      <c r="AG182" s="34"/>
      <c r="AH182" s="52"/>
      <c r="AI182" s="52"/>
      <c r="AK182" s="34"/>
      <c r="AL182" s="34"/>
      <c r="AM182" s="34"/>
      <c r="AN182" s="54"/>
      <c r="AO182" s="34"/>
      <c r="AP182" s="34"/>
      <c r="AQ182" s="54"/>
      <c r="AR182" s="54"/>
      <c r="AS182" s="54"/>
      <c r="AT182" s="54"/>
      <c r="AU182" s="34"/>
      <c r="AV182" s="34"/>
      <c r="AW182" s="34"/>
      <c r="AX182" s="34"/>
      <c r="AY182" s="34"/>
      <c r="AZ182" s="44"/>
      <c r="BA182" s="34"/>
      <c r="BB182" s="34"/>
    </row>
    <row r="183" spans="1:54" x14ac:dyDescent="0.35" ht="15.0" customHeight="true">
      <c r="A183" s="51"/>
      <c r="B183" s="34"/>
      <c r="C183" s="34"/>
      <c r="D183" s="34"/>
      <c r="E183" s="34"/>
      <c r="F183" s="34"/>
      <c r="G183" s="44"/>
      <c r="H183" s="34"/>
      <c r="I183" s="54"/>
      <c r="J183" s="34"/>
      <c r="K183" s="54"/>
      <c r="L183" s="34"/>
      <c r="M183" s="44"/>
      <c r="N183" s="44"/>
      <c r="O183" s="34"/>
      <c r="P183" s="34"/>
      <c r="Q183" s="34"/>
      <c r="R183" s="34"/>
      <c r="U183" s="44"/>
      <c r="W183" s="95"/>
      <c r="X183" s="54"/>
      <c r="Y183" s="54"/>
      <c r="Z183" s="34"/>
      <c r="AA183" s="34"/>
      <c r="AB183" s="34"/>
      <c r="AC183" s="34"/>
      <c r="AD183" s="34"/>
      <c r="AE183" s="34"/>
      <c r="AF183" s="34"/>
      <c r="AG183" s="34"/>
      <c r="AH183" s="52"/>
      <c r="AI183" s="52"/>
      <c r="AK183" s="34"/>
      <c r="AL183" s="34"/>
      <c r="AM183" s="34"/>
      <c r="AN183" s="54"/>
      <c r="AO183" s="34"/>
      <c r="AP183" s="34"/>
      <c r="AQ183" s="54"/>
      <c r="AR183" s="54"/>
      <c r="AS183" s="54"/>
      <c r="AT183" s="54"/>
      <c r="AU183" s="34"/>
      <c r="AV183" s="34"/>
      <c r="AW183" s="34"/>
      <c r="AX183" s="34"/>
      <c r="AY183" s="34"/>
      <c r="AZ183" s="44"/>
      <c r="BA183" s="34"/>
      <c r="BB183" s="34"/>
    </row>
    <row r="184" spans="1:54" x14ac:dyDescent="0.35" ht="15.0" customHeight="true">
      <c r="A184" s="51"/>
      <c r="B184" s="34"/>
      <c r="C184" s="34"/>
      <c r="D184" s="34"/>
      <c r="E184" s="34"/>
      <c r="F184" s="34"/>
      <c r="G184" s="44"/>
      <c r="H184" s="34"/>
      <c r="I184" s="54"/>
      <c r="J184" s="34"/>
      <c r="K184" s="54"/>
      <c r="L184" s="34"/>
      <c r="M184" s="44"/>
      <c r="N184" s="44"/>
      <c r="O184" s="34"/>
      <c r="P184" s="34"/>
      <c r="Q184" s="34"/>
      <c r="R184" s="34"/>
      <c r="U184" s="44"/>
      <c r="W184" s="95"/>
      <c r="X184" s="54"/>
      <c r="Y184" s="54"/>
      <c r="Z184" s="34"/>
      <c r="AA184" s="34"/>
      <c r="AB184" s="34"/>
      <c r="AC184" s="34"/>
      <c r="AD184" s="34"/>
      <c r="AE184" s="34"/>
      <c r="AF184" s="34"/>
      <c r="AG184" s="34"/>
      <c r="AH184" s="52"/>
      <c r="AI184" s="52"/>
      <c r="AK184" s="34"/>
      <c r="AL184" s="34"/>
      <c r="AM184" s="34"/>
      <c r="AN184" s="54"/>
      <c r="AO184" s="34"/>
      <c r="AP184" s="34"/>
      <c r="AQ184" s="54"/>
      <c r="AR184" s="54"/>
      <c r="AS184" s="54"/>
      <c r="AT184" s="54"/>
      <c r="AU184" s="34"/>
      <c r="AV184" s="34"/>
      <c r="AW184" s="34"/>
      <c r="AX184" s="34"/>
      <c r="AY184" s="34"/>
      <c r="AZ184" s="44"/>
      <c r="BA184" s="34"/>
      <c r="BB184" s="34"/>
    </row>
    <row r="185" spans="1:54" x14ac:dyDescent="0.35" ht="15.0" customHeight="true">
      <c r="A185" s="51"/>
      <c r="B185" s="34"/>
      <c r="C185" s="34"/>
      <c r="D185" s="34"/>
      <c r="E185" s="34"/>
      <c r="F185" s="34"/>
      <c r="G185" s="44"/>
      <c r="H185" s="34"/>
      <c r="I185" s="54"/>
      <c r="J185" s="34"/>
      <c r="K185" s="54"/>
      <c r="L185" s="34"/>
      <c r="M185" s="44"/>
      <c r="N185" s="44"/>
      <c r="O185" s="34"/>
      <c r="P185" s="34"/>
      <c r="Q185" s="34"/>
      <c r="R185" s="34"/>
      <c r="U185" s="44"/>
      <c r="W185" s="95"/>
      <c r="X185" s="54"/>
      <c r="Y185" s="54"/>
      <c r="Z185" s="34"/>
      <c r="AA185" s="34"/>
      <c r="AB185" s="34"/>
      <c r="AC185" s="34"/>
      <c r="AD185" s="34"/>
      <c r="AE185" s="34"/>
      <c r="AF185" s="34"/>
      <c r="AG185" s="34"/>
      <c r="AH185" s="52"/>
      <c r="AI185" s="52"/>
      <c r="AK185" s="34"/>
      <c r="AL185" s="34"/>
      <c r="AM185" s="34"/>
      <c r="AN185" s="54"/>
      <c r="AO185" s="34"/>
      <c r="AP185" s="34"/>
      <c r="AQ185" s="54"/>
      <c r="AR185" s="54"/>
      <c r="AS185" s="54"/>
      <c r="AT185" s="54"/>
      <c r="AU185" s="34"/>
      <c r="AV185" s="34"/>
      <c r="AW185" s="34"/>
      <c r="AX185" s="34"/>
      <c r="AY185" s="34"/>
      <c r="AZ185" s="44"/>
      <c r="BA185" s="34"/>
      <c r="BB185" s="34"/>
    </row>
    <row r="186" spans="1:54" x14ac:dyDescent="0.35" ht="15.0" customHeight="true">
      <c r="A186" s="51"/>
      <c r="B186" s="34"/>
      <c r="C186" s="34"/>
      <c r="D186" s="34"/>
      <c r="E186" s="34"/>
      <c r="F186" s="34"/>
      <c r="G186" s="44"/>
      <c r="H186" s="34"/>
      <c r="I186" s="54"/>
      <c r="J186" s="34"/>
      <c r="K186" s="54"/>
      <c r="L186" s="34"/>
      <c r="M186" s="44"/>
      <c r="N186" s="44"/>
      <c r="O186" s="34"/>
      <c r="P186" s="34"/>
      <c r="Q186" s="34"/>
      <c r="R186" s="34"/>
      <c r="U186" s="44"/>
      <c r="W186" s="95"/>
      <c r="X186" s="54"/>
      <c r="Y186" s="54"/>
      <c r="Z186" s="34"/>
      <c r="AA186" s="34"/>
      <c r="AB186" s="34"/>
      <c r="AC186" s="34"/>
      <c r="AD186" s="34"/>
      <c r="AE186" s="34"/>
      <c r="AF186" s="34"/>
      <c r="AG186" s="34"/>
      <c r="AH186" s="52"/>
      <c r="AI186" s="52"/>
      <c r="AK186" s="34"/>
      <c r="AL186" s="34"/>
      <c r="AM186" s="34"/>
      <c r="AN186" s="54"/>
      <c r="AO186" s="34"/>
      <c r="AP186" s="34"/>
      <c r="AQ186" s="54"/>
      <c r="AR186" s="54"/>
      <c r="AS186" s="54"/>
      <c r="AT186" s="54"/>
      <c r="AU186" s="34"/>
      <c r="AV186" s="34"/>
      <c r="AW186" s="34"/>
      <c r="AX186" s="34"/>
      <c r="AY186" s="34"/>
      <c r="AZ186" s="44"/>
      <c r="BA186" s="34"/>
      <c r="BB186" s="34"/>
    </row>
    <row r="187" spans="1:54" x14ac:dyDescent="0.35" ht="15.0" customHeight="true">
      <c r="A187" s="51"/>
      <c r="B187" s="34"/>
      <c r="C187" s="34"/>
      <c r="D187" s="34"/>
      <c r="E187" s="34"/>
      <c r="F187" s="34"/>
      <c r="G187" s="44"/>
      <c r="H187" s="34"/>
      <c r="I187" s="54"/>
      <c r="J187" s="34"/>
      <c r="K187" s="54"/>
      <c r="L187" s="34"/>
      <c r="M187" s="44"/>
      <c r="N187" s="44"/>
      <c r="O187" s="34"/>
      <c r="P187" s="34"/>
      <c r="Q187" s="34"/>
      <c r="R187" s="34"/>
      <c r="U187" s="44"/>
      <c r="W187" s="95"/>
      <c r="X187" s="54"/>
      <c r="Y187" s="54"/>
      <c r="Z187" s="34"/>
      <c r="AA187" s="34"/>
      <c r="AB187" s="34"/>
      <c r="AC187" s="34"/>
      <c r="AD187" s="34"/>
      <c r="AE187" s="34"/>
      <c r="AF187" s="34"/>
      <c r="AG187" s="34"/>
      <c r="AH187" s="52"/>
      <c r="AI187" s="52"/>
      <c r="AK187" s="34"/>
      <c r="AL187" s="34"/>
      <c r="AM187" s="34"/>
      <c r="AN187" s="54"/>
      <c r="AO187" s="34"/>
      <c r="AP187" s="34"/>
      <c r="AQ187" s="54"/>
      <c r="AR187" s="54"/>
      <c r="AS187" s="54"/>
      <c r="AT187" s="54"/>
      <c r="AU187" s="34"/>
      <c r="AV187" s="34"/>
      <c r="AW187" s="34"/>
      <c r="AX187" s="34"/>
      <c r="AY187" s="34"/>
      <c r="AZ187" s="44"/>
      <c r="BA187" s="34"/>
      <c r="BB187" s="34"/>
    </row>
    <row r="188" spans="1:54" x14ac:dyDescent="0.35" ht="15.0" customHeight="true">
      <c r="A188" s="51"/>
      <c r="B188" s="34"/>
      <c r="C188" s="34"/>
      <c r="D188" s="34"/>
      <c r="E188" s="34"/>
      <c r="F188" s="34"/>
      <c r="G188" s="44"/>
      <c r="H188" s="34"/>
      <c r="I188" s="54"/>
      <c r="J188" s="34"/>
      <c r="K188" s="54"/>
      <c r="L188" s="34"/>
      <c r="M188" s="44"/>
      <c r="N188" s="44"/>
      <c r="O188" s="34"/>
      <c r="P188" s="34"/>
      <c r="Q188" s="34"/>
      <c r="R188" s="34"/>
      <c r="U188" s="44"/>
      <c r="W188" s="95"/>
      <c r="X188" s="54"/>
      <c r="Y188" s="54"/>
      <c r="Z188" s="34"/>
      <c r="AA188" s="34"/>
      <c r="AB188" s="34"/>
      <c r="AC188" s="34"/>
      <c r="AD188" s="34"/>
      <c r="AE188" s="34"/>
      <c r="AF188" s="34"/>
      <c r="AG188" s="34"/>
      <c r="AH188" s="52"/>
      <c r="AI188" s="52"/>
      <c r="AK188" s="34"/>
      <c r="AL188" s="34"/>
      <c r="AM188" s="34"/>
      <c r="AN188" s="54"/>
      <c r="AO188" s="34"/>
      <c r="AP188" s="34"/>
      <c r="AQ188" s="54"/>
      <c r="AR188" s="54"/>
      <c r="AS188" s="54"/>
      <c r="AT188" s="54"/>
      <c r="AU188" s="34"/>
      <c r="AV188" s="34"/>
      <c r="AW188" s="34"/>
      <c r="AX188" s="34"/>
      <c r="AY188" s="34"/>
      <c r="AZ188" s="44"/>
      <c r="BA188" s="34"/>
      <c r="BB188" s="34"/>
    </row>
    <row r="189" spans="1:54" x14ac:dyDescent="0.35" ht="15.0" customHeight="true">
      <c r="A189" s="51"/>
      <c r="B189" s="34"/>
      <c r="C189" s="34"/>
      <c r="D189" s="34"/>
      <c r="E189" s="34"/>
      <c r="F189" s="34"/>
      <c r="G189" s="44"/>
      <c r="H189" s="34"/>
      <c r="I189" s="54"/>
      <c r="J189" s="34"/>
      <c r="K189" s="54"/>
      <c r="L189" s="34"/>
      <c r="M189" s="44"/>
      <c r="N189" s="44"/>
      <c r="O189" s="34"/>
      <c r="P189" s="34"/>
      <c r="Q189" s="34"/>
      <c r="R189" s="34"/>
      <c r="U189" s="44"/>
      <c r="W189" s="95"/>
      <c r="X189" s="54"/>
      <c r="Y189" s="54"/>
      <c r="Z189" s="34"/>
      <c r="AA189" s="34"/>
      <c r="AB189" s="34"/>
      <c r="AC189" s="34"/>
      <c r="AD189" s="34"/>
      <c r="AE189" s="34"/>
      <c r="AF189" s="34"/>
      <c r="AG189" s="34"/>
      <c r="AH189" s="52"/>
      <c r="AI189" s="52"/>
      <c r="AK189" s="34"/>
      <c r="AL189" s="34"/>
      <c r="AM189" s="34"/>
      <c r="AN189" s="54"/>
      <c r="AO189" s="34"/>
      <c r="AP189" s="34"/>
      <c r="AQ189" s="54"/>
      <c r="AR189" s="54"/>
      <c r="AS189" s="54"/>
      <c r="AT189" s="54"/>
      <c r="AU189" s="34"/>
      <c r="AV189" s="34"/>
      <c r="AW189" s="34"/>
      <c r="AX189" s="34"/>
      <c r="AY189" s="34"/>
      <c r="AZ189" s="44"/>
      <c r="BA189" s="34"/>
      <c r="BB189" s="34"/>
    </row>
    <row r="190" spans="1:54" x14ac:dyDescent="0.35" ht="15.0" customHeight="true">
      <c r="A190" s="51"/>
      <c r="B190" s="34"/>
      <c r="C190" s="34"/>
      <c r="D190" s="34"/>
      <c r="E190" s="34"/>
      <c r="F190" s="34"/>
      <c r="G190" s="44"/>
      <c r="H190" s="34"/>
      <c r="I190" s="54"/>
      <c r="J190" s="34"/>
      <c r="K190" s="54"/>
      <c r="L190" s="34"/>
      <c r="M190" s="44"/>
      <c r="N190" s="44"/>
      <c r="O190" s="34"/>
      <c r="P190" s="34"/>
      <c r="Q190" s="34"/>
      <c r="R190" s="34"/>
      <c r="U190" s="44"/>
      <c r="W190" s="95"/>
      <c r="X190" s="54"/>
      <c r="Y190" s="54"/>
      <c r="Z190" s="34"/>
      <c r="AA190" s="34"/>
      <c r="AB190" s="34"/>
      <c r="AC190" s="34"/>
      <c r="AD190" s="34"/>
      <c r="AE190" s="34"/>
      <c r="AF190" s="34"/>
      <c r="AG190" s="34"/>
      <c r="AH190" s="52"/>
      <c r="AI190" s="52"/>
      <c r="AK190" s="34"/>
      <c r="AL190" s="34"/>
      <c r="AM190" s="34"/>
      <c r="AN190" s="54"/>
      <c r="AO190" s="34"/>
      <c r="AP190" s="34"/>
      <c r="AQ190" s="54"/>
      <c r="AR190" s="54"/>
      <c r="AS190" s="54"/>
      <c r="AT190" s="54"/>
      <c r="AU190" s="34"/>
      <c r="AV190" s="34"/>
      <c r="AW190" s="34"/>
      <c r="AX190" s="34"/>
      <c r="AY190" s="34"/>
      <c r="AZ190" s="44"/>
      <c r="BA190" s="34"/>
      <c r="BB190" s="34"/>
    </row>
    <row r="191" spans="1:54" x14ac:dyDescent="0.35" ht="15.0" customHeight="true">
      <c r="A191" s="51"/>
      <c r="B191" s="34"/>
      <c r="C191" s="34"/>
      <c r="D191" s="34"/>
      <c r="E191" s="34"/>
      <c r="F191" s="34"/>
      <c r="G191" s="44"/>
      <c r="H191" s="34"/>
      <c r="I191" s="54"/>
      <c r="J191" s="34"/>
      <c r="K191" s="54"/>
      <c r="L191" s="34"/>
      <c r="M191" s="44"/>
      <c r="N191" s="44"/>
      <c r="O191" s="34"/>
      <c r="P191" s="34"/>
      <c r="Q191" s="34"/>
      <c r="R191" s="34"/>
      <c r="U191" s="44"/>
      <c r="W191" s="95"/>
      <c r="X191" s="54"/>
      <c r="Y191" s="54"/>
      <c r="Z191" s="34"/>
      <c r="AA191" s="34"/>
      <c r="AB191" s="34"/>
      <c r="AC191" s="34"/>
      <c r="AD191" s="34"/>
      <c r="AE191" s="34"/>
      <c r="AF191" s="34"/>
      <c r="AG191" s="34"/>
      <c r="AH191" s="52"/>
      <c r="AI191" s="52"/>
      <c r="AK191" s="34"/>
      <c r="AL191" s="34"/>
      <c r="AM191" s="34"/>
      <c r="AN191" s="54"/>
      <c r="AO191" s="34"/>
      <c r="AP191" s="34"/>
      <c r="AQ191" s="54"/>
      <c r="AR191" s="54"/>
      <c r="AS191" s="54"/>
      <c r="AT191" s="54"/>
      <c r="AU191" s="34"/>
      <c r="AV191" s="34"/>
      <c r="AW191" s="34"/>
      <c r="AX191" s="34"/>
      <c r="AY191" s="34"/>
      <c r="AZ191" s="44"/>
      <c r="BA191" s="34"/>
      <c r="BB191" s="34"/>
    </row>
    <row r="192" spans="1:54" x14ac:dyDescent="0.35" ht="15.0" customHeight="true">
      <c r="A192" s="51"/>
      <c r="B192" s="34"/>
      <c r="C192" s="34"/>
      <c r="D192" s="34"/>
      <c r="E192" s="34"/>
      <c r="F192" s="34"/>
      <c r="G192" s="44"/>
      <c r="H192" s="34"/>
      <c r="I192" s="54"/>
      <c r="J192" s="34"/>
      <c r="K192" s="54"/>
      <c r="L192" s="34"/>
      <c r="M192" s="44"/>
      <c r="N192" s="44"/>
      <c r="O192" s="34"/>
      <c r="P192" s="34"/>
      <c r="Q192" s="34"/>
      <c r="R192" s="34"/>
      <c r="U192" s="44"/>
      <c r="W192" s="95"/>
      <c r="X192" s="54"/>
      <c r="Y192" s="54"/>
      <c r="Z192" s="34"/>
      <c r="AA192" s="34"/>
      <c r="AB192" s="34"/>
      <c r="AC192" s="34"/>
      <c r="AD192" s="34"/>
      <c r="AE192" s="34"/>
      <c r="AF192" s="34"/>
      <c r="AG192" s="34"/>
      <c r="AH192" s="52"/>
      <c r="AI192" s="52"/>
      <c r="AK192" s="34"/>
      <c r="AL192" s="34"/>
      <c r="AM192" s="34"/>
      <c r="AN192" s="54"/>
      <c r="AO192" s="34"/>
      <c r="AP192" s="34"/>
      <c r="AQ192" s="54"/>
      <c r="AR192" s="54"/>
      <c r="AS192" s="54"/>
      <c r="AT192" s="54"/>
      <c r="AU192" s="34"/>
      <c r="AV192" s="34"/>
      <c r="AW192" s="34"/>
      <c r="AX192" s="34"/>
      <c r="AY192" s="34"/>
      <c r="AZ192" s="44"/>
      <c r="BA192" s="34"/>
      <c r="BB192" s="34"/>
    </row>
    <row r="193" spans="1:54" x14ac:dyDescent="0.35" ht="15.0" customHeight="true">
      <c r="A193" s="51"/>
      <c r="B193" s="34"/>
      <c r="C193" s="34"/>
      <c r="D193" s="34"/>
      <c r="E193" s="34"/>
      <c r="F193" s="34"/>
      <c r="G193" s="44"/>
      <c r="H193" s="34"/>
      <c r="I193" s="54"/>
      <c r="J193" s="34"/>
      <c r="K193" s="54"/>
      <c r="L193" s="34"/>
      <c r="M193" s="44"/>
      <c r="N193" s="44"/>
      <c r="O193" s="34"/>
      <c r="P193" s="34"/>
      <c r="Q193" s="34"/>
      <c r="R193" s="34"/>
      <c r="U193" s="44"/>
      <c r="W193" s="95"/>
      <c r="X193" s="54"/>
      <c r="Y193" s="54"/>
      <c r="Z193" s="34"/>
      <c r="AA193" s="34"/>
      <c r="AB193" s="34"/>
      <c r="AC193" s="34"/>
      <c r="AD193" s="34"/>
      <c r="AE193" s="34"/>
      <c r="AF193" s="34"/>
      <c r="AG193" s="34"/>
      <c r="AH193" s="52"/>
      <c r="AI193" s="52"/>
      <c r="AK193" s="34"/>
      <c r="AL193" s="34"/>
      <c r="AM193" s="34"/>
      <c r="AN193" s="54"/>
      <c r="AO193" s="34"/>
      <c r="AP193" s="34"/>
      <c r="AQ193" s="54"/>
      <c r="AR193" s="54"/>
      <c r="AS193" s="54"/>
      <c r="AT193" s="54"/>
      <c r="AU193" s="34"/>
      <c r="AV193" s="34"/>
      <c r="AW193" s="34"/>
      <c r="AX193" s="34"/>
      <c r="AY193" s="34"/>
      <c r="AZ193" s="44"/>
      <c r="BA193" s="34"/>
      <c r="BB193" s="34"/>
    </row>
    <row r="194" spans="1:54" x14ac:dyDescent="0.35" ht="15.0" customHeight="true">
      <c r="A194" s="51"/>
      <c r="B194" s="34"/>
      <c r="C194" s="34"/>
      <c r="D194" s="34"/>
      <c r="E194" s="34"/>
      <c r="F194" s="34"/>
      <c r="G194" s="44"/>
      <c r="H194" s="34"/>
      <c r="I194" s="54"/>
      <c r="J194" s="34"/>
      <c r="K194" s="54"/>
      <c r="L194" s="34"/>
      <c r="M194" s="44"/>
      <c r="N194" s="44"/>
      <c r="O194" s="34"/>
      <c r="P194" s="34"/>
      <c r="Q194" s="34"/>
      <c r="R194" s="34"/>
      <c r="U194" s="44"/>
      <c r="W194" s="95"/>
      <c r="X194" s="54"/>
      <c r="Y194" s="54"/>
      <c r="Z194" s="34"/>
      <c r="AA194" s="34"/>
      <c r="AB194" s="34"/>
      <c r="AC194" s="34"/>
      <c r="AD194" s="34"/>
      <c r="AE194" s="34"/>
      <c r="AF194" s="34"/>
      <c r="AG194" s="34"/>
      <c r="AH194" s="52"/>
      <c r="AI194" s="52"/>
      <c r="AK194" s="34"/>
      <c r="AL194" s="34"/>
      <c r="AM194" s="34"/>
      <c r="AN194" s="54"/>
      <c r="AO194" s="34"/>
      <c r="AP194" s="34"/>
      <c r="AQ194" s="54"/>
      <c r="AR194" s="54"/>
      <c r="AS194" s="54"/>
      <c r="AT194" s="54"/>
      <c r="AU194" s="34"/>
      <c r="AV194" s="34"/>
      <c r="AW194" s="34"/>
      <c r="AX194" s="34"/>
      <c r="AY194" s="34"/>
      <c r="AZ194" s="44"/>
      <c r="BA194" s="34"/>
      <c r="BB194" s="34"/>
    </row>
    <row r="195" spans="1:54" x14ac:dyDescent="0.35" ht="15.0" customHeight="true">
      <c r="A195" s="51"/>
      <c r="B195" s="34"/>
      <c r="C195" s="34"/>
      <c r="D195" s="34"/>
      <c r="E195" s="34"/>
      <c r="F195" s="34"/>
      <c r="G195" s="44"/>
      <c r="H195" s="34"/>
      <c r="I195" s="54"/>
      <c r="J195" s="34"/>
      <c r="K195" s="54"/>
      <c r="L195" s="34"/>
      <c r="M195" s="44"/>
      <c r="N195" s="44"/>
      <c r="O195" s="34"/>
      <c r="P195" s="34"/>
      <c r="Q195" s="34"/>
      <c r="R195" s="34"/>
      <c r="U195" s="44"/>
      <c r="W195" s="95"/>
      <c r="X195" s="54"/>
      <c r="Y195" s="54"/>
      <c r="Z195" s="34"/>
      <c r="AA195" s="34"/>
      <c r="AB195" s="34"/>
      <c r="AC195" s="34"/>
      <c r="AD195" s="34"/>
      <c r="AE195" s="34"/>
      <c r="AF195" s="34"/>
      <c r="AG195" s="34"/>
      <c r="AH195" s="52"/>
      <c r="AI195" s="52"/>
      <c r="AK195" s="34"/>
      <c r="AL195" s="34"/>
      <c r="AM195" s="34"/>
      <c r="AN195" s="54"/>
      <c r="AO195" s="34"/>
      <c r="AP195" s="34"/>
      <c r="AQ195" s="54"/>
      <c r="AR195" s="54"/>
      <c r="AS195" s="54"/>
      <c r="AT195" s="54"/>
      <c r="AU195" s="34"/>
      <c r="AV195" s="34"/>
      <c r="AW195" s="34"/>
      <c r="AX195" s="34"/>
      <c r="AY195" s="34"/>
      <c r="AZ195" s="44"/>
      <c r="BA195" s="34"/>
      <c r="BB195" s="34"/>
    </row>
    <row r="196" spans="1:54" x14ac:dyDescent="0.35" ht="15.0" customHeight="true">
      <c r="A196" s="51"/>
      <c r="B196" s="34"/>
      <c r="C196" s="34"/>
      <c r="D196" s="34"/>
      <c r="E196" s="34"/>
      <c r="F196" s="34"/>
      <c r="G196" s="44"/>
      <c r="H196" s="34"/>
      <c r="I196" s="54"/>
      <c r="J196" s="34"/>
      <c r="K196" s="54"/>
      <c r="L196" s="34"/>
      <c r="M196" s="44"/>
      <c r="N196" s="44"/>
      <c r="O196" s="34"/>
      <c r="P196" s="34"/>
      <c r="Q196" s="34"/>
      <c r="R196" s="34"/>
      <c r="U196" s="44"/>
      <c r="W196" s="95"/>
      <c r="X196" s="54"/>
      <c r="Y196" s="54"/>
      <c r="Z196" s="34"/>
      <c r="AA196" s="34"/>
      <c r="AB196" s="34"/>
      <c r="AC196" s="34"/>
      <c r="AD196" s="34"/>
      <c r="AE196" s="34"/>
      <c r="AF196" s="34"/>
      <c r="AG196" s="34"/>
      <c r="AH196" s="52"/>
      <c r="AI196" s="52"/>
      <c r="AK196" s="34"/>
      <c r="AL196" s="34"/>
      <c r="AM196" s="34"/>
      <c r="AN196" s="54"/>
      <c r="AO196" s="34"/>
      <c r="AP196" s="34"/>
      <c r="AQ196" s="54"/>
      <c r="AR196" s="54"/>
      <c r="AS196" s="54"/>
      <c r="AT196" s="54"/>
      <c r="AU196" s="34"/>
      <c r="AV196" s="34"/>
      <c r="AW196" s="34"/>
      <c r="AX196" s="34"/>
      <c r="AY196" s="34"/>
      <c r="AZ196" s="44"/>
      <c r="BA196" s="34"/>
      <c r="BB196" s="34"/>
    </row>
    <row r="197" spans="1:54" x14ac:dyDescent="0.35" ht="15.0" customHeight="true">
      <c r="A197" s="51"/>
      <c r="B197" s="34"/>
      <c r="C197" s="34"/>
      <c r="D197" s="34"/>
      <c r="E197" s="34"/>
      <c r="F197" s="34"/>
      <c r="G197" s="44"/>
      <c r="H197" s="34"/>
      <c r="I197" s="54"/>
      <c r="J197" s="34"/>
      <c r="K197" s="54"/>
      <c r="L197" s="34"/>
      <c r="M197" s="44"/>
      <c r="N197" s="44"/>
      <c r="O197" s="34"/>
      <c r="P197" s="34"/>
      <c r="Q197" s="34"/>
      <c r="R197" s="34"/>
      <c r="U197" s="44"/>
      <c r="W197" s="95"/>
      <c r="X197" s="54"/>
      <c r="Y197" s="54"/>
      <c r="Z197" s="34"/>
      <c r="AA197" s="34"/>
      <c r="AB197" s="34"/>
      <c r="AC197" s="34"/>
      <c r="AD197" s="34"/>
      <c r="AE197" s="34"/>
      <c r="AF197" s="34"/>
      <c r="AG197" s="34"/>
      <c r="AH197" s="52"/>
      <c r="AI197" s="52"/>
      <c r="AK197" s="34"/>
      <c r="AL197" s="34"/>
      <c r="AM197" s="34"/>
      <c r="AN197" s="54"/>
      <c r="AO197" s="34"/>
      <c r="AP197" s="34"/>
      <c r="AQ197" s="54"/>
      <c r="AR197" s="54"/>
      <c r="AS197" s="54"/>
      <c r="AT197" s="54"/>
      <c r="AU197" s="34"/>
      <c r="AV197" s="34"/>
      <c r="AW197" s="34"/>
      <c r="AX197" s="34"/>
      <c r="AY197" s="34"/>
      <c r="AZ197" s="44"/>
      <c r="BA197" s="34"/>
      <c r="BB197" s="34"/>
    </row>
    <row r="198" spans="1:54" x14ac:dyDescent="0.35" ht="15.0" customHeight="true">
      <c r="A198" s="51"/>
      <c r="B198" s="34"/>
      <c r="C198" s="34"/>
      <c r="D198" s="34"/>
      <c r="E198" s="34"/>
      <c r="F198" s="34"/>
      <c r="G198" s="44"/>
      <c r="H198" s="34"/>
      <c r="I198" s="54"/>
      <c r="J198" s="34"/>
      <c r="K198" s="54"/>
      <c r="L198" s="34"/>
      <c r="M198" s="44"/>
      <c r="N198" s="44"/>
      <c r="O198" s="34"/>
      <c r="P198" s="34"/>
      <c r="Q198" s="34"/>
      <c r="R198" s="34"/>
      <c r="U198" s="44"/>
      <c r="W198" s="95"/>
      <c r="X198" s="54"/>
      <c r="Y198" s="54"/>
      <c r="Z198" s="34"/>
      <c r="AA198" s="34"/>
      <c r="AB198" s="34"/>
      <c r="AC198" s="34"/>
      <c r="AD198" s="34"/>
      <c r="AE198" s="34"/>
      <c r="AF198" s="34"/>
      <c r="AG198" s="34"/>
      <c r="AH198" s="52"/>
      <c r="AI198" s="52"/>
      <c r="AK198" s="34"/>
      <c r="AL198" s="34"/>
      <c r="AM198" s="34"/>
      <c r="AN198" s="54"/>
      <c r="AO198" s="34"/>
      <c r="AP198" s="34"/>
      <c r="AQ198" s="54"/>
      <c r="AR198" s="54"/>
      <c r="AS198" s="54"/>
      <c r="AT198" s="54"/>
      <c r="AU198" s="34"/>
      <c r="AV198" s="34"/>
      <c r="AW198" s="34"/>
      <c r="AX198" s="34"/>
      <c r="AY198" s="34"/>
      <c r="AZ198" s="44"/>
      <c r="BA198" s="34"/>
      <c r="BB198" s="34"/>
    </row>
    <row r="199" spans="1:54" x14ac:dyDescent="0.35" ht="15.0" customHeight="true">
      <c r="A199" s="51"/>
      <c r="B199" s="34"/>
      <c r="C199" s="34"/>
      <c r="D199" s="34"/>
      <c r="E199" s="34"/>
      <c r="F199" s="34"/>
      <c r="G199" s="44"/>
      <c r="H199" s="34"/>
      <c r="I199" s="54"/>
      <c r="J199" s="34"/>
      <c r="K199" s="54"/>
      <c r="L199" s="34"/>
      <c r="M199" s="44"/>
      <c r="N199" s="44"/>
      <c r="O199" s="34"/>
      <c r="P199" s="34"/>
      <c r="Q199" s="34"/>
      <c r="R199" s="34"/>
      <c r="U199" s="44"/>
      <c r="W199" s="95"/>
      <c r="X199" s="54"/>
      <c r="Y199" s="54"/>
      <c r="Z199" s="34"/>
      <c r="AA199" s="34"/>
      <c r="AB199" s="34"/>
      <c r="AC199" s="34"/>
      <c r="AD199" s="34"/>
      <c r="AE199" s="34"/>
      <c r="AF199" s="34"/>
      <c r="AG199" s="34"/>
      <c r="AH199" s="52"/>
      <c r="AI199" s="52"/>
      <c r="AK199" s="34"/>
      <c r="AL199" s="34"/>
      <c r="AM199" s="34"/>
      <c r="AN199" s="54"/>
      <c r="AO199" s="34"/>
      <c r="AP199" s="34"/>
      <c r="AQ199" s="54"/>
      <c r="AR199" s="54"/>
      <c r="AS199" s="54"/>
      <c r="AT199" s="54"/>
      <c r="AU199" s="34"/>
      <c r="AV199" s="34"/>
      <c r="AW199" s="34"/>
      <c r="AX199" s="34"/>
      <c r="AY199" s="34"/>
      <c r="AZ199" s="44"/>
      <c r="BA199" s="34"/>
      <c r="BB199" s="34"/>
    </row>
    <row r="200" spans="1:54" x14ac:dyDescent="0.35" ht="15.0" customHeight="true">
      <c r="A200" s="51"/>
      <c r="B200" s="34"/>
      <c r="C200" s="34"/>
      <c r="D200" s="34"/>
      <c r="E200" s="34"/>
      <c r="F200" s="34"/>
      <c r="G200" s="44"/>
      <c r="H200" s="34"/>
      <c r="I200" s="54"/>
      <c r="J200" s="34"/>
      <c r="K200" s="54"/>
      <c r="L200" s="34"/>
      <c r="M200" s="44"/>
      <c r="N200" s="44"/>
      <c r="O200" s="34"/>
      <c r="P200" s="34"/>
      <c r="Q200" s="34"/>
      <c r="R200" s="34"/>
      <c r="U200" s="44"/>
      <c r="W200" s="95"/>
      <c r="X200" s="54"/>
      <c r="Y200" s="54"/>
      <c r="Z200" s="34"/>
      <c r="AA200" s="34"/>
      <c r="AB200" s="34"/>
      <c r="AC200" s="34"/>
      <c r="AD200" s="34"/>
      <c r="AE200" s="34"/>
      <c r="AF200" s="34"/>
      <c r="AG200" s="34"/>
      <c r="AH200" s="52"/>
      <c r="AI200" s="52"/>
      <c r="AK200" s="34"/>
      <c r="AL200" s="34"/>
      <c r="AM200" s="34"/>
      <c r="AN200" s="54"/>
      <c r="AO200" s="34"/>
      <c r="AP200" s="34"/>
      <c r="AQ200" s="54"/>
      <c r="AR200" s="54"/>
      <c r="AS200" s="54"/>
      <c r="AT200" s="54"/>
      <c r="AU200" s="34"/>
      <c r="AV200" s="34"/>
      <c r="AW200" s="34"/>
      <c r="AX200" s="34"/>
      <c r="AY200" s="34"/>
      <c r="AZ200" s="44"/>
      <c r="BA200" s="34"/>
      <c r="BB200" s="34"/>
    </row>
    <row r="201" spans="1:54" x14ac:dyDescent="0.35" ht="15.0" customHeight="true">
      <c r="A201" s="51"/>
      <c r="B201" s="34"/>
      <c r="C201" s="34"/>
      <c r="D201" s="34"/>
      <c r="E201" s="34"/>
      <c r="F201" s="34"/>
      <c r="G201" s="44"/>
      <c r="H201" s="34"/>
      <c r="I201" s="54"/>
      <c r="J201" s="34"/>
      <c r="K201" s="54"/>
      <c r="L201" s="34"/>
      <c r="M201" s="44"/>
      <c r="N201" s="44"/>
      <c r="O201" s="34"/>
      <c r="P201" s="34"/>
      <c r="Q201" s="34"/>
      <c r="R201" s="34"/>
      <c r="U201" s="44"/>
      <c r="W201" s="95"/>
      <c r="X201" s="54"/>
      <c r="Y201" s="54"/>
      <c r="Z201" s="34"/>
      <c r="AA201" s="34"/>
      <c r="AB201" s="34"/>
      <c r="AC201" s="34"/>
      <c r="AD201" s="34"/>
      <c r="AE201" s="34"/>
      <c r="AF201" s="34"/>
      <c r="AG201" s="34"/>
      <c r="AH201" s="52"/>
      <c r="AI201" s="52"/>
      <c r="AK201" s="34"/>
      <c r="AL201" s="34"/>
      <c r="AM201" s="34"/>
      <c r="AN201" s="54"/>
      <c r="AO201" s="34"/>
      <c r="AP201" s="34"/>
      <c r="AQ201" s="54"/>
      <c r="AR201" s="54"/>
      <c r="AS201" s="54"/>
      <c r="AT201" s="54"/>
      <c r="AU201" s="34"/>
      <c r="AV201" s="34"/>
      <c r="AW201" s="34"/>
      <c r="AX201" s="34"/>
      <c r="AY201" s="34"/>
      <c r="AZ201" s="44"/>
      <c r="BA201" s="34"/>
      <c r="BB201" s="34"/>
    </row>
    <row r="202" spans="1:54" x14ac:dyDescent="0.35" ht="15.0" customHeight="true">
      <c r="A202" s="51"/>
      <c r="B202" s="34"/>
      <c r="C202" s="34"/>
      <c r="D202" s="34"/>
      <c r="E202" s="34"/>
      <c r="F202" s="34"/>
      <c r="G202" s="44"/>
      <c r="H202" s="34"/>
      <c r="I202" s="54"/>
      <c r="J202" s="34"/>
      <c r="K202" s="54"/>
      <c r="L202" s="34"/>
      <c r="M202" s="44"/>
      <c r="N202" s="44"/>
      <c r="O202" s="34"/>
      <c r="P202" s="34"/>
      <c r="Q202" s="34"/>
      <c r="R202" s="34"/>
      <c r="U202" s="44"/>
      <c r="W202" s="95"/>
      <c r="X202" s="54"/>
      <c r="Y202" s="54"/>
      <c r="Z202" s="34"/>
      <c r="AA202" s="34"/>
      <c r="AB202" s="34"/>
      <c r="AC202" s="34"/>
      <c r="AD202" s="34"/>
      <c r="AE202" s="34"/>
      <c r="AF202" s="34"/>
      <c r="AG202" s="34"/>
      <c r="AH202" s="52"/>
      <c r="AI202" s="52"/>
      <c r="AK202" s="34"/>
      <c r="AL202" s="34"/>
      <c r="AM202" s="34"/>
      <c r="AN202" s="54"/>
      <c r="AO202" s="34"/>
      <c r="AP202" s="34"/>
      <c r="AQ202" s="54"/>
      <c r="AR202" s="54"/>
      <c r="AS202" s="54"/>
      <c r="AT202" s="54"/>
      <c r="AU202" s="34"/>
      <c r="AV202" s="34"/>
      <c r="AW202" s="34"/>
      <c r="AX202" s="34"/>
      <c r="AY202" s="34"/>
      <c r="AZ202" s="44"/>
      <c r="BA202" s="34"/>
      <c r="BB202" s="34"/>
    </row>
    <row r="203" spans="1:54" x14ac:dyDescent="0.35" ht="15.0" customHeight="true">
      <c r="A203" s="51"/>
      <c r="B203" s="34"/>
      <c r="C203" s="34"/>
      <c r="D203" s="34"/>
      <c r="E203" s="34"/>
      <c r="F203" s="34"/>
      <c r="G203" s="44"/>
      <c r="H203" s="34"/>
      <c r="I203" s="54"/>
      <c r="J203" s="34"/>
      <c r="K203" s="54"/>
      <c r="L203" s="34"/>
      <c r="M203" s="44"/>
      <c r="N203" s="44"/>
      <c r="O203" s="34"/>
      <c r="P203" s="34"/>
      <c r="Q203" s="34"/>
      <c r="R203" s="34"/>
      <c r="U203" s="44"/>
      <c r="W203" s="95"/>
      <c r="X203" s="54"/>
      <c r="Y203" s="54"/>
      <c r="Z203" s="34"/>
      <c r="AA203" s="34"/>
      <c r="AB203" s="34"/>
      <c r="AC203" s="34"/>
      <c r="AD203" s="34"/>
      <c r="AE203" s="34"/>
      <c r="AF203" s="34"/>
      <c r="AG203" s="34"/>
      <c r="AH203" s="52"/>
      <c r="AI203" s="52"/>
      <c r="AK203" s="34"/>
      <c r="AL203" s="34"/>
      <c r="AM203" s="34"/>
      <c r="AN203" s="54"/>
      <c r="AO203" s="34"/>
      <c r="AP203" s="34"/>
      <c r="AQ203" s="54"/>
      <c r="AR203" s="54"/>
      <c r="AS203" s="54"/>
      <c r="AT203" s="54"/>
      <c r="AU203" s="34"/>
      <c r="AV203" s="34"/>
      <c r="AW203" s="34"/>
      <c r="AX203" s="34"/>
      <c r="AY203" s="34"/>
      <c r="AZ203" s="44"/>
      <c r="BA203" s="34"/>
      <c r="BB203" s="34"/>
    </row>
    <row r="204" spans="1:54" x14ac:dyDescent="0.35" ht="15.0" customHeight="true">
      <c r="A204" s="51"/>
      <c r="B204" s="34"/>
      <c r="C204" s="34"/>
      <c r="D204" s="34"/>
      <c r="E204" s="34"/>
      <c r="F204" s="34"/>
      <c r="G204" s="44"/>
      <c r="H204" s="34"/>
      <c r="I204" s="54"/>
      <c r="J204" s="34"/>
      <c r="K204" s="54"/>
      <c r="L204" s="34"/>
      <c r="M204" s="44"/>
      <c r="N204" s="44"/>
      <c r="O204" s="34"/>
      <c r="P204" s="34"/>
      <c r="Q204" s="34"/>
      <c r="R204" s="34"/>
      <c r="U204" s="44"/>
      <c r="W204" s="95"/>
      <c r="X204" s="54"/>
      <c r="Y204" s="54"/>
      <c r="Z204" s="34"/>
      <c r="AA204" s="34"/>
      <c r="AB204" s="34"/>
      <c r="AC204" s="34"/>
      <c r="AD204" s="34"/>
      <c r="AE204" s="34"/>
      <c r="AF204" s="34"/>
      <c r="AG204" s="34"/>
      <c r="AH204" s="52"/>
      <c r="AI204" s="52"/>
      <c r="AK204" s="34"/>
      <c r="AL204" s="34"/>
      <c r="AM204" s="34"/>
      <c r="AN204" s="54"/>
      <c r="AO204" s="34"/>
      <c r="AP204" s="34"/>
      <c r="AQ204" s="54"/>
      <c r="AR204" s="54"/>
      <c r="AS204" s="54"/>
      <c r="AT204" s="54"/>
      <c r="AU204" s="34"/>
      <c r="AV204" s="34"/>
      <c r="AW204" s="34"/>
      <c r="AX204" s="34"/>
      <c r="AY204" s="34"/>
      <c r="AZ204" s="44"/>
      <c r="BA204" s="34"/>
      <c r="BB204" s="34"/>
    </row>
    <row r="205" spans="1:54" x14ac:dyDescent="0.35" ht="15.0" customHeight="true">
      <c r="A205" s="51"/>
      <c r="B205" s="34"/>
      <c r="C205" s="34"/>
      <c r="D205" s="34"/>
      <c r="E205" s="34"/>
      <c r="F205" s="34"/>
      <c r="G205" s="44"/>
      <c r="H205" s="34"/>
      <c r="I205" s="54"/>
      <c r="J205" s="34"/>
      <c r="K205" s="54"/>
      <c r="L205" s="34"/>
      <c r="M205" s="44"/>
      <c r="N205" s="44"/>
      <c r="O205" s="34"/>
      <c r="P205" s="34"/>
      <c r="Q205" s="34"/>
      <c r="R205" s="34"/>
      <c r="U205" s="44"/>
      <c r="W205" s="95"/>
      <c r="X205" s="54"/>
      <c r="Y205" s="54"/>
      <c r="Z205" s="34"/>
      <c r="AA205" s="34"/>
      <c r="AB205" s="34"/>
      <c r="AC205" s="34"/>
      <c r="AD205" s="34"/>
      <c r="AE205" s="34"/>
      <c r="AF205" s="34"/>
      <c r="AG205" s="34"/>
      <c r="AH205" s="52"/>
      <c r="AI205" s="52"/>
      <c r="AK205" s="34"/>
      <c r="AL205" s="34"/>
      <c r="AM205" s="34"/>
      <c r="AN205" s="54"/>
      <c r="AO205" s="34"/>
      <c r="AP205" s="34"/>
      <c r="AQ205" s="54"/>
      <c r="AR205" s="54"/>
      <c r="AS205" s="54"/>
      <c r="AT205" s="54"/>
      <c r="AU205" s="34"/>
      <c r="AV205" s="34"/>
      <c r="AW205" s="34"/>
      <c r="AX205" s="34"/>
      <c r="AY205" s="34"/>
      <c r="AZ205" s="44"/>
      <c r="BA205" s="34"/>
      <c r="BB205" s="34"/>
    </row>
    <row r="206" spans="1:54" x14ac:dyDescent="0.35" ht="15.0" customHeight="true">
      <c r="A206" s="51"/>
      <c r="B206" s="34"/>
      <c r="C206" s="34"/>
      <c r="D206" s="34"/>
      <c r="E206" s="34"/>
      <c r="F206" s="34"/>
      <c r="G206" s="44"/>
      <c r="H206" s="34"/>
      <c r="I206" s="54"/>
      <c r="J206" s="34"/>
      <c r="K206" s="54"/>
      <c r="L206" s="34"/>
      <c r="M206" s="44"/>
      <c r="N206" s="44"/>
      <c r="O206" s="34"/>
      <c r="P206" s="34"/>
      <c r="Q206" s="34"/>
      <c r="R206" s="34"/>
      <c r="U206" s="44"/>
      <c r="W206" s="95"/>
      <c r="X206" s="54"/>
      <c r="Y206" s="54"/>
      <c r="Z206" s="34"/>
      <c r="AA206" s="34"/>
      <c r="AB206" s="34"/>
      <c r="AC206" s="34"/>
      <c r="AD206" s="34"/>
      <c r="AE206" s="34"/>
      <c r="AF206" s="34"/>
      <c r="AG206" s="34"/>
      <c r="AH206" s="52"/>
      <c r="AI206" s="52"/>
      <c r="AK206" s="34"/>
      <c r="AL206" s="34"/>
      <c r="AM206" s="34"/>
      <c r="AN206" s="54"/>
      <c r="AO206" s="34"/>
      <c r="AP206" s="34"/>
      <c r="AQ206" s="54"/>
      <c r="AR206" s="54"/>
      <c r="AS206" s="54"/>
      <c r="AT206" s="54"/>
      <c r="AU206" s="34"/>
      <c r="AV206" s="34"/>
      <c r="AW206" s="34"/>
      <c r="AX206" s="34"/>
      <c r="AY206" s="34"/>
      <c r="AZ206" s="44"/>
      <c r="BA206" s="34"/>
      <c r="BB206" s="34"/>
    </row>
    <row r="207" spans="1:54" x14ac:dyDescent="0.35" ht="15.0" customHeight="true">
      <c r="A207" s="51"/>
      <c r="B207" s="34"/>
      <c r="C207" s="34"/>
      <c r="D207" s="34"/>
      <c r="E207" s="34"/>
      <c r="F207" s="34"/>
      <c r="G207" s="44"/>
      <c r="H207" s="34"/>
      <c r="I207" s="54"/>
      <c r="J207" s="34"/>
      <c r="K207" s="54"/>
      <c r="L207" s="34"/>
      <c r="M207" s="44"/>
      <c r="N207" s="44"/>
      <c r="O207" s="34"/>
      <c r="P207" s="34"/>
      <c r="Q207" s="34"/>
      <c r="R207" s="34"/>
      <c r="U207" s="44"/>
      <c r="W207" s="95"/>
      <c r="X207" s="54"/>
      <c r="Y207" s="54"/>
      <c r="Z207" s="34"/>
      <c r="AA207" s="34"/>
      <c r="AB207" s="34"/>
      <c r="AC207" s="34"/>
      <c r="AD207" s="34"/>
      <c r="AE207" s="34"/>
      <c r="AF207" s="34"/>
      <c r="AG207" s="34"/>
      <c r="AH207" s="52"/>
      <c r="AI207" s="52"/>
      <c r="AK207" s="34"/>
      <c r="AL207" s="34"/>
      <c r="AM207" s="34"/>
      <c r="AN207" s="54"/>
      <c r="AO207" s="34"/>
      <c r="AP207" s="34"/>
      <c r="AQ207" s="54"/>
      <c r="AR207" s="54"/>
      <c r="AS207" s="54"/>
      <c r="AT207" s="54"/>
      <c r="AU207" s="34"/>
      <c r="AV207" s="34"/>
      <c r="AW207" s="34"/>
      <c r="AX207" s="34"/>
      <c r="AY207" s="34"/>
      <c r="AZ207" s="44"/>
      <c r="BA207" s="34"/>
      <c r="BB207" s="34"/>
    </row>
    <row r="208" spans="1:54" x14ac:dyDescent="0.35" ht="15.0" customHeight="true">
      <c r="A208" s="51"/>
      <c r="B208" s="34"/>
      <c r="C208" s="34"/>
      <c r="D208" s="34"/>
      <c r="E208" s="34"/>
      <c r="F208" s="34"/>
      <c r="G208" s="44"/>
      <c r="H208" s="34"/>
      <c r="I208" s="54"/>
      <c r="J208" s="34"/>
      <c r="K208" s="54"/>
      <c r="L208" s="34"/>
      <c r="M208" s="44"/>
      <c r="N208" s="44"/>
      <c r="O208" s="34"/>
      <c r="P208" s="34"/>
      <c r="Q208" s="34"/>
      <c r="R208" s="34"/>
      <c r="U208" s="44"/>
      <c r="W208" s="95"/>
      <c r="X208" s="54"/>
      <c r="Y208" s="54"/>
      <c r="Z208" s="34"/>
      <c r="AA208" s="34"/>
      <c r="AB208" s="34"/>
      <c r="AC208" s="34"/>
      <c r="AD208" s="34"/>
      <c r="AE208" s="34"/>
      <c r="AF208" s="34"/>
      <c r="AG208" s="34"/>
      <c r="AH208" s="52"/>
      <c r="AI208" s="52"/>
      <c r="AK208" s="34"/>
      <c r="AL208" s="34"/>
      <c r="AM208" s="34"/>
      <c r="AN208" s="54"/>
      <c r="AO208" s="34"/>
      <c r="AP208" s="34"/>
      <c r="AQ208" s="54"/>
      <c r="AR208" s="54"/>
      <c r="AS208" s="54"/>
      <c r="AT208" s="54"/>
      <c r="AU208" s="34"/>
      <c r="AV208" s="34"/>
      <c r="AW208" s="34"/>
      <c r="AX208" s="34"/>
      <c r="AY208" s="34"/>
      <c r="AZ208" s="44"/>
      <c r="BA208" s="34"/>
      <c r="BB208" s="34"/>
    </row>
    <row r="209" spans="1:54" x14ac:dyDescent="0.35" ht="15.0" customHeight="true">
      <c r="A209" s="51"/>
      <c r="B209" s="34"/>
      <c r="C209" s="34"/>
      <c r="D209" s="34"/>
      <c r="E209" s="34"/>
      <c r="F209" s="34"/>
      <c r="G209" s="44"/>
      <c r="H209" s="34"/>
      <c r="I209" s="54"/>
      <c r="J209" s="34"/>
      <c r="K209" s="54"/>
      <c r="L209" s="34"/>
      <c r="M209" s="44"/>
      <c r="N209" s="44"/>
      <c r="O209" s="34"/>
      <c r="P209" s="34"/>
      <c r="Q209" s="34"/>
      <c r="R209" s="34"/>
      <c r="U209" s="44"/>
      <c r="W209" s="95"/>
      <c r="X209" s="54"/>
      <c r="Y209" s="54"/>
      <c r="Z209" s="34"/>
      <c r="AA209" s="34"/>
      <c r="AB209" s="34"/>
      <c r="AC209" s="34"/>
      <c r="AD209" s="34"/>
      <c r="AE209" s="34"/>
      <c r="AF209" s="34"/>
      <c r="AG209" s="34"/>
      <c r="AH209" s="52"/>
      <c r="AI209" s="52"/>
      <c r="AK209" s="34"/>
      <c r="AL209" s="34"/>
      <c r="AM209" s="34"/>
      <c r="AN209" s="54"/>
      <c r="AO209" s="34"/>
      <c r="AP209" s="34"/>
      <c r="AQ209" s="54"/>
      <c r="AR209" s="54"/>
      <c r="AS209" s="54"/>
      <c r="AT209" s="54"/>
      <c r="AU209" s="34"/>
      <c r="AV209" s="34"/>
      <c r="AW209" s="34"/>
      <c r="AX209" s="34"/>
      <c r="AY209" s="34"/>
      <c r="AZ209" s="44"/>
      <c r="BA209" s="34"/>
      <c r="BB209" s="34"/>
    </row>
    <row r="210" spans="1:54" x14ac:dyDescent="0.35" ht="15.0" customHeight="true">
      <c r="A210" s="51"/>
      <c r="B210" s="34"/>
      <c r="C210" s="34"/>
      <c r="D210" s="34"/>
      <c r="E210" s="34"/>
      <c r="F210" s="34"/>
      <c r="G210" s="44"/>
      <c r="H210" s="34"/>
      <c r="I210" s="54"/>
      <c r="J210" s="34"/>
      <c r="K210" s="54"/>
      <c r="L210" s="34"/>
      <c r="M210" s="44"/>
      <c r="N210" s="44"/>
      <c r="O210" s="34"/>
      <c r="P210" s="34"/>
      <c r="Q210" s="34"/>
      <c r="R210" s="34"/>
      <c r="U210" s="44"/>
      <c r="W210" s="95"/>
      <c r="X210" s="54"/>
      <c r="Y210" s="54"/>
      <c r="Z210" s="34"/>
      <c r="AA210" s="34"/>
      <c r="AB210" s="34"/>
      <c r="AC210" s="34"/>
      <c r="AD210" s="34"/>
      <c r="AE210" s="34"/>
      <c r="AF210" s="34"/>
      <c r="AG210" s="34"/>
      <c r="AH210" s="52"/>
      <c r="AI210" s="52"/>
      <c r="AK210" s="34"/>
      <c r="AL210" s="34"/>
      <c r="AM210" s="34"/>
      <c r="AN210" s="54"/>
      <c r="AO210" s="34"/>
      <c r="AP210" s="34"/>
      <c r="AQ210" s="54"/>
      <c r="AR210" s="54"/>
      <c r="AS210" s="54"/>
      <c r="AT210" s="54"/>
      <c r="AU210" s="34"/>
      <c r="AV210" s="34"/>
      <c r="AW210" s="34"/>
      <c r="AX210" s="34"/>
      <c r="AY210" s="34"/>
      <c r="AZ210" s="44"/>
      <c r="BA210" s="34"/>
      <c r="BB210" s="34"/>
    </row>
    <row r="211" spans="1:54" x14ac:dyDescent="0.35" ht="15.0" customHeight="true">
      <c r="A211" s="51"/>
      <c r="B211" s="34"/>
      <c r="C211" s="34"/>
      <c r="D211" s="34"/>
      <c r="E211" s="34"/>
      <c r="F211" s="34"/>
      <c r="G211" s="44"/>
      <c r="H211" s="34"/>
      <c r="I211" s="54"/>
      <c r="J211" s="34"/>
      <c r="K211" s="54"/>
      <c r="L211" s="34"/>
      <c r="M211" s="44"/>
      <c r="N211" s="44"/>
      <c r="O211" s="34"/>
      <c r="P211" s="34"/>
      <c r="Q211" s="34"/>
      <c r="R211" s="34"/>
      <c r="U211" s="44"/>
      <c r="W211" s="95"/>
      <c r="X211" s="54"/>
      <c r="Y211" s="54"/>
      <c r="Z211" s="34"/>
      <c r="AA211" s="34"/>
      <c r="AB211" s="34"/>
      <c r="AC211" s="34"/>
      <c r="AD211" s="34"/>
      <c r="AE211" s="34"/>
      <c r="AF211" s="34"/>
      <c r="AG211" s="34"/>
      <c r="AH211" s="52"/>
      <c r="AI211" s="52"/>
      <c r="AK211" s="34"/>
      <c r="AL211" s="34"/>
      <c r="AM211" s="34"/>
      <c r="AN211" s="54"/>
      <c r="AO211" s="34"/>
      <c r="AP211" s="34"/>
      <c r="AQ211" s="54"/>
      <c r="AR211" s="54"/>
      <c r="AS211" s="54"/>
      <c r="AT211" s="54"/>
      <c r="AU211" s="34"/>
      <c r="AV211" s="34"/>
      <c r="AW211" s="34"/>
      <c r="AX211" s="34"/>
      <c r="AY211" s="34"/>
      <c r="AZ211" s="44"/>
      <c r="BA211" s="34"/>
      <c r="BB211" s="34"/>
    </row>
    <row r="212" spans="1:54" x14ac:dyDescent="0.35" ht="15.0" customHeight="true">
      <c r="A212" s="51"/>
      <c r="B212" s="34"/>
      <c r="C212" s="34"/>
      <c r="D212" s="34"/>
      <c r="E212" s="34"/>
      <c r="F212" s="34"/>
      <c r="G212" s="44"/>
      <c r="H212" s="34"/>
      <c r="I212" s="54"/>
      <c r="J212" s="34"/>
      <c r="K212" s="54"/>
      <c r="L212" s="34"/>
      <c r="M212" s="44"/>
      <c r="N212" s="44"/>
      <c r="O212" s="34"/>
      <c r="P212" s="34"/>
      <c r="Q212" s="34"/>
      <c r="R212" s="34"/>
      <c r="U212" s="44"/>
      <c r="W212" s="95"/>
      <c r="X212" s="54"/>
      <c r="Y212" s="54"/>
      <c r="Z212" s="34"/>
      <c r="AA212" s="34"/>
      <c r="AB212" s="34"/>
      <c r="AC212" s="34"/>
      <c r="AD212" s="34"/>
      <c r="AE212" s="34"/>
      <c r="AF212" s="34"/>
      <c r="AG212" s="34"/>
      <c r="AH212" s="52"/>
      <c r="AI212" s="52"/>
      <c r="AK212" s="34"/>
      <c r="AL212" s="34"/>
      <c r="AM212" s="34"/>
      <c r="AN212" s="54"/>
      <c r="AO212" s="34"/>
      <c r="AP212" s="34"/>
      <c r="AQ212" s="54"/>
      <c r="AR212" s="54"/>
      <c r="AS212" s="54"/>
      <c r="AT212" s="54"/>
      <c r="AU212" s="34"/>
      <c r="AV212" s="34"/>
      <c r="AW212" s="34"/>
      <c r="AX212" s="34"/>
      <c r="AY212" s="34"/>
      <c r="AZ212" s="44"/>
      <c r="BA212" s="34"/>
      <c r="BB212" s="34"/>
    </row>
    <row r="213" spans="1:54" x14ac:dyDescent="0.35" ht="15.0" customHeight="true">
      <c r="A213" s="51"/>
      <c r="B213" s="34"/>
      <c r="C213" s="34"/>
      <c r="D213" s="34"/>
      <c r="E213" s="34"/>
      <c r="F213" s="34"/>
      <c r="G213" s="44"/>
      <c r="H213" s="34"/>
      <c r="I213" s="54"/>
      <c r="J213" s="34"/>
      <c r="K213" s="54"/>
      <c r="L213" s="34"/>
      <c r="M213" s="44"/>
      <c r="N213" s="44"/>
      <c r="O213" s="34"/>
      <c r="P213" s="34"/>
      <c r="Q213" s="34"/>
      <c r="R213" s="34"/>
      <c r="U213" s="44"/>
      <c r="W213" s="95"/>
      <c r="X213" s="54"/>
      <c r="Y213" s="54"/>
      <c r="Z213" s="34"/>
      <c r="AA213" s="34"/>
      <c r="AB213" s="34"/>
      <c r="AC213" s="34"/>
      <c r="AD213" s="34"/>
      <c r="AE213" s="34"/>
      <c r="AF213" s="34"/>
      <c r="AG213" s="34"/>
      <c r="AH213" s="52"/>
      <c r="AI213" s="52"/>
      <c r="AK213" s="34"/>
      <c r="AL213" s="34"/>
      <c r="AM213" s="34"/>
      <c r="AN213" s="54"/>
      <c r="AO213" s="34"/>
      <c r="AP213" s="34"/>
      <c r="AQ213" s="54"/>
      <c r="AR213" s="54"/>
      <c r="AS213" s="54"/>
      <c r="AT213" s="54"/>
      <c r="AU213" s="34"/>
      <c r="AV213" s="34"/>
      <c r="AW213" s="34"/>
      <c r="AX213" s="34"/>
      <c r="AY213" s="34"/>
      <c r="AZ213" s="44"/>
      <c r="BA213" s="34"/>
      <c r="BB213" s="34"/>
    </row>
    <row r="214" spans="1:54" x14ac:dyDescent="0.35" ht="15.0" customHeight="true">
      <c r="A214" s="51"/>
      <c r="B214" s="34"/>
      <c r="C214" s="34"/>
      <c r="D214" s="34"/>
      <c r="E214" s="34"/>
      <c r="F214" s="34"/>
      <c r="G214" s="44"/>
      <c r="H214" s="34"/>
      <c r="I214" s="54"/>
      <c r="J214" s="34"/>
      <c r="K214" s="54"/>
      <c r="L214" s="34"/>
      <c r="M214" s="44"/>
      <c r="N214" s="44"/>
      <c r="O214" s="34"/>
      <c r="P214" s="34"/>
      <c r="Q214" s="34"/>
      <c r="R214" s="34"/>
      <c r="U214" s="44"/>
      <c r="W214" s="95"/>
      <c r="X214" s="54"/>
      <c r="Y214" s="54"/>
      <c r="Z214" s="34"/>
      <c r="AA214" s="34"/>
      <c r="AB214" s="34"/>
      <c r="AC214" s="34"/>
      <c r="AD214" s="34"/>
      <c r="AE214" s="34"/>
      <c r="AF214" s="34"/>
      <c r="AG214" s="34"/>
      <c r="AH214" s="52"/>
      <c r="AI214" s="52"/>
      <c r="AK214" s="34"/>
      <c r="AL214" s="34"/>
      <c r="AM214" s="34"/>
      <c r="AN214" s="54"/>
      <c r="AO214" s="34"/>
      <c r="AP214" s="34"/>
      <c r="AQ214" s="54"/>
      <c r="AR214" s="54"/>
      <c r="AS214" s="54"/>
      <c r="AT214" s="54"/>
      <c r="AU214" s="34"/>
      <c r="AV214" s="34"/>
      <c r="AW214" s="34"/>
      <c r="AX214" s="34"/>
      <c r="AY214" s="34"/>
      <c r="AZ214" s="44"/>
      <c r="BA214" s="34"/>
      <c r="BB214" s="34"/>
    </row>
    <row r="215" spans="1:54" x14ac:dyDescent="0.35" ht="15.0" customHeight="true">
      <c r="A215" s="51"/>
      <c r="B215" s="34"/>
      <c r="C215" s="34"/>
      <c r="D215" s="34"/>
      <c r="E215" s="34"/>
      <c r="F215" s="34"/>
      <c r="G215" s="44"/>
      <c r="H215" s="34"/>
      <c r="I215" s="54"/>
      <c r="J215" s="34"/>
      <c r="K215" s="54"/>
      <c r="L215" s="34"/>
      <c r="M215" s="44"/>
      <c r="N215" s="44"/>
      <c r="O215" s="34"/>
      <c r="P215" s="34"/>
      <c r="Q215" s="34"/>
      <c r="R215" s="34"/>
      <c r="U215" s="44"/>
      <c r="W215" s="95"/>
      <c r="X215" s="54"/>
      <c r="Y215" s="54"/>
      <c r="Z215" s="34"/>
      <c r="AA215" s="34"/>
      <c r="AB215" s="34"/>
      <c r="AC215" s="34"/>
      <c r="AD215" s="34"/>
      <c r="AE215" s="34"/>
      <c r="AF215" s="34"/>
      <c r="AG215" s="34"/>
      <c r="AH215" s="52"/>
      <c r="AI215" s="52"/>
      <c r="AK215" s="34"/>
      <c r="AL215" s="34"/>
      <c r="AM215" s="34"/>
      <c r="AN215" s="54"/>
      <c r="AO215" s="34"/>
      <c r="AP215" s="34"/>
      <c r="AQ215" s="54"/>
      <c r="AR215" s="54"/>
      <c r="AS215" s="54"/>
      <c r="AT215" s="54"/>
      <c r="AU215" s="34"/>
      <c r="AV215" s="34"/>
      <c r="AW215" s="34"/>
      <c r="AX215" s="34"/>
      <c r="AY215" s="34"/>
      <c r="AZ215" s="44"/>
      <c r="BA215" s="34"/>
      <c r="BB215" s="34"/>
    </row>
    <row r="216" spans="1:54" x14ac:dyDescent="0.35" ht="15.0" customHeight="true">
      <c r="A216" s="51"/>
      <c r="B216" s="34"/>
      <c r="C216" s="34"/>
      <c r="D216" s="34"/>
      <c r="E216" s="34"/>
      <c r="F216" s="34"/>
      <c r="G216" s="44"/>
      <c r="H216" s="34"/>
      <c r="I216" s="54"/>
      <c r="J216" s="34"/>
      <c r="K216" s="54"/>
      <c r="L216" s="34"/>
      <c r="M216" s="44"/>
      <c r="N216" s="44"/>
      <c r="O216" s="34"/>
      <c r="P216" s="34"/>
      <c r="Q216" s="34"/>
      <c r="R216" s="34"/>
      <c r="U216" s="44"/>
      <c r="W216" s="95"/>
      <c r="X216" s="54"/>
      <c r="Y216" s="54"/>
      <c r="Z216" s="34"/>
      <c r="AA216" s="34"/>
      <c r="AB216" s="34"/>
      <c r="AC216" s="34"/>
      <c r="AD216" s="34"/>
      <c r="AE216" s="34"/>
      <c r="AF216" s="34"/>
      <c r="AG216" s="34"/>
      <c r="AH216" s="52"/>
      <c r="AI216" s="52"/>
      <c r="AK216" s="34"/>
      <c r="AL216" s="34"/>
      <c r="AM216" s="34"/>
      <c r="AN216" s="54"/>
      <c r="AO216" s="34"/>
      <c r="AP216" s="34"/>
      <c r="AQ216" s="54"/>
      <c r="AR216" s="54"/>
      <c r="AS216" s="54"/>
      <c r="AT216" s="54"/>
      <c r="AU216" s="34"/>
      <c r="AV216" s="34"/>
      <c r="AW216" s="34"/>
      <c r="AX216" s="34"/>
      <c r="AY216" s="34"/>
      <c r="AZ216" s="44"/>
      <c r="BA216" s="34"/>
      <c r="BB216" s="34"/>
    </row>
    <row r="217" spans="1:54" x14ac:dyDescent="0.35" ht="15.0" customHeight="true">
      <c r="A217" s="51"/>
      <c r="B217" s="34"/>
      <c r="C217" s="34"/>
      <c r="D217" s="34"/>
      <c r="E217" s="34"/>
      <c r="F217" s="34"/>
      <c r="G217" s="44"/>
      <c r="H217" s="34"/>
      <c r="I217" s="54"/>
      <c r="J217" s="34"/>
      <c r="K217" s="54"/>
      <c r="L217" s="34"/>
      <c r="M217" s="44"/>
      <c r="N217" s="44"/>
      <c r="O217" s="34"/>
      <c r="P217" s="34"/>
      <c r="Q217" s="34"/>
      <c r="R217" s="34"/>
      <c r="U217" s="44"/>
      <c r="W217" s="95"/>
      <c r="X217" s="54"/>
      <c r="Y217" s="54"/>
      <c r="Z217" s="34"/>
      <c r="AA217" s="34"/>
      <c r="AB217" s="34"/>
      <c r="AC217" s="34"/>
      <c r="AD217" s="34"/>
      <c r="AE217" s="34"/>
      <c r="AF217" s="34"/>
      <c r="AG217" s="34"/>
      <c r="AH217" s="52"/>
      <c r="AI217" s="52"/>
      <c r="AK217" s="34"/>
      <c r="AL217" s="34"/>
      <c r="AM217" s="34"/>
      <c r="AN217" s="54"/>
      <c r="AO217" s="34"/>
      <c r="AP217" s="34"/>
      <c r="AQ217" s="54"/>
      <c r="AR217" s="54"/>
      <c r="AS217" s="54"/>
      <c r="AT217" s="54"/>
      <c r="AU217" s="34"/>
      <c r="AV217" s="34"/>
      <c r="AW217" s="34"/>
      <c r="AX217" s="34"/>
      <c r="AY217" s="34"/>
      <c r="AZ217" s="44"/>
      <c r="BA217" s="34"/>
      <c r="BB217" s="34"/>
    </row>
    <row r="218" spans="1:54" x14ac:dyDescent="0.35" ht="15.0" customHeight="true">
      <c r="A218" s="51"/>
      <c r="B218" s="34"/>
      <c r="C218" s="34"/>
      <c r="D218" s="34"/>
      <c r="E218" s="34"/>
      <c r="F218" s="34"/>
      <c r="G218" s="44"/>
      <c r="H218" s="34"/>
      <c r="I218" s="54"/>
      <c r="J218" s="34"/>
      <c r="K218" s="54"/>
      <c r="L218" s="34"/>
      <c r="M218" s="44"/>
      <c r="N218" s="44"/>
      <c r="O218" s="34"/>
      <c r="P218" s="34"/>
      <c r="Q218" s="34"/>
      <c r="R218" s="34"/>
      <c r="U218" s="44"/>
      <c r="W218" s="95"/>
      <c r="X218" s="54"/>
      <c r="Y218" s="54"/>
      <c r="Z218" s="34"/>
      <c r="AA218" s="34"/>
      <c r="AB218" s="34"/>
      <c r="AC218" s="34"/>
      <c r="AD218" s="34"/>
      <c r="AE218" s="34"/>
      <c r="AF218" s="34"/>
      <c r="AG218" s="34"/>
      <c r="AH218" s="52"/>
      <c r="AI218" s="52"/>
      <c r="AK218" s="34"/>
      <c r="AL218" s="34"/>
      <c r="AM218" s="34"/>
      <c r="AN218" s="54"/>
      <c r="AO218" s="34"/>
      <c r="AP218" s="34"/>
      <c r="AQ218" s="54"/>
      <c r="AR218" s="54"/>
      <c r="AS218" s="54"/>
      <c r="AT218" s="54"/>
      <c r="AU218" s="34"/>
      <c r="AV218" s="34"/>
      <c r="AW218" s="34"/>
      <c r="AX218" s="34"/>
      <c r="AY218" s="34"/>
      <c r="AZ218" s="44"/>
      <c r="BA218" s="34"/>
      <c r="BB218" s="34"/>
    </row>
    <row r="219" spans="1:54" x14ac:dyDescent="0.35" ht="15.0" customHeight="true">
      <c r="A219" s="51"/>
      <c r="B219" s="34"/>
      <c r="C219" s="34"/>
      <c r="D219" s="34"/>
      <c r="E219" s="34"/>
      <c r="F219" s="34"/>
      <c r="G219" s="44"/>
      <c r="H219" s="34"/>
      <c r="I219" s="54"/>
      <c r="J219" s="34"/>
      <c r="K219" s="54"/>
      <c r="L219" s="34"/>
      <c r="M219" s="44"/>
      <c r="N219" s="44"/>
      <c r="O219" s="34"/>
      <c r="P219" s="34"/>
      <c r="Q219" s="34"/>
      <c r="R219" s="34"/>
      <c r="U219" s="44"/>
      <c r="W219" s="95"/>
      <c r="X219" s="54"/>
      <c r="Y219" s="54"/>
      <c r="Z219" s="34"/>
      <c r="AA219" s="34"/>
      <c r="AB219" s="34"/>
      <c r="AC219" s="34"/>
      <c r="AD219" s="34"/>
      <c r="AE219" s="34"/>
      <c r="AF219" s="34"/>
      <c r="AG219" s="34"/>
      <c r="AH219" s="52"/>
      <c r="AI219" s="52"/>
      <c r="AK219" s="34"/>
      <c r="AL219" s="34"/>
      <c r="AM219" s="34"/>
      <c r="AN219" s="54"/>
      <c r="AO219" s="34"/>
      <c r="AP219" s="34"/>
      <c r="AQ219" s="54"/>
      <c r="AR219" s="54"/>
      <c r="AS219" s="54"/>
      <c r="AT219" s="54"/>
      <c r="AU219" s="34"/>
      <c r="AV219" s="34"/>
      <c r="AW219" s="34"/>
      <c r="AX219" s="34"/>
      <c r="AY219" s="34"/>
      <c r="AZ219" s="44"/>
      <c r="BA219" s="34"/>
      <c r="BB219" s="34"/>
    </row>
    <row r="220" spans="1:54" x14ac:dyDescent="0.35" ht="15.0" customHeight="true">
      <c r="A220" s="51"/>
      <c r="B220" s="34"/>
      <c r="C220" s="34"/>
      <c r="D220" s="34"/>
      <c r="E220" s="34"/>
      <c r="F220" s="34"/>
      <c r="G220" s="44"/>
      <c r="H220" s="34"/>
      <c r="I220" s="54"/>
      <c r="J220" s="34"/>
      <c r="K220" s="54"/>
      <c r="L220" s="34"/>
      <c r="M220" s="44"/>
      <c r="N220" s="44"/>
      <c r="O220" s="34"/>
      <c r="P220" s="34"/>
      <c r="Q220" s="34"/>
      <c r="R220" s="34"/>
      <c r="U220" s="44"/>
      <c r="W220" s="95"/>
      <c r="X220" s="54"/>
      <c r="Y220" s="54"/>
      <c r="Z220" s="34"/>
      <c r="AA220" s="34"/>
      <c r="AB220" s="34"/>
      <c r="AC220" s="34"/>
      <c r="AD220" s="34"/>
      <c r="AE220" s="34"/>
      <c r="AF220" s="34"/>
      <c r="AG220" s="34"/>
      <c r="AH220" s="52"/>
      <c r="AI220" s="52"/>
      <c r="AK220" s="34"/>
      <c r="AL220" s="34"/>
      <c r="AM220" s="34"/>
      <c r="AN220" s="54"/>
      <c r="AO220" s="34"/>
      <c r="AP220" s="34"/>
      <c r="AQ220" s="54"/>
      <c r="AR220" s="54"/>
      <c r="AS220" s="54"/>
      <c r="AT220" s="54"/>
      <c r="AU220" s="34"/>
      <c r="AV220" s="34"/>
      <c r="AW220" s="34"/>
      <c r="AX220" s="34"/>
      <c r="AY220" s="34"/>
      <c r="AZ220" s="44"/>
      <c r="BA220" s="34"/>
      <c r="BB220" s="34"/>
    </row>
    <row r="221" spans="1:54" x14ac:dyDescent="0.35" ht="15.0" customHeight="true">
      <c r="A221" s="51"/>
      <c r="B221" s="34"/>
      <c r="C221" s="34"/>
      <c r="D221" s="34"/>
      <c r="E221" s="34"/>
      <c r="F221" s="34"/>
      <c r="G221" s="44"/>
      <c r="H221" s="34"/>
      <c r="I221" s="54"/>
      <c r="J221" s="34"/>
      <c r="K221" s="54"/>
      <c r="L221" s="34"/>
      <c r="M221" s="44"/>
      <c r="N221" s="44"/>
      <c r="O221" s="34"/>
      <c r="P221" s="34"/>
      <c r="Q221" s="34"/>
      <c r="R221" s="34"/>
      <c r="U221" s="44"/>
      <c r="W221" s="95"/>
      <c r="X221" s="54"/>
      <c r="Y221" s="54"/>
      <c r="Z221" s="34"/>
      <c r="AA221" s="34"/>
      <c r="AB221" s="34"/>
      <c r="AC221" s="34"/>
      <c r="AD221" s="34"/>
      <c r="AE221" s="34"/>
      <c r="AF221" s="34"/>
      <c r="AG221" s="34"/>
      <c r="AH221" s="52"/>
      <c r="AI221" s="52"/>
      <c r="AK221" s="34"/>
      <c r="AL221" s="34"/>
      <c r="AM221" s="34"/>
      <c r="AN221" s="54"/>
      <c r="AO221" s="34"/>
      <c r="AP221" s="34"/>
      <c r="AQ221" s="54"/>
      <c r="AR221" s="54"/>
      <c r="AS221" s="54"/>
      <c r="AT221" s="54"/>
      <c r="AU221" s="34"/>
      <c r="AV221" s="34"/>
      <c r="AW221" s="34"/>
      <c r="AX221" s="34"/>
      <c r="AY221" s="34"/>
      <c r="AZ221" s="44"/>
      <c r="BA221" s="34"/>
      <c r="BB221" s="34"/>
    </row>
    <row r="222" spans="1:54" x14ac:dyDescent="0.35" ht="15.0" customHeight="true">
      <c r="A222" s="51"/>
      <c r="B222" s="34"/>
      <c r="C222" s="34"/>
      <c r="D222" s="34"/>
      <c r="E222" s="34"/>
      <c r="F222" s="34"/>
      <c r="G222" s="44"/>
      <c r="H222" s="34"/>
      <c r="I222" s="54"/>
      <c r="J222" s="34"/>
      <c r="K222" s="54"/>
      <c r="L222" s="34"/>
      <c r="M222" s="44"/>
      <c r="N222" s="44"/>
      <c r="O222" s="34"/>
      <c r="P222" s="34"/>
      <c r="Q222" s="34"/>
      <c r="R222" s="34"/>
      <c r="U222" s="44"/>
      <c r="W222" s="95"/>
      <c r="X222" s="54"/>
      <c r="Y222" s="54"/>
      <c r="Z222" s="34"/>
      <c r="AA222" s="34"/>
      <c r="AB222" s="34"/>
      <c r="AC222" s="34"/>
      <c r="AD222" s="34"/>
      <c r="AE222" s="34"/>
      <c r="AF222" s="34"/>
      <c r="AG222" s="34"/>
      <c r="AH222" s="52"/>
      <c r="AI222" s="52"/>
      <c r="AK222" s="34"/>
      <c r="AL222" s="34"/>
      <c r="AM222" s="34"/>
      <c r="AN222" s="54"/>
      <c r="AO222" s="34"/>
      <c r="AP222" s="34"/>
      <c r="AQ222" s="54"/>
      <c r="AR222" s="54"/>
      <c r="AS222" s="54"/>
      <c r="AT222" s="54"/>
      <c r="AU222" s="34"/>
      <c r="AV222" s="34"/>
      <c r="AW222" s="34"/>
      <c r="AX222" s="34"/>
      <c r="AY222" s="34"/>
      <c r="AZ222" s="44"/>
      <c r="BA222" s="34"/>
      <c r="BB222" s="34"/>
    </row>
    <row r="223" spans="1:54" x14ac:dyDescent="0.35" ht="15.0" customHeight="true">
      <c r="A223" s="51"/>
      <c r="B223" s="34"/>
      <c r="C223" s="34"/>
      <c r="D223" s="34"/>
      <c r="E223" s="34"/>
      <c r="F223" s="34"/>
      <c r="G223" s="44"/>
      <c r="H223" s="34"/>
      <c r="I223" s="54"/>
      <c r="J223" s="34"/>
      <c r="K223" s="54"/>
      <c r="L223" s="34"/>
      <c r="M223" s="44"/>
      <c r="N223" s="44"/>
      <c r="O223" s="34"/>
      <c r="P223" s="34"/>
      <c r="Q223" s="34"/>
      <c r="R223" s="34"/>
      <c r="U223" s="44"/>
      <c r="W223" s="95"/>
      <c r="X223" s="54"/>
      <c r="Y223" s="54"/>
      <c r="Z223" s="34"/>
      <c r="AA223" s="34"/>
      <c r="AB223" s="34"/>
      <c r="AC223" s="34"/>
      <c r="AD223" s="34"/>
      <c r="AE223" s="34"/>
      <c r="AF223" s="34"/>
      <c r="AG223" s="34"/>
      <c r="AH223" s="52"/>
      <c r="AI223" s="52"/>
      <c r="AK223" s="34"/>
      <c r="AL223" s="34"/>
      <c r="AM223" s="34"/>
      <c r="AN223" s="54"/>
      <c r="AO223" s="34"/>
      <c r="AP223" s="34"/>
      <c r="AQ223" s="54"/>
      <c r="AR223" s="54"/>
      <c r="AS223" s="54"/>
      <c r="AT223" s="54"/>
      <c r="AU223" s="34"/>
      <c r="AV223" s="34"/>
      <c r="AW223" s="34"/>
      <c r="AX223" s="34"/>
      <c r="AY223" s="34"/>
      <c r="AZ223" s="44"/>
      <c r="BA223" s="34"/>
      <c r="BB223" s="34"/>
    </row>
    <row r="224" spans="1:54" x14ac:dyDescent="0.35" ht="15.0" customHeight="true">
      <c r="A224" s="51"/>
      <c r="B224" s="34"/>
      <c r="C224" s="34"/>
      <c r="D224" s="34"/>
      <c r="E224" s="34"/>
      <c r="F224" s="34"/>
      <c r="G224" s="44"/>
      <c r="H224" s="34"/>
      <c r="I224" s="54"/>
      <c r="J224" s="34"/>
      <c r="K224" s="54"/>
      <c r="L224" s="34"/>
      <c r="M224" s="44"/>
      <c r="N224" s="44"/>
      <c r="O224" s="34"/>
      <c r="P224" s="34"/>
      <c r="Q224" s="34"/>
      <c r="R224" s="34"/>
      <c r="U224" s="44"/>
      <c r="W224" s="95"/>
      <c r="X224" s="54"/>
      <c r="Y224" s="54"/>
      <c r="Z224" s="34"/>
      <c r="AA224" s="34"/>
      <c r="AB224" s="34"/>
      <c r="AC224" s="34"/>
      <c r="AD224" s="34"/>
      <c r="AE224" s="34"/>
      <c r="AF224" s="34"/>
      <c r="AG224" s="34"/>
      <c r="AH224" s="52"/>
      <c r="AI224" s="52"/>
      <c r="AK224" s="34"/>
      <c r="AL224" s="34"/>
      <c r="AM224" s="34"/>
      <c r="AN224" s="54"/>
      <c r="AO224" s="34"/>
      <c r="AP224" s="34"/>
      <c r="AQ224" s="54"/>
      <c r="AR224" s="54"/>
      <c r="AS224" s="54"/>
      <c r="AT224" s="54"/>
      <c r="AU224" s="34"/>
      <c r="AV224" s="34"/>
      <c r="AW224" s="34"/>
      <c r="AX224" s="34"/>
      <c r="AY224" s="34"/>
      <c r="AZ224" s="44"/>
      <c r="BA224" s="34"/>
      <c r="BB224" s="34"/>
    </row>
    <row r="225" spans="1:54" x14ac:dyDescent="0.35" ht="15.0" customHeight="true">
      <c r="A225" s="51"/>
      <c r="B225" s="34"/>
      <c r="C225" s="34"/>
      <c r="D225" s="34"/>
      <c r="E225" s="34"/>
      <c r="F225" s="34"/>
      <c r="G225" s="44"/>
      <c r="H225" s="34"/>
      <c r="I225" s="54"/>
      <c r="J225" s="34"/>
      <c r="K225" s="54"/>
      <c r="L225" s="34"/>
      <c r="M225" s="44"/>
      <c r="N225" s="44"/>
      <c r="O225" s="34"/>
      <c r="P225" s="34"/>
      <c r="Q225" s="34"/>
      <c r="R225" s="34"/>
      <c r="U225" s="44"/>
      <c r="W225" s="95"/>
      <c r="X225" s="54"/>
      <c r="Y225" s="54"/>
      <c r="Z225" s="34"/>
      <c r="AA225" s="34"/>
      <c r="AB225" s="34"/>
      <c r="AC225" s="34"/>
      <c r="AD225" s="34"/>
      <c r="AE225" s="34"/>
      <c r="AF225" s="34"/>
      <c r="AG225" s="34"/>
      <c r="AH225" s="52"/>
      <c r="AI225" s="52"/>
      <c r="AK225" s="34"/>
      <c r="AL225" s="34"/>
      <c r="AM225" s="34"/>
      <c r="AN225" s="54"/>
      <c r="AO225" s="34"/>
      <c r="AP225" s="34"/>
      <c r="AQ225" s="54"/>
      <c r="AR225" s="54"/>
      <c r="AS225" s="54"/>
      <c r="AT225" s="54"/>
      <c r="AU225" s="34"/>
      <c r="AV225" s="34"/>
      <c r="AW225" s="34"/>
      <c r="AX225" s="34"/>
      <c r="AY225" s="34"/>
      <c r="AZ225" s="44"/>
      <c r="BA225" s="34"/>
      <c r="BB225" s="34"/>
    </row>
    <row r="226" spans="1:54" x14ac:dyDescent="0.35" ht="15.0" customHeight="true">
      <c r="A226" s="51"/>
      <c r="B226" s="34"/>
      <c r="C226" s="34"/>
      <c r="D226" s="34"/>
      <c r="E226" s="34"/>
      <c r="F226" s="34"/>
      <c r="G226" s="44"/>
      <c r="H226" s="34"/>
      <c r="I226" s="54"/>
      <c r="J226" s="34"/>
      <c r="K226" s="54"/>
      <c r="L226" s="34"/>
      <c r="M226" s="44"/>
      <c r="N226" s="44"/>
      <c r="O226" s="34"/>
      <c r="P226" s="34"/>
      <c r="Q226" s="34"/>
      <c r="R226" s="34"/>
      <c r="U226" s="44"/>
      <c r="W226" s="95"/>
      <c r="X226" s="54"/>
      <c r="Y226" s="54"/>
      <c r="Z226" s="34"/>
      <c r="AA226" s="34"/>
      <c r="AB226" s="34"/>
      <c r="AC226" s="34"/>
      <c r="AD226" s="34"/>
      <c r="AE226" s="34"/>
      <c r="AF226" s="34"/>
      <c r="AG226" s="34"/>
      <c r="AH226" s="52"/>
      <c r="AI226" s="52"/>
      <c r="AK226" s="34"/>
      <c r="AL226" s="34"/>
      <c r="AM226" s="34"/>
      <c r="AN226" s="54"/>
      <c r="AO226" s="34"/>
      <c r="AP226" s="34"/>
      <c r="AQ226" s="54"/>
      <c r="AR226" s="54"/>
      <c r="AS226" s="54"/>
      <c r="AT226" s="54"/>
      <c r="AU226" s="34"/>
      <c r="AV226" s="34"/>
      <c r="AW226" s="34"/>
      <c r="AX226" s="34"/>
      <c r="AY226" s="34"/>
      <c r="AZ226" s="44"/>
      <c r="BA226" s="34"/>
      <c r="BB226" s="34"/>
    </row>
    <row r="227" spans="1:54" x14ac:dyDescent="0.35" ht="15.0" customHeight="true">
      <c r="A227" s="51"/>
      <c r="B227" s="34"/>
      <c r="C227" s="34"/>
      <c r="D227" s="34"/>
      <c r="E227" s="34"/>
      <c r="F227" s="34"/>
      <c r="G227" s="44"/>
      <c r="H227" s="34"/>
      <c r="I227" s="54"/>
      <c r="J227" s="34"/>
      <c r="K227" s="54"/>
      <c r="L227" s="34"/>
      <c r="M227" s="44"/>
      <c r="N227" s="44"/>
      <c r="O227" s="34"/>
      <c r="P227" s="34"/>
      <c r="Q227" s="34"/>
      <c r="R227" s="34"/>
      <c r="U227" s="44"/>
      <c r="W227" s="95"/>
      <c r="X227" s="54"/>
      <c r="Y227" s="54"/>
      <c r="Z227" s="34"/>
      <c r="AA227" s="34"/>
      <c r="AB227" s="34"/>
      <c r="AC227" s="34"/>
      <c r="AD227" s="34"/>
      <c r="AE227" s="34"/>
      <c r="AF227" s="34"/>
      <c r="AG227" s="34"/>
      <c r="AH227" s="52"/>
      <c r="AI227" s="52"/>
      <c r="AK227" s="34"/>
      <c r="AL227" s="34"/>
      <c r="AM227" s="34"/>
      <c r="AN227" s="54"/>
      <c r="AO227" s="34"/>
      <c r="AP227" s="34"/>
      <c r="AQ227" s="54"/>
      <c r="AR227" s="54"/>
      <c r="AS227" s="54"/>
      <c r="AT227" s="54"/>
      <c r="AU227" s="34"/>
      <c r="AV227" s="34"/>
      <c r="AW227" s="34"/>
      <c r="AX227" s="34"/>
      <c r="AY227" s="34"/>
      <c r="AZ227" s="44"/>
      <c r="BA227" s="34"/>
      <c r="BB227" s="34"/>
    </row>
    <row r="228" spans="1:54" x14ac:dyDescent="0.35" ht="15.0" customHeight="true">
      <c r="A228" s="51"/>
      <c r="B228" s="34"/>
      <c r="C228" s="34"/>
      <c r="D228" s="34"/>
      <c r="E228" s="34"/>
      <c r="F228" s="34"/>
      <c r="G228" s="44"/>
      <c r="H228" s="34"/>
      <c r="I228" s="54"/>
      <c r="J228" s="34"/>
      <c r="K228" s="54"/>
      <c r="L228" s="34"/>
      <c r="M228" s="44"/>
      <c r="N228" s="44"/>
      <c r="O228" s="34"/>
      <c r="P228" s="34"/>
      <c r="Q228" s="34"/>
      <c r="R228" s="34"/>
      <c r="U228" s="44"/>
      <c r="W228" s="95"/>
      <c r="X228" s="54"/>
      <c r="Y228" s="54"/>
      <c r="Z228" s="34"/>
      <c r="AA228" s="34"/>
      <c r="AB228" s="34"/>
      <c r="AC228" s="34"/>
      <c r="AD228" s="34"/>
      <c r="AE228" s="34"/>
      <c r="AF228" s="34"/>
      <c r="AG228" s="34"/>
      <c r="AH228" s="52"/>
      <c r="AI228" s="52"/>
      <c r="AK228" s="34"/>
      <c r="AL228" s="34"/>
      <c r="AM228" s="34"/>
      <c r="AN228" s="54"/>
      <c r="AO228" s="34"/>
      <c r="AP228" s="34"/>
      <c r="AQ228" s="54"/>
      <c r="AR228" s="54"/>
      <c r="AS228" s="54"/>
      <c r="AT228" s="54"/>
      <c r="AU228" s="34"/>
      <c r="AV228" s="34"/>
      <c r="AW228" s="34"/>
      <c r="AX228" s="34"/>
      <c r="AY228" s="34"/>
      <c r="AZ228" s="44"/>
      <c r="BA228" s="34"/>
      <c r="BB228" s="34"/>
    </row>
    <row r="229" spans="1:54" x14ac:dyDescent="0.35" ht="15.0" customHeight="true">
      <c r="A229" s="51"/>
      <c r="B229" s="34"/>
      <c r="C229" s="34"/>
      <c r="D229" s="34"/>
      <c r="E229" s="34"/>
      <c r="F229" s="34"/>
      <c r="G229" s="44"/>
      <c r="H229" s="34"/>
      <c r="I229" s="54"/>
      <c r="J229" s="34"/>
      <c r="K229" s="54"/>
      <c r="L229" s="34"/>
      <c r="M229" s="44"/>
      <c r="N229" s="44"/>
      <c r="O229" s="34"/>
      <c r="P229" s="34"/>
      <c r="Q229" s="34"/>
      <c r="R229" s="34"/>
      <c r="U229" s="44"/>
      <c r="W229" s="95"/>
      <c r="X229" s="54"/>
      <c r="Y229" s="54"/>
      <c r="Z229" s="34"/>
      <c r="AA229" s="34"/>
      <c r="AB229" s="34"/>
      <c r="AC229" s="34"/>
      <c r="AD229" s="34"/>
      <c r="AE229" s="34"/>
      <c r="AF229" s="34"/>
      <c r="AG229" s="34"/>
      <c r="AH229" s="52"/>
      <c r="AI229" s="52"/>
      <c r="AK229" s="34"/>
      <c r="AL229" s="34"/>
      <c r="AM229" s="34"/>
      <c r="AN229" s="54"/>
      <c r="AO229" s="34"/>
      <c r="AP229" s="34"/>
      <c r="AQ229" s="54"/>
      <c r="AR229" s="54"/>
      <c r="AS229" s="54"/>
      <c r="AT229" s="54"/>
      <c r="AU229" s="34"/>
      <c r="AV229" s="34"/>
      <c r="AW229" s="34"/>
      <c r="AX229" s="34"/>
      <c r="AY229" s="34"/>
      <c r="AZ229" s="44"/>
      <c r="BA229" s="34"/>
      <c r="BB229" s="34"/>
    </row>
    <row r="230" spans="1:54" x14ac:dyDescent="0.35" ht="15.0" customHeight="true">
      <c r="A230" s="51"/>
      <c r="B230" s="34"/>
      <c r="C230" s="34"/>
      <c r="D230" s="34"/>
      <c r="E230" s="34"/>
      <c r="F230" s="34"/>
      <c r="G230" s="44"/>
      <c r="H230" s="34"/>
      <c r="I230" s="54"/>
      <c r="J230" s="34"/>
      <c r="K230" s="54"/>
      <c r="L230" s="34"/>
      <c r="M230" s="44"/>
      <c r="N230" s="44"/>
      <c r="O230" s="34"/>
      <c r="P230" s="34"/>
      <c r="Q230" s="34"/>
      <c r="R230" s="34"/>
      <c r="U230" s="44"/>
      <c r="W230" s="95"/>
      <c r="X230" s="54"/>
      <c r="Y230" s="54"/>
      <c r="Z230" s="34"/>
      <c r="AA230" s="34"/>
      <c r="AB230" s="34"/>
      <c r="AC230" s="34"/>
      <c r="AD230" s="34"/>
      <c r="AE230" s="34"/>
      <c r="AF230" s="34"/>
      <c r="AG230" s="34"/>
      <c r="AH230" s="52"/>
      <c r="AI230" s="52"/>
      <c r="AK230" s="34"/>
      <c r="AL230" s="34"/>
      <c r="AM230" s="34"/>
      <c r="AN230" s="54"/>
      <c r="AO230" s="34"/>
      <c r="AP230" s="34"/>
      <c r="AQ230" s="54"/>
      <c r="AR230" s="54"/>
      <c r="AS230" s="54"/>
      <c r="AT230" s="54"/>
      <c r="AU230" s="34"/>
      <c r="AV230" s="34"/>
      <c r="AW230" s="34"/>
      <c r="AX230" s="34"/>
      <c r="AY230" s="34"/>
      <c r="AZ230" s="44"/>
      <c r="BA230" s="34"/>
      <c r="BB230" s="34"/>
    </row>
    <row r="231" spans="1:54" x14ac:dyDescent="0.35" ht="15.0" customHeight="true">
      <c r="A231" s="51"/>
      <c r="B231" s="34"/>
      <c r="C231" s="34"/>
      <c r="D231" s="34"/>
      <c r="E231" s="34"/>
      <c r="F231" s="34"/>
      <c r="G231" s="44"/>
      <c r="H231" s="34"/>
      <c r="I231" s="54"/>
      <c r="J231" s="34"/>
      <c r="K231" s="54"/>
      <c r="L231" s="34"/>
      <c r="M231" s="44"/>
      <c r="N231" s="44"/>
      <c r="O231" s="34"/>
      <c r="P231" s="34"/>
      <c r="Q231" s="34"/>
      <c r="R231" s="34"/>
      <c r="U231" s="44"/>
      <c r="W231" s="95"/>
      <c r="X231" s="54"/>
      <c r="Y231" s="54"/>
      <c r="Z231" s="34"/>
      <c r="AA231" s="34"/>
      <c r="AB231" s="34"/>
      <c r="AC231" s="34"/>
      <c r="AD231" s="34"/>
      <c r="AE231" s="34"/>
      <c r="AF231" s="34"/>
      <c r="AG231" s="34"/>
      <c r="AH231" s="52"/>
      <c r="AI231" s="52"/>
      <c r="AK231" s="34"/>
      <c r="AL231" s="34"/>
      <c r="AM231" s="34"/>
      <c r="AN231" s="54"/>
      <c r="AO231" s="34"/>
      <c r="AP231" s="34"/>
      <c r="AQ231" s="54"/>
      <c r="AR231" s="54"/>
      <c r="AS231" s="54"/>
      <c r="AT231" s="54"/>
      <c r="AU231" s="34"/>
      <c r="AV231" s="34"/>
      <c r="AW231" s="34"/>
      <c r="AX231" s="34"/>
      <c r="AY231" s="34"/>
      <c r="AZ231" s="44"/>
      <c r="BA231" s="34"/>
      <c r="BB231" s="34"/>
    </row>
    <row r="232" spans="1:54" x14ac:dyDescent="0.35" ht="15.0" customHeight="true">
      <c r="A232" s="51"/>
      <c r="B232" s="34"/>
      <c r="C232" s="34"/>
      <c r="D232" s="34"/>
      <c r="E232" s="34"/>
      <c r="F232" s="34"/>
      <c r="G232" s="44"/>
      <c r="H232" s="34"/>
      <c r="I232" s="54"/>
      <c r="J232" s="34"/>
      <c r="K232" s="54"/>
      <c r="L232" s="34"/>
      <c r="M232" s="44"/>
      <c r="N232" s="44"/>
      <c r="O232" s="34"/>
      <c r="P232" s="34"/>
      <c r="Q232" s="34"/>
      <c r="R232" s="34"/>
      <c r="U232" s="44"/>
      <c r="W232" s="95"/>
      <c r="X232" s="54"/>
      <c r="Y232" s="54"/>
      <c r="Z232" s="34"/>
      <c r="AA232" s="34"/>
      <c r="AB232" s="34"/>
      <c r="AC232" s="34"/>
      <c r="AD232" s="34"/>
      <c r="AE232" s="34"/>
      <c r="AF232" s="34"/>
      <c r="AG232" s="34"/>
      <c r="AH232" s="52"/>
      <c r="AI232" s="52"/>
      <c r="AK232" s="34"/>
      <c r="AL232" s="34"/>
      <c r="AM232" s="34"/>
      <c r="AN232" s="54"/>
      <c r="AO232" s="34"/>
      <c r="AP232" s="34"/>
      <c r="AQ232" s="54"/>
      <c r="AR232" s="54"/>
      <c r="AS232" s="54"/>
      <c r="AT232" s="54"/>
      <c r="AU232" s="34"/>
      <c r="AV232" s="34"/>
      <c r="AW232" s="34"/>
      <c r="AX232" s="34"/>
      <c r="AY232" s="34"/>
      <c r="AZ232" s="44"/>
      <c r="BA232" s="34"/>
      <c r="BB232" s="34"/>
    </row>
    <row r="233" spans="1:54" x14ac:dyDescent="0.35" ht="15.0" customHeight="true">
      <c r="A233" s="51"/>
      <c r="B233" s="34"/>
      <c r="C233" s="34"/>
      <c r="D233" s="34"/>
      <c r="E233" s="34"/>
      <c r="F233" s="34"/>
      <c r="G233" s="44"/>
      <c r="H233" s="34"/>
      <c r="I233" s="54"/>
      <c r="J233" s="34"/>
      <c r="K233" s="54"/>
      <c r="L233" s="34"/>
      <c r="M233" s="44"/>
      <c r="N233" s="44"/>
      <c r="O233" s="34"/>
      <c r="P233" s="34"/>
      <c r="Q233" s="34"/>
      <c r="R233" s="34"/>
      <c r="U233" s="44"/>
      <c r="W233" s="95"/>
      <c r="X233" s="54"/>
      <c r="Y233" s="54"/>
      <c r="Z233" s="34"/>
      <c r="AA233" s="34"/>
      <c r="AB233" s="34"/>
      <c r="AC233" s="34"/>
      <c r="AD233" s="34"/>
      <c r="AE233" s="34"/>
      <c r="AF233" s="34"/>
      <c r="AG233" s="34"/>
      <c r="AH233" s="52"/>
      <c r="AI233" s="52"/>
      <c r="AK233" s="34"/>
      <c r="AL233" s="34"/>
      <c r="AM233" s="34"/>
      <c r="AN233" s="54"/>
      <c r="AO233" s="34"/>
      <c r="AP233" s="34"/>
      <c r="AQ233" s="54"/>
      <c r="AR233" s="54"/>
      <c r="AS233" s="54"/>
      <c r="AT233" s="54"/>
      <c r="AU233" s="34"/>
      <c r="AV233" s="34"/>
      <c r="AW233" s="34"/>
      <c r="AX233" s="34"/>
      <c r="AY233" s="34"/>
      <c r="AZ233" s="44"/>
      <c r="BA233" s="34"/>
      <c r="BB233" s="34"/>
    </row>
    <row r="234" spans="1:54" x14ac:dyDescent="0.35" ht="15.0" customHeight="true">
      <c r="A234" s="51"/>
      <c r="B234" s="34"/>
      <c r="C234" s="34"/>
      <c r="D234" s="34"/>
      <c r="E234" s="34"/>
      <c r="F234" s="34"/>
      <c r="G234" s="44"/>
      <c r="H234" s="34"/>
      <c r="I234" s="54"/>
      <c r="J234" s="34"/>
      <c r="K234" s="54"/>
      <c r="L234" s="34"/>
      <c r="M234" s="44"/>
      <c r="N234" s="44"/>
      <c r="O234" s="34"/>
      <c r="P234" s="34"/>
      <c r="Q234" s="34"/>
      <c r="R234" s="34"/>
      <c r="U234" s="44"/>
      <c r="W234" s="95"/>
      <c r="X234" s="54"/>
      <c r="Y234" s="54"/>
      <c r="Z234" s="34"/>
      <c r="AA234" s="34"/>
      <c r="AB234" s="34"/>
      <c r="AC234" s="34"/>
      <c r="AD234" s="34"/>
      <c r="AE234" s="34"/>
      <c r="AF234" s="34"/>
      <c r="AG234" s="34"/>
      <c r="AH234" s="52"/>
      <c r="AI234" s="52"/>
      <c r="AK234" s="34"/>
      <c r="AL234" s="34"/>
      <c r="AM234" s="34"/>
      <c r="AN234" s="54"/>
      <c r="AO234" s="34"/>
      <c r="AP234" s="34"/>
      <c r="AQ234" s="54"/>
      <c r="AR234" s="54"/>
      <c r="AS234" s="54"/>
      <c r="AT234" s="54"/>
      <c r="AU234" s="34"/>
      <c r="AV234" s="34"/>
      <c r="AW234" s="34"/>
      <c r="AX234" s="34"/>
      <c r="AY234" s="34"/>
      <c r="AZ234" s="44"/>
      <c r="BA234" s="34"/>
      <c r="BB234" s="34"/>
    </row>
    <row r="235" spans="1:54" x14ac:dyDescent="0.35" ht="15.0" customHeight="true">
      <c r="A235" s="51"/>
      <c r="B235" s="34"/>
      <c r="C235" s="34"/>
      <c r="D235" s="34"/>
      <c r="E235" s="34"/>
      <c r="F235" s="34"/>
      <c r="G235" s="44"/>
      <c r="H235" s="34"/>
      <c r="I235" s="54"/>
      <c r="J235" s="34"/>
      <c r="K235" s="54"/>
      <c r="L235" s="34"/>
      <c r="M235" s="44"/>
      <c r="N235" s="44"/>
      <c r="O235" s="34"/>
      <c r="P235" s="34"/>
      <c r="Q235" s="34"/>
      <c r="R235" s="34"/>
      <c r="U235" s="44"/>
      <c r="W235" s="95"/>
      <c r="X235" s="54"/>
      <c r="Y235" s="54"/>
      <c r="Z235" s="34"/>
      <c r="AA235" s="34"/>
      <c r="AB235" s="34"/>
      <c r="AC235" s="34"/>
      <c r="AD235" s="34"/>
      <c r="AE235" s="34"/>
      <c r="AF235" s="34"/>
      <c r="AG235" s="34"/>
      <c r="AH235" s="52"/>
      <c r="AI235" s="52"/>
      <c r="AK235" s="34"/>
      <c r="AL235" s="34"/>
      <c r="AM235" s="34"/>
      <c r="AN235" s="54"/>
      <c r="AO235" s="34"/>
      <c r="AP235" s="34"/>
      <c r="AQ235" s="54"/>
      <c r="AR235" s="54"/>
      <c r="AS235" s="54"/>
      <c r="AT235" s="54"/>
      <c r="AU235" s="34"/>
      <c r="AV235" s="34"/>
      <c r="AW235" s="34"/>
      <c r="AX235" s="34"/>
      <c r="AY235" s="34"/>
      <c r="AZ235" s="44"/>
      <c r="BA235" s="34"/>
      <c r="BB235" s="34"/>
    </row>
    <row r="236" spans="1:54" x14ac:dyDescent="0.35" ht="15.0" customHeight="true">
      <c r="A236" s="51"/>
      <c r="B236" s="34"/>
      <c r="C236" s="34"/>
      <c r="D236" s="34"/>
      <c r="E236" s="34"/>
      <c r="F236" s="34"/>
      <c r="G236" s="44"/>
      <c r="H236" s="34"/>
      <c r="I236" s="54"/>
      <c r="J236" s="34"/>
      <c r="K236" s="54"/>
      <c r="L236" s="34"/>
      <c r="M236" s="44"/>
      <c r="N236" s="44"/>
      <c r="O236" s="34"/>
      <c r="P236" s="34"/>
      <c r="Q236" s="34"/>
      <c r="R236" s="34"/>
      <c r="U236" s="44"/>
      <c r="W236" s="95"/>
      <c r="X236" s="54"/>
      <c r="Y236" s="54"/>
      <c r="Z236" s="34"/>
      <c r="AA236" s="34"/>
      <c r="AB236" s="34"/>
      <c r="AC236" s="34"/>
      <c r="AD236" s="34"/>
      <c r="AE236" s="34"/>
      <c r="AF236" s="34"/>
      <c r="AG236" s="34"/>
      <c r="AH236" s="52"/>
      <c r="AI236" s="52"/>
      <c r="AK236" s="34"/>
      <c r="AL236" s="34"/>
      <c r="AM236" s="34"/>
      <c r="AN236" s="54"/>
      <c r="AO236" s="34"/>
      <c r="AP236" s="34"/>
      <c r="AQ236" s="54"/>
      <c r="AR236" s="54"/>
      <c r="AS236" s="54"/>
      <c r="AT236" s="54"/>
      <c r="AU236" s="34"/>
      <c r="AV236" s="34"/>
      <c r="AW236" s="34"/>
      <c r="AX236" s="34"/>
      <c r="AY236" s="34"/>
      <c r="AZ236" s="44"/>
      <c r="BA236" s="34"/>
      <c r="BB236" s="34"/>
    </row>
    <row r="237" spans="1:54" x14ac:dyDescent="0.35" ht="15.0" customHeight="true">
      <c r="A237" s="51"/>
      <c r="B237" s="34"/>
      <c r="C237" s="34"/>
      <c r="D237" s="34"/>
      <c r="E237" s="34"/>
      <c r="F237" s="34"/>
      <c r="G237" s="44"/>
      <c r="H237" s="34"/>
      <c r="I237" s="54"/>
      <c r="J237" s="34"/>
      <c r="K237" s="54"/>
      <c r="L237" s="34"/>
      <c r="M237" s="44"/>
      <c r="N237" s="44"/>
      <c r="O237" s="34"/>
      <c r="P237" s="34"/>
      <c r="Q237" s="34"/>
      <c r="R237" s="34"/>
      <c r="U237" s="44"/>
      <c r="W237" s="95"/>
      <c r="X237" s="54"/>
      <c r="Y237" s="54"/>
      <c r="Z237" s="34"/>
      <c r="AA237" s="34"/>
      <c r="AB237" s="34"/>
      <c r="AC237" s="34"/>
      <c r="AD237" s="34"/>
      <c r="AE237" s="34"/>
      <c r="AF237" s="34"/>
      <c r="AG237" s="34"/>
      <c r="AH237" s="52"/>
      <c r="AI237" s="52"/>
      <c r="AK237" s="34"/>
      <c r="AL237" s="34"/>
      <c r="AM237" s="34"/>
      <c r="AN237" s="54"/>
      <c r="AO237" s="34"/>
      <c r="AP237" s="34"/>
      <c r="AQ237" s="54"/>
      <c r="AR237" s="54"/>
      <c r="AS237" s="54"/>
      <c r="AT237" s="54"/>
      <c r="AU237" s="34"/>
      <c r="AV237" s="34"/>
      <c r="AW237" s="34"/>
      <c r="AX237" s="34"/>
      <c r="AY237" s="34"/>
      <c r="AZ237" s="44"/>
      <c r="BA237" s="34"/>
      <c r="BB237" s="34"/>
    </row>
    <row r="238" spans="1:54" x14ac:dyDescent="0.35" ht="15.0" customHeight="true">
      <c r="A238" s="51"/>
      <c r="B238" s="34"/>
      <c r="C238" s="34"/>
      <c r="D238" s="34"/>
      <c r="E238" s="34"/>
      <c r="F238" s="34"/>
      <c r="G238" s="44"/>
      <c r="H238" s="34"/>
      <c r="I238" s="54"/>
      <c r="J238" s="34"/>
      <c r="K238" s="54"/>
      <c r="L238" s="34"/>
      <c r="M238" s="44"/>
      <c r="N238" s="44"/>
      <c r="O238" s="34"/>
      <c r="P238" s="34"/>
      <c r="Q238" s="34"/>
      <c r="R238" s="34"/>
      <c r="U238" s="44"/>
      <c r="W238" s="95"/>
      <c r="X238" s="54"/>
      <c r="Y238" s="54"/>
      <c r="Z238" s="34"/>
      <c r="AA238" s="34"/>
      <c r="AB238" s="34"/>
      <c r="AC238" s="34"/>
      <c r="AD238" s="34"/>
      <c r="AE238" s="34"/>
      <c r="AF238" s="34"/>
      <c r="AG238" s="34"/>
      <c r="AH238" s="52"/>
      <c r="AI238" s="52"/>
      <c r="AK238" s="34"/>
      <c r="AL238" s="34"/>
      <c r="AM238" s="34"/>
      <c r="AN238" s="54"/>
      <c r="AO238" s="34"/>
      <c r="AP238" s="34"/>
      <c r="AQ238" s="54"/>
      <c r="AR238" s="54"/>
      <c r="AS238" s="54"/>
      <c r="AT238" s="54"/>
      <c r="AU238" s="34"/>
      <c r="AV238" s="34"/>
      <c r="AW238" s="34"/>
      <c r="AX238" s="34"/>
      <c r="AY238" s="34"/>
      <c r="AZ238" s="44"/>
      <c r="BA238" s="34"/>
      <c r="BB238" s="34"/>
    </row>
    <row r="239" spans="1:54" x14ac:dyDescent="0.35" ht="15.0" customHeight="true">
      <c r="A239" s="51"/>
      <c r="B239" s="34"/>
      <c r="C239" s="34"/>
      <c r="D239" s="34"/>
      <c r="E239" s="34"/>
      <c r="F239" s="34"/>
      <c r="G239" s="44"/>
      <c r="H239" s="34"/>
      <c r="I239" s="54"/>
      <c r="J239" s="34"/>
      <c r="K239" s="54"/>
      <c r="L239" s="34"/>
      <c r="M239" s="44"/>
      <c r="N239" s="44"/>
      <c r="O239" s="34"/>
      <c r="P239" s="34"/>
      <c r="Q239" s="34"/>
      <c r="R239" s="34"/>
      <c r="U239" s="44"/>
      <c r="W239" s="95"/>
      <c r="X239" s="54"/>
      <c r="Y239" s="54"/>
      <c r="Z239" s="34"/>
      <c r="AA239" s="34"/>
      <c r="AB239" s="34"/>
      <c r="AC239" s="34"/>
      <c r="AD239" s="34"/>
      <c r="AE239" s="34"/>
      <c r="AF239" s="34"/>
      <c r="AG239" s="34"/>
      <c r="AH239" s="52"/>
      <c r="AI239" s="52"/>
      <c r="AK239" s="34"/>
      <c r="AL239" s="34"/>
      <c r="AM239" s="34"/>
      <c r="AN239" s="54"/>
      <c r="AO239" s="34"/>
      <c r="AP239" s="34"/>
      <c r="AQ239" s="54"/>
      <c r="AR239" s="54"/>
      <c r="AS239" s="54"/>
      <c r="AT239" s="54"/>
      <c r="AU239" s="34"/>
      <c r="AV239" s="34"/>
      <c r="AW239" s="34"/>
      <c r="AX239" s="34"/>
      <c r="AY239" s="34"/>
      <c r="AZ239" s="44"/>
      <c r="BA239" s="34"/>
      <c r="BB239" s="34"/>
    </row>
    <row r="240" spans="1:54" x14ac:dyDescent="0.35" ht="15.0" customHeight="true">
      <c r="A240" s="51"/>
      <c r="B240" s="34"/>
      <c r="C240" s="34"/>
      <c r="D240" s="34"/>
      <c r="E240" s="34"/>
      <c r="F240" s="34"/>
      <c r="G240" s="44"/>
      <c r="H240" s="34"/>
      <c r="I240" s="54"/>
      <c r="J240" s="34"/>
      <c r="K240" s="54"/>
      <c r="L240" s="34"/>
      <c r="M240" s="44"/>
      <c r="N240" s="44"/>
      <c r="O240" s="34"/>
      <c r="P240" s="34"/>
      <c r="Q240" s="34"/>
      <c r="R240" s="34"/>
      <c r="U240" s="44"/>
      <c r="W240" s="95"/>
      <c r="X240" s="54"/>
      <c r="Y240" s="54"/>
      <c r="Z240" s="34"/>
      <c r="AA240" s="34"/>
      <c r="AB240" s="34"/>
      <c r="AC240" s="34"/>
      <c r="AD240" s="34"/>
      <c r="AE240" s="34"/>
      <c r="AF240" s="34"/>
      <c r="AG240" s="34"/>
      <c r="AH240" s="52"/>
      <c r="AI240" s="52"/>
      <c r="AK240" s="34"/>
      <c r="AL240" s="34"/>
      <c r="AM240" s="34"/>
      <c r="AN240" s="54"/>
      <c r="AO240" s="34"/>
      <c r="AP240" s="34"/>
      <c r="AQ240" s="54"/>
      <c r="AR240" s="54"/>
      <c r="AS240" s="54"/>
      <c r="AT240" s="54"/>
      <c r="AU240" s="34"/>
      <c r="AV240" s="34"/>
      <c r="AW240" s="34"/>
      <c r="AX240" s="34"/>
      <c r="AY240" s="34"/>
      <c r="AZ240" s="44"/>
      <c r="BA240" s="34"/>
      <c r="BB240" s="34"/>
    </row>
    <row r="241" spans="1:54" x14ac:dyDescent="0.35" ht="15.0" customHeight="true">
      <c r="A241" s="51"/>
      <c r="B241" s="34"/>
      <c r="C241" s="34"/>
      <c r="D241" s="34"/>
      <c r="E241" s="34"/>
      <c r="F241" s="34"/>
      <c r="G241" s="44"/>
      <c r="H241" s="34"/>
      <c r="I241" s="54"/>
      <c r="J241" s="34"/>
      <c r="K241" s="54"/>
      <c r="L241" s="34"/>
      <c r="M241" s="44"/>
      <c r="N241" s="44"/>
      <c r="O241" s="34"/>
      <c r="P241" s="34"/>
      <c r="Q241" s="34"/>
      <c r="R241" s="34"/>
      <c r="U241" s="44"/>
      <c r="W241" s="95"/>
      <c r="X241" s="54"/>
      <c r="Y241" s="54"/>
      <c r="Z241" s="34"/>
      <c r="AA241" s="34"/>
      <c r="AB241" s="34"/>
      <c r="AC241" s="34"/>
      <c r="AD241" s="34"/>
      <c r="AE241" s="34"/>
      <c r="AF241" s="34"/>
      <c r="AG241" s="34"/>
      <c r="AH241" s="52"/>
      <c r="AI241" s="52"/>
      <c r="AK241" s="34"/>
      <c r="AL241" s="34"/>
      <c r="AM241" s="34"/>
      <c r="AN241" s="54"/>
      <c r="AO241" s="34"/>
      <c r="AP241" s="34"/>
      <c r="AQ241" s="54"/>
      <c r="AR241" s="54"/>
      <c r="AS241" s="54"/>
      <c r="AT241" s="54"/>
      <c r="AU241" s="34"/>
      <c r="AV241" s="34"/>
      <c r="AW241" s="34"/>
      <c r="AX241" s="34"/>
      <c r="AY241" s="34"/>
      <c r="AZ241" s="44"/>
      <c r="BA241" s="34"/>
      <c r="BB241" s="34"/>
    </row>
    <row r="242" spans="1:54" x14ac:dyDescent="0.35" ht="15.0" customHeight="true">
      <c r="A242" s="51"/>
      <c r="B242" s="34"/>
      <c r="C242" s="34"/>
      <c r="D242" s="34"/>
      <c r="E242" s="34"/>
      <c r="F242" s="34"/>
      <c r="G242" s="44"/>
      <c r="H242" s="34"/>
      <c r="I242" s="54"/>
      <c r="J242" s="34"/>
      <c r="K242" s="54"/>
      <c r="L242" s="34"/>
      <c r="M242" s="44"/>
      <c r="N242" s="44"/>
      <c r="O242" s="34"/>
      <c r="P242" s="34"/>
      <c r="Q242" s="34"/>
      <c r="R242" s="34"/>
      <c r="U242" s="44"/>
      <c r="W242" s="95"/>
      <c r="X242" s="54"/>
      <c r="Y242" s="54"/>
      <c r="Z242" s="34"/>
      <c r="AA242" s="34"/>
      <c r="AB242" s="34"/>
      <c r="AC242" s="34"/>
      <c r="AD242" s="34"/>
      <c r="AE242" s="34"/>
      <c r="AF242" s="34"/>
      <c r="AG242" s="34"/>
      <c r="AH242" s="52"/>
      <c r="AI242" s="52"/>
      <c r="AK242" s="34"/>
      <c r="AL242" s="34"/>
      <c r="AM242" s="34"/>
      <c r="AN242" s="54"/>
      <c r="AO242" s="34"/>
      <c r="AP242" s="34"/>
      <c r="AQ242" s="54"/>
      <c r="AR242" s="54"/>
      <c r="AS242" s="54"/>
      <c r="AT242" s="54"/>
      <c r="AU242" s="34"/>
      <c r="AV242" s="34"/>
      <c r="AW242" s="34"/>
      <c r="AX242" s="34"/>
      <c r="AY242" s="34"/>
      <c r="AZ242" s="44"/>
      <c r="BA242" s="34"/>
      <c r="BB242" s="34"/>
    </row>
    <row r="243" spans="1:54" x14ac:dyDescent="0.35" ht="15.0" customHeight="true">
      <c r="A243" s="51"/>
      <c r="B243" s="34"/>
      <c r="C243" s="34"/>
      <c r="D243" s="34"/>
      <c r="E243" s="34"/>
      <c r="F243" s="34"/>
      <c r="G243" s="44"/>
      <c r="H243" s="34"/>
      <c r="I243" s="54"/>
      <c r="J243" s="34"/>
      <c r="K243" s="54"/>
      <c r="L243" s="34"/>
      <c r="M243" s="44"/>
      <c r="N243" s="44"/>
      <c r="O243" s="34"/>
      <c r="P243" s="34"/>
      <c r="Q243" s="34"/>
      <c r="R243" s="34"/>
      <c r="U243" s="44"/>
      <c r="W243" s="95"/>
      <c r="X243" s="54"/>
      <c r="Y243" s="54"/>
      <c r="Z243" s="34"/>
      <c r="AA243" s="34"/>
      <c r="AB243" s="34"/>
      <c r="AC243" s="34"/>
      <c r="AD243" s="34"/>
      <c r="AE243" s="34"/>
      <c r="AF243" s="34"/>
      <c r="AG243" s="34"/>
      <c r="AH243" s="52"/>
      <c r="AI243" s="52"/>
      <c r="AK243" s="34"/>
      <c r="AL243" s="34"/>
      <c r="AM243" s="34"/>
      <c r="AN243" s="54"/>
      <c r="AO243" s="34"/>
      <c r="AP243" s="34"/>
      <c r="AQ243" s="54"/>
      <c r="AR243" s="54"/>
      <c r="AS243" s="54"/>
      <c r="AT243" s="54"/>
      <c r="AU243" s="34"/>
      <c r="AV243" s="34"/>
      <c r="AW243" s="34"/>
      <c r="AX243" s="34"/>
      <c r="AY243" s="34"/>
      <c r="AZ243" s="44"/>
      <c r="BA243" s="34"/>
      <c r="BB243" s="34"/>
    </row>
    <row r="244" spans="1:54" x14ac:dyDescent="0.35" ht="15.0" customHeight="true">
      <c r="A244" s="51"/>
      <c r="B244" s="34"/>
      <c r="C244" s="34"/>
      <c r="D244" s="34"/>
      <c r="E244" s="34"/>
      <c r="F244" s="34"/>
      <c r="G244" s="44"/>
      <c r="H244" s="34"/>
      <c r="I244" s="54"/>
      <c r="J244" s="34"/>
      <c r="K244" s="54"/>
      <c r="L244" s="34"/>
      <c r="M244" s="44"/>
      <c r="N244" s="44"/>
      <c r="O244" s="34"/>
      <c r="P244" s="34"/>
      <c r="Q244" s="34"/>
      <c r="R244" s="34"/>
      <c r="U244" s="44"/>
      <c r="W244" s="95"/>
      <c r="X244" s="54"/>
      <c r="Y244" s="54"/>
      <c r="Z244" s="34"/>
      <c r="AA244" s="34"/>
      <c r="AB244" s="34"/>
      <c r="AC244" s="34"/>
      <c r="AD244" s="34"/>
      <c r="AE244" s="34"/>
      <c r="AF244" s="34"/>
      <c r="AG244" s="34"/>
      <c r="AH244" s="52"/>
      <c r="AI244" s="52"/>
      <c r="AK244" s="34"/>
      <c r="AL244" s="34"/>
      <c r="AM244" s="34"/>
      <c r="AN244" s="54"/>
      <c r="AO244" s="34"/>
      <c r="AP244" s="34"/>
      <c r="AQ244" s="54"/>
      <c r="AR244" s="54"/>
      <c r="AS244" s="54"/>
      <c r="AT244" s="54"/>
      <c r="AU244" s="34"/>
      <c r="AV244" s="34"/>
      <c r="AW244" s="34"/>
      <c r="AX244" s="34"/>
      <c r="AY244" s="34"/>
      <c r="AZ244" s="44"/>
      <c r="BA244" s="34"/>
      <c r="BB244" s="34"/>
    </row>
    <row r="245" spans="1:54" x14ac:dyDescent="0.35" ht="15.0" customHeight="true">
      <c r="A245" s="51"/>
      <c r="B245" s="34"/>
      <c r="C245" s="34"/>
      <c r="D245" s="34"/>
      <c r="E245" s="34"/>
      <c r="F245" s="34"/>
      <c r="G245" s="44"/>
      <c r="H245" s="34"/>
      <c r="I245" s="54"/>
      <c r="J245" s="34"/>
      <c r="K245" s="54"/>
      <c r="L245" s="34"/>
      <c r="M245" s="44"/>
      <c r="N245" s="44"/>
      <c r="O245" s="34"/>
      <c r="P245" s="34"/>
      <c r="Q245" s="34"/>
      <c r="R245" s="34"/>
      <c r="U245" s="44"/>
      <c r="W245" s="95"/>
      <c r="X245" s="54"/>
      <c r="Y245" s="54"/>
      <c r="Z245" s="34"/>
      <c r="AA245" s="34"/>
      <c r="AB245" s="34"/>
      <c r="AC245" s="34"/>
      <c r="AD245" s="34"/>
      <c r="AE245" s="34"/>
      <c r="AF245" s="34"/>
      <c r="AG245" s="34"/>
      <c r="AH245" s="52"/>
      <c r="AI245" s="52"/>
      <c r="AK245" s="34"/>
      <c r="AL245" s="34"/>
      <c r="AM245" s="34"/>
      <c r="AN245" s="54"/>
      <c r="AO245" s="34"/>
      <c r="AP245" s="34"/>
      <c r="AQ245" s="54"/>
      <c r="AR245" s="54"/>
      <c r="AS245" s="54"/>
      <c r="AT245" s="54"/>
      <c r="AU245" s="34"/>
      <c r="AV245" s="34"/>
      <c r="AW245" s="34"/>
      <c r="AX245" s="34"/>
      <c r="AY245" s="34"/>
      <c r="AZ245" s="44"/>
      <c r="BA245" s="34"/>
      <c r="BB245" s="34"/>
    </row>
    <row r="246" spans="1:54" x14ac:dyDescent="0.35" ht="15.0" customHeight="true">
      <c r="A246" s="51"/>
      <c r="B246" s="34"/>
      <c r="C246" s="34"/>
      <c r="D246" s="34"/>
      <c r="E246" s="34"/>
      <c r="F246" s="34"/>
      <c r="G246" s="44"/>
      <c r="H246" s="34"/>
      <c r="I246" s="54"/>
      <c r="J246" s="34"/>
      <c r="K246" s="54"/>
      <c r="L246" s="34"/>
      <c r="M246" s="44"/>
      <c r="N246" s="44"/>
      <c r="O246" s="34"/>
      <c r="P246" s="34"/>
      <c r="Q246" s="34"/>
      <c r="R246" s="34"/>
      <c r="U246" s="44"/>
      <c r="W246" s="95"/>
      <c r="X246" s="54"/>
      <c r="Y246" s="54"/>
      <c r="Z246" s="34"/>
      <c r="AA246" s="34"/>
      <c r="AB246" s="34"/>
      <c r="AC246" s="34"/>
      <c r="AD246" s="34"/>
      <c r="AE246" s="34"/>
      <c r="AF246" s="34"/>
      <c r="AG246" s="34"/>
      <c r="AH246" s="52"/>
      <c r="AI246" s="52"/>
      <c r="AK246" s="34"/>
      <c r="AL246" s="34"/>
      <c r="AM246" s="34"/>
      <c r="AN246" s="54"/>
      <c r="AO246" s="34"/>
      <c r="AP246" s="34"/>
      <c r="AQ246" s="54"/>
      <c r="AR246" s="54"/>
      <c r="AS246" s="54"/>
      <c r="AT246" s="54"/>
      <c r="AU246" s="34"/>
      <c r="AV246" s="34"/>
      <c r="AW246" s="34"/>
      <c r="AX246" s="34"/>
      <c r="AY246" s="34"/>
      <c r="AZ246" s="44"/>
      <c r="BA246" s="34"/>
      <c r="BB246" s="34"/>
    </row>
    <row r="247" spans="1:54" x14ac:dyDescent="0.35" ht="15.0" customHeight="true">
      <c r="A247" s="51"/>
      <c r="B247" s="34"/>
      <c r="C247" s="34"/>
      <c r="D247" s="34"/>
      <c r="E247" s="34"/>
      <c r="F247" s="34"/>
      <c r="G247" s="44"/>
      <c r="H247" s="34"/>
      <c r="I247" s="54"/>
      <c r="J247" s="34"/>
      <c r="K247" s="54"/>
      <c r="L247" s="34"/>
      <c r="M247" s="44"/>
      <c r="N247" s="44"/>
      <c r="O247" s="34"/>
      <c r="P247" s="34"/>
      <c r="Q247" s="34"/>
      <c r="R247" s="34"/>
      <c r="U247" s="44"/>
      <c r="W247" s="95"/>
      <c r="X247" s="54"/>
      <c r="Y247" s="54"/>
      <c r="Z247" s="34"/>
      <c r="AA247" s="34"/>
      <c r="AB247" s="34"/>
      <c r="AC247" s="34"/>
      <c r="AD247" s="34"/>
      <c r="AE247" s="34"/>
      <c r="AF247" s="34"/>
      <c r="AG247" s="34"/>
      <c r="AH247" s="52"/>
      <c r="AI247" s="52"/>
      <c r="AK247" s="34"/>
      <c r="AL247" s="34"/>
      <c r="AM247" s="34"/>
      <c r="AN247" s="54"/>
      <c r="AO247" s="34"/>
      <c r="AP247" s="34"/>
      <c r="AQ247" s="54"/>
      <c r="AR247" s="54"/>
      <c r="AS247" s="54"/>
      <c r="AT247" s="54"/>
      <c r="AU247" s="34"/>
      <c r="AV247" s="34"/>
      <c r="AW247" s="34"/>
      <c r="AX247" s="34"/>
      <c r="AY247" s="34"/>
      <c r="AZ247" s="44"/>
      <c r="BA247" s="34"/>
      <c r="BB247" s="34"/>
    </row>
    <row r="248" spans="1:54" x14ac:dyDescent="0.35" ht="15.0" customHeight="true">
      <c r="A248" s="51"/>
      <c r="B248" s="34"/>
      <c r="C248" s="34"/>
      <c r="D248" s="34"/>
      <c r="E248" s="34"/>
      <c r="F248" s="34"/>
      <c r="G248" s="44"/>
      <c r="H248" s="34"/>
      <c r="I248" s="54"/>
      <c r="J248" s="34"/>
      <c r="K248" s="54"/>
      <c r="L248" s="34"/>
      <c r="M248" s="44"/>
      <c r="N248" s="44"/>
      <c r="O248" s="34"/>
      <c r="P248" s="34"/>
      <c r="Q248" s="34"/>
      <c r="R248" s="34"/>
      <c r="U248" s="44"/>
      <c r="W248" s="95"/>
      <c r="X248" s="54"/>
      <c r="Y248" s="54"/>
      <c r="Z248" s="34"/>
      <c r="AA248" s="34"/>
      <c r="AB248" s="34"/>
      <c r="AC248" s="34"/>
      <c r="AD248" s="34"/>
      <c r="AE248" s="34"/>
      <c r="AF248" s="34"/>
      <c r="AG248" s="34"/>
      <c r="AH248" s="52"/>
      <c r="AI248" s="52"/>
      <c r="AK248" s="34"/>
      <c r="AL248" s="34"/>
      <c r="AM248" s="34"/>
      <c r="AN248" s="54"/>
      <c r="AO248" s="34"/>
      <c r="AP248" s="34"/>
      <c r="AQ248" s="54"/>
      <c r="AR248" s="54"/>
      <c r="AS248" s="54"/>
      <c r="AT248" s="54"/>
      <c r="AU248" s="34"/>
      <c r="AV248" s="34"/>
      <c r="AW248" s="34"/>
      <c r="AX248" s="34"/>
      <c r="AY248" s="34"/>
      <c r="AZ248" s="44"/>
      <c r="BA248" s="34"/>
      <c r="BB248" s="34"/>
    </row>
    <row r="249" spans="1:54" x14ac:dyDescent="0.35" ht="15.0" customHeight="true">
      <c r="A249" s="51"/>
      <c r="B249" s="34"/>
      <c r="C249" s="34"/>
      <c r="D249" s="34"/>
      <c r="E249" s="34"/>
      <c r="F249" s="34"/>
      <c r="G249" s="44"/>
      <c r="H249" s="34"/>
      <c r="I249" s="54"/>
      <c r="J249" s="34"/>
      <c r="K249" s="54"/>
      <c r="L249" s="34"/>
      <c r="M249" s="44"/>
      <c r="N249" s="44"/>
      <c r="O249" s="34"/>
      <c r="P249" s="34"/>
      <c r="Q249" s="34"/>
      <c r="R249" s="34"/>
      <c r="U249" s="44"/>
      <c r="W249" s="95"/>
      <c r="X249" s="54"/>
      <c r="Y249" s="54"/>
      <c r="Z249" s="34"/>
      <c r="AA249" s="34"/>
      <c r="AB249" s="34"/>
      <c r="AC249" s="34"/>
      <c r="AD249" s="34"/>
      <c r="AE249" s="34"/>
      <c r="AF249" s="34"/>
      <c r="AG249" s="34"/>
      <c r="AH249" s="52"/>
      <c r="AI249" s="52"/>
      <c r="AK249" s="34"/>
      <c r="AL249" s="34"/>
      <c r="AM249" s="34"/>
      <c r="AN249" s="54"/>
      <c r="AO249" s="34"/>
      <c r="AP249" s="34"/>
      <c r="AQ249" s="54"/>
      <c r="AR249" s="54"/>
      <c r="AS249" s="54"/>
      <c r="AT249" s="54"/>
      <c r="AU249" s="34"/>
      <c r="AV249" s="34"/>
      <c r="AW249" s="34"/>
      <c r="AX249" s="34"/>
      <c r="AY249" s="34"/>
      <c r="AZ249" s="44"/>
      <c r="BA249" s="34"/>
      <c r="BB249" s="34"/>
    </row>
    <row r="250" spans="1:54" x14ac:dyDescent="0.35" ht="15.0" customHeight="true">
      <c r="A250" s="51"/>
      <c r="B250" s="34"/>
      <c r="C250" s="34"/>
      <c r="D250" s="34"/>
      <c r="E250" s="34"/>
      <c r="F250" s="34"/>
      <c r="G250" s="44"/>
      <c r="H250" s="34"/>
      <c r="I250" s="54"/>
      <c r="J250" s="34"/>
      <c r="K250" s="54"/>
      <c r="L250" s="34"/>
      <c r="M250" s="44"/>
      <c r="N250" s="44"/>
      <c r="O250" s="34"/>
      <c r="P250" s="34"/>
      <c r="Q250" s="34"/>
      <c r="R250" s="34"/>
      <c r="U250" s="44"/>
      <c r="W250" s="95"/>
      <c r="X250" s="54"/>
      <c r="Y250" s="54"/>
      <c r="Z250" s="34"/>
      <c r="AA250" s="34"/>
      <c r="AB250" s="34"/>
      <c r="AC250" s="34"/>
      <c r="AD250" s="34"/>
      <c r="AE250" s="34"/>
      <c r="AF250" s="34"/>
      <c r="AG250" s="34"/>
      <c r="AH250" s="52"/>
      <c r="AI250" s="52"/>
      <c r="AK250" s="34"/>
      <c r="AL250" s="34"/>
      <c r="AM250" s="34"/>
      <c r="AN250" s="54"/>
      <c r="AO250" s="34"/>
      <c r="AP250" s="34"/>
      <c r="AQ250" s="54"/>
      <c r="AR250" s="54"/>
      <c r="AS250" s="54"/>
      <c r="AT250" s="54"/>
      <c r="AU250" s="34"/>
      <c r="AV250" s="34"/>
      <c r="AW250" s="34"/>
      <c r="AX250" s="34"/>
      <c r="AY250" s="34"/>
      <c r="AZ250" s="44"/>
      <c r="BA250" s="34"/>
      <c r="BB250" s="34"/>
    </row>
    <row r="251" spans="1:54" x14ac:dyDescent="0.35" ht="15.0" customHeight="true">
      <c r="A251" s="51"/>
      <c r="B251" s="34"/>
      <c r="C251" s="34"/>
      <c r="D251" s="34"/>
      <c r="E251" s="34"/>
      <c r="F251" s="34"/>
      <c r="G251" s="44"/>
      <c r="H251" s="34"/>
      <c r="I251" s="54"/>
      <c r="J251" s="34"/>
      <c r="K251" s="54"/>
      <c r="L251" s="34"/>
      <c r="M251" s="44"/>
      <c r="N251" s="44"/>
      <c r="O251" s="34"/>
      <c r="P251" s="34"/>
      <c r="Q251" s="34"/>
      <c r="R251" s="34"/>
      <c r="U251" s="44"/>
      <c r="W251" s="95"/>
      <c r="X251" s="54"/>
      <c r="Y251" s="54"/>
      <c r="Z251" s="34"/>
      <c r="AA251" s="34"/>
      <c r="AB251" s="34"/>
      <c r="AC251" s="34"/>
      <c r="AD251" s="34"/>
      <c r="AE251" s="34"/>
      <c r="AF251" s="34"/>
      <c r="AG251" s="34"/>
      <c r="AH251" s="52"/>
      <c r="AI251" s="52"/>
      <c r="AK251" s="34"/>
      <c r="AL251" s="34"/>
      <c r="AM251" s="34"/>
      <c r="AN251" s="54"/>
      <c r="AO251" s="34"/>
      <c r="AP251" s="34"/>
      <c r="AQ251" s="54"/>
      <c r="AR251" s="54"/>
      <c r="AS251" s="54"/>
      <c r="AT251" s="54"/>
      <c r="AU251" s="34"/>
      <c r="AV251" s="34"/>
      <c r="AW251" s="34"/>
      <c r="AX251" s="34"/>
      <c r="AY251" s="34"/>
      <c r="AZ251" s="44"/>
      <c r="BA251" s="34"/>
      <c r="BB251" s="34"/>
    </row>
    <row r="252" spans="1:54" x14ac:dyDescent="0.35" ht="15.0" customHeight="true">
      <c r="A252" s="51"/>
      <c r="B252" s="34"/>
      <c r="C252" s="34"/>
      <c r="D252" s="34"/>
      <c r="E252" s="34"/>
      <c r="F252" s="34"/>
      <c r="G252" s="44"/>
      <c r="H252" s="34"/>
      <c r="I252" s="54"/>
      <c r="J252" s="34"/>
      <c r="K252" s="54"/>
      <c r="L252" s="34"/>
      <c r="M252" s="44"/>
      <c r="N252" s="44"/>
      <c r="O252" s="34"/>
      <c r="P252" s="34"/>
      <c r="Q252" s="34"/>
      <c r="R252" s="34"/>
      <c r="U252" s="44"/>
      <c r="W252" s="95"/>
      <c r="X252" s="54"/>
      <c r="Y252" s="54"/>
      <c r="Z252" s="34"/>
      <c r="AA252" s="34"/>
      <c r="AB252" s="34"/>
      <c r="AC252" s="34"/>
      <c r="AD252" s="34"/>
      <c r="AE252" s="34"/>
      <c r="AF252" s="34"/>
      <c r="AG252" s="34"/>
      <c r="AH252" s="52"/>
      <c r="AI252" s="52"/>
      <c r="AK252" s="34"/>
      <c r="AL252" s="34"/>
      <c r="AM252" s="34"/>
      <c r="AN252" s="54"/>
      <c r="AO252" s="34"/>
      <c r="AP252" s="34"/>
      <c r="AQ252" s="54"/>
      <c r="AR252" s="54"/>
      <c r="AS252" s="54"/>
      <c r="AT252" s="54"/>
      <c r="AU252" s="34"/>
      <c r="AV252" s="34"/>
      <c r="AW252" s="34"/>
      <c r="AX252" s="34"/>
      <c r="AY252" s="34"/>
      <c r="AZ252" s="44"/>
      <c r="BA252" s="34"/>
      <c r="BB252" s="34"/>
    </row>
    <row r="253" spans="1:54" x14ac:dyDescent="0.35" ht="15.0" customHeight="true">
      <c r="A253" s="51"/>
      <c r="B253" s="34"/>
      <c r="C253" s="34"/>
      <c r="D253" s="34"/>
      <c r="E253" s="34"/>
      <c r="F253" s="34"/>
      <c r="G253" s="44"/>
      <c r="H253" s="34"/>
      <c r="I253" s="54"/>
      <c r="J253" s="34"/>
      <c r="K253" s="54"/>
      <c r="L253" s="34"/>
      <c r="M253" s="44"/>
      <c r="N253" s="44"/>
      <c r="O253" s="34"/>
      <c r="P253" s="34"/>
      <c r="Q253" s="34"/>
      <c r="R253" s="34"/>
      <c r="U253" s="44"/>
      <c r="W253" s="95"/>
      <c r="X253" s="54"/>
      <c r="Y253" s="54"/>
      <c r="Z253" s="34"/>
      <c r="AA253" s="34"/>
      <c r="AB253" s="34"/>
      <c r="AC253" s="34"/>
      <c r="AD253" s="34"/>
      <c r="AE253" s="34"/>
      <c r="AF253" s="34"/>
      <c r="AG253" s="34"/>
      <c r="AH253" s="52"/>
      <c r="AI253" s="52"/>
      <c r="AK253" s="34"/>
      <c r="AL253" s="34"/>
      <c r="AM253" s="34"/>
      <c r="AN253" s="54"/>
      <c r="AO253" s="34"/>
      <c r="AP253" s="34"/>
      <c r="AQ253" s="54"/>
      <c r="AR253" s="54"/>
      <c r="AS253" s="54"/>
      <c r="AT253" s="54"/>
      <c r="AU253" s="34"/>
      <c r="AV253" s="34"/>
      <c r="AW253" s="34"/>
      <c r="AX253" s="34"/>
      <c r="AY253" s="34"/>
      <c r="AZ253" s="44"/>
      <c r="BA253" s="34"/>
      <c r="BB253" s="34"/>
    </row>
    <row r="254" spans="1:54" x14ac:dyDescent="0.35" ht="15.0" customHeight="true">
      <c r="A254" s="51"/>
      <c r="B254" s="34"/>
      <c r="C254" s="34"/>
      <c r="D254" s="34"/>
      <c r="E254" s="34"/>
      <c r="F254" s="34"/>
      <c r="G254" s="44"/>
      <c r="H254" s="34"/>
      <c r="I254" s="54"/>
      <c r="J254" s="34"/>
      <c r="K254" s="54"/>
      <c r="L254" s="34"/>
      <c r="M254" s="44"/>
      <c r="N254" s="44"/>
      <c r="O254" s="34"/>
      <c r="P254" s="34"/>
      <c r="Q254" s="34"/>
      <c r="R254" s="34"/>
      <c r="U254" s="44"/>
      <c r="W254" s="95"/>
      <c r="X254" s="54"/>
      <c r="Y254" s="54"/>
      <c r="Z254" s="34"/>
      <c r="AA254" s="34"/>
      <c r="AB254" s="34"/>
      <c r="AC254" s="34"/>
      <c r="AD254" s="34"/>
      <c r="AE254" s="34"/>
      <c r="AF254" s="34"/>
      <c r="AG254" s="34"/>
      <c r="AH254" s="52"/>
      <c r="AI254" s="52"/>
      <c r="AK254" s="34"/>
      <c r="AL254" s="34"/>
      <c r="AM254" s="34"/>
      <c r="AN254" s="54"/>
      <c r="AO254" s="34"/>
      <c r="AP254" s="34"/>
      <c r="AQ254" s="54"/>
      <c r="AR254" s="54"/>
      <c r="AS254" s="54"/>
      <c r="AT254" s="54"/>
      <c r="AU254" s="34"/>
      <c r="AV254" s="34"/>
      <c r="AW254" s="34"/>
      <c r="AX254" s="34"/>
      <c r="AY254" s="34"/>
      <c r="AZ254" s="44"/>
      <c r="BA254" s="34"/>
      <c r="BB254" s="34"/>
    </row>
    <row r="255" spans="1:54" x14ac:dyDescent="0.35" ht="15.0" customHeight="true">
      <c r="A255" s="51"/>
      <c r="B255" s="34"/>
      <c r="C255" s="34"/>
      <c r="D255" s="34"/>
      <c r="E255" s="34"/>
      <c r="F255" s="34"/>
      <c r="G255" s="44"/>
      <c r="H255" s="34"/>
      <c r="I255" s="54"/>
      <c r="J255" s="34"/>
      <c r="K255" s="54"/>
      <c r="L255" s="34"/>
      <c r="M255" s="44"/>
      <c r="N255" s="44"/>
      <c r="O255" s="34"/>
      <c r="P255" s="34"/>
      <c r="Q255" s="34"/>
      <c r="R255" s="34"/>
      <c r="U255" s="44"/>
      <c r="W255" s="95"/>
      <c r="X255" s="54"/>
      <c r="Y255" s="54"/>
      <c r="Z255" s="34"/>
      <c r="AA255" s="34"/>
      <c r="AB255" s="34"/>
      <c r="AC255" s="34"/>
      <c r="AD255" s="34"/>
      <c r="AE255" s="34"/>
      <c r="AF255" s="34"/>
      <c r="AG255" s="34"/>
      <c r="AH255" s="52"/>
      <c r="AI255" s="52"/>
      <c r="AK255" s="34"/>
      <c r="AL255" s="34"/>
      <c r="AM255" s="34"/>
      <c r="AN255" s="54"/>
      <c r="AO255" s="34"/>
      <c r="AP255" s="34"/>
      <c r="AQ255" s="54"/>
      <c r="AR255" s="54"/>
      <c r="AS255" s="54"/>
      <c r="AT255" s="54"/>
      <c r="AU255" s="34"/>
      <c r="AV255" s="34"/>
      <c r="AW255" s="34"/>
      <c r="AX255" s="34"/>
      <c r="AY255" s="34"/>
      <c r="AZ255" s="44"/>
      <c r="BA255" s="34"/>
      <c r="BB255" s="34"/>
    </row>
    <row r="256" spans="1:54" x14ac:dyDescent="0.35" ht="15.0" customHeight="true">
      <c r="A256" s="51"/>
      <c r="B256" s="34"/>
      <c r="C256" s="34"/>
      <c r="D256" s="34"/>
      <c r="E256" s="34"/>
      <c r="F256" s="34"/>
      <c r="G256" s="44"/>
      <c r="H256" s="34"/>
      <c r="I256" s="54"/>
      <c r="J256" s="34"/>
      <c r="K256" s="54"/>
      <c r="L256" s="34"/>
      <c r="M256" s="44"/>
      <c r="N256" s="44"/>
      <c r="O256" s="34"/>
      <c r="P256" s="34"/>
      <c r="Q256" s="34"/>
      <c r="R256" s="34"/>
      <c r="U256" s="44"/>
      <c r="W256" s="95"/>
      <c r="X256" s="54"/>
      <c r="Y256" s="54"/>
      <c r="Z256" s="34"/>
      <c r="AA256" s="34"/>
      <c r="AB256" s="34"/>
      <c r="AC256" s="34"/>
      <c r="AD256" s="34"/>
      <c r="AE256" s="34"/>
      <c r="AF256" s="34"/>
      <c r="AG256" s="34"/>
      <c r="AH256" s="52"/>
      <c r="AI256" s="52"/>
      <c r="AK256" s="34"/>
      <c r="AL256" s="34"/>
      <c r="AM256" s="34"/>
      <c r="AN256" s="54"/>
      <c r="AO256" s="34"/>
      <c r="AP256" s="34"/>
      <c r="AQ256" s="54"/>
      <c r="AR256" s="54"/>
      <c r="AS256" s="54"/>
      <c r="AT256" s="54"/>
      <c r="AU256" s="34"/>
      <c r="AV256" s="34"/>
      <c r="AW256" s="34"/>
      <c r="AX256" s="34"/>
      <c r="AY256" s="34"/>
      <c r="AZ256" s="44"/>
      <c r="BA256" s="34"/>
      <c r="BB256" s="34"/>
    </row>
    <row r="257" spans="1:54" x14ac:dyDescent="0.35" ht="15.0" customHeight="true">
      <c r="A257" s="51"/>
      <c r="B257" s="34"/>
      <c r="C257" s="34"/>
      <c r="D257" s="34"/>
      <c r="E257" s="34"/>
      <c r="F257" s="34"/>
      <c r="G257" s="44"/>
      <c r="H257" s="34"/>
      <c r="I257" s="54"/>
      <c r="J257" s="34"/>
      <c r="K257" s="54"/>
      <c r="L257" s="34"/>
      <c r="M257" s="44"/>
      <c r="N257" s="44"/>
      <c r="O257" s="34"/>
      <c r="P257" s="34"/>
      <c r="Q257" s="34"/>
      <c r="R257" s="34"/>
      <c r="U257" s="44"/>
      <c r="W257" s="95"/>
      <c r="X257" s="54"/>
      <c r="Y257" s="54"/>
      <c r="Z257" s="34"/>
      <c r="AA257" s="34"/>
      <c r="AB257" s="34"/>
      <c r="AC257" s="34"/>
      <c r="AD257" s="34"/>
      <c r="AE257" s="34"/>
      <c r="AF257" s="34"/>
      <c r="AG257" s="34"/>
      <c r="AH257" s="52"/>
      <c r="AI257" s="52"/>
      <c r="AK257" s="34"/>
      <c r="AL257" s="34"/>
      <c r="AM257" s="34"/>
      <c r="AN257" s="54"/>
      <c r="AO257" s="34"/>
      <c r="AP257" s="34"/>
      <c r="AQ257" s="54"/>
      <c r="AR257" s="54"/>
      <c r="AS257" s="54"/>
      <c r="AT257" s="54"/>
      <c r="AU257" s="34"/>
      <c r="AV257" s="34"/>
      <c r="AW257" s="34"/>
      <c r="AX257" s="34"/>
      <c r="AY257" s="34"/>
      <c r="AZ257" s="44"/>
      <c r="BA257" s="34"/>
      <c r="BB257" s="34"/>
    </row>
    <row r="258" spans="1:54" x14ac:dyDescent="0.35" ht="15.0" customHeight="true">
      <c r="A258" s="51"/>
      <c r="B258" s="34"/>
      <c r="C258" s="34"/>
      <c r="D258" s="34"/>
      <c r="E258" s="34"/>
      <c r="F258" s="34"/>
      <c r="G258" s="44"/>
      <c r="H258" s="34"/>
      <c r="I258" s="54"/>
      <c r="J258" s="34"/>
      <c r="K258" s="54"/>
      <c r="L258" s="34"/>
      <c r="M258" s="44"/>
      <c r="N258" s="44"/>
      <c r="O258" s="34"/>
      <c r="P258" s="34"/>
      <c r="Q258" s="34"/>
      <c r="R258" s="34"/>
      <c r="U258" s="44"/>
      <c r="W258" s="95"/>
      <c r="X258" s="54"/>
      <c r="Y258" s="54"/>
      <c r="Z258" s="34"/>
      <c r="AA258" s="34"/>
      <c r="AB258" s="34"/>
      <c r="AC258" s="34"/>
      <c r="AD258" s="34"/>
      <c r="AE258" s="34"/>
      <c r="AF258" s="34"/>
      <c r="AG258" s="34"/>
      <c r="AH258" s="52"/>
      <c r="AI258" s="52"/>
      <c r="AK258" s="34"/>
      <c r="AL258" s="34"/>
      <c r="AM258" s="34"/>
      <c r="AN258" s="54"/>
      <c r="AO258" s="34"/>
      <c r="AP258" s="34"/>
      <c r="AQ258" s="54"/>
      <c r="AR258" s="54"/>
      <c r="AS258" s="54"/>
      <c r="AT258" s="54"/>
      <c r="AU258" s="34"/>
      <c r="AV258" s="34"/>
      <c r="AW258" s="34"/>
      <c r="AX258" s="34"/>
      <c r="AY258" s="34"/>
      <c r="AZ258" s="44"/>
      <c r="BA258" s="34"/>
      <c r="BB258" s="34"/>
    </row>
    <row r="259" spans="1:54" x14ac:dyDescent="0.35" ht="15.0" customHeight="true">
      <c r="A259" s="51"/>
      <c r="B259" s="34"/>
      <c r="C259" s="34"/>
      <c r="D259" s="34"/>
      <c r="E259" s="34"/>
      <c r="F259" s="34"/>
      <c r="G259" s="44"/>
      <c r="H259" s="34"/>
      <c r="I259" s="54"/>
      <c r="J259" s="34"/>
      <c r="K259" s="54"/>
      <c r="L259" s="34"/>
      <c r="M259" s="44"/>
      <c r="N259" s="44"/>
      <c r="O259" s="34"/>
      <c r="P259" s="34"/>
      <c r="Q259" s="34"/>
      <c r="R259" s="34"/>
      <c r="U259" s="44"/>
      <c r="W259" s="95"/>
      <c r="X259" s="54"/>
      <c r="Y259" s="54"/>
      <c r="Z259" s="34"/>
      <c r="AA259" s="34"/>
      <c r="AB259" s="34"/>
      <c r="AC259" s="34"/>
      <c r="AD259" s="34"/>
      <c r="AE259" s="34"/>
      <c r="AF259" s="34"/>
      <c r="AG259" s="34"/>
      <c r="AH259" s="52"/>
      <c r="AI259" s="52"/>
      <c r="AK259" s="34"/>
      <c r="AL259" s="34"/>
      <c r="AM259" s="34"/>
      <c r="AN259" s="54"/>
      <c r="AO259" s="34"/>
      <c r="AP259" s="34"/>
      <c r="AQ259" s="54"/>
      <c r="AR259" s="54"/>
      <c r="AS259" s="54"/>
      <c r="AT259" s="54"/>
      <c r="AU259" s="34"/>
      <c r="AV259" s="34"/>
      <c r="AW259" s="34"/>
      <c r="AX259" s="34"/>
      <c r="AY259" s="34"/>
      <c r="AZ259" s="44"/>
      <c r="BA259" s="34"/>
      <c r="BB259" s="34"/>
    </row>
    <row r="260" spans="1:54" x14ac:dyDescent="0.35" ht="15.0" customHeight="true">
      <c r="A260" s="51"/>
      <c r="B260" s="34"/>
      <c r="C260" s="34"/>
      <c r="D260" s="34"/>
      <c r="E260" s="34"/>
      <c r="F260" s="34"/>
      <c r="G260" s="44"/>
      <c r="H260" s="34"/>
      <c r="I260" s="54"/>
      <c r="J260" s="34"/>
      <c r="K260" s="54"/>
      <c r="L260" s="34"/>
      <c r="M260" s="44"/>
      <c r="N260" s="44"/>
      <c r="O260" s="34"/>
      <c r="P260" s="34"/>
      <c r="Q260" s="34"/>
      <c r="R260" s="34"/>
      <c r="U260" s="44"/>
      <c r="W260" s="95"/>
      <c r="X260" s="54"/>
      <c r="Y260" s="54"/>
      <c r="Z260" s="34"/>
      <c r="AA260" s="34"/>
      <c r="AB260" s="34"/>
      <c r="AC260" s="34"/>
      <c r="AD260" s="34"/>
      <c r="AE260" s="34"/>
      <c r="AF260" s="34"/>
      <c r="AG260" s="34"/>
      <c r="AH260" s="52"/>
      <c r="AI260" s="52"/>
      <c r="AK260" s="34"/>
      <c r="AL260" s="34"/>
      <c r="AM260" s="34"/>
      <c r="AN260" s="54"/>
      <c r="AO260" s="34"/>
      <c r="AP260" s="34"/>
      <c r="AQ260" s="54"/>
      <c r="AR260" s="54"/>
      <c r="AS260" s="54"/>
      <c r="AT260" s="54"/>
      <c r="AU260" s="34"/>
      <c r="AV260" s="34"/>
      <c r="AW260" s="34"/>
      <c r="AX260" s="34"/>
      <c r="AY260" s="34"/>
      <c r="AZ260" s="44"/>
      <c r="BA260" s="34"/>
      <c r="BB260" s="34"/>
    </row>
    <row r="261" spans="1:54" x14ac:dyDescent="0.35" ht="15.0" customHeight="true">
      <c r="A261" s="51"/>
      <c r="B261" s="34"/>
      <c r="C261" s="34"/>
      <c r="D261" s="34"/>
      <c r="E261" s="34"/>
      <c r="F261" s="34"/>
      <c r="G261" s="44"/>
      <c r="H261" s="34"/>
      <c r="I261" s="54"/>
      <c r="J261" s="34"/>
      <c r="K261" s="54"/>
      <c r="L261" s="34"/>
      <c r="M261" s="44"/>
      <c r="N261" s="44"/>
      <c r="O261" s="34"/>
      <c r="P261" s="34"/>
      <c r="Q261" s="34"/>
      <c r="R261" s="34"/>
      <c r="U261" s="44"/>
      <c r="W261" s="95"/>
      <c r="X261" s="54"/>
      <c r="Y261" s="54"/>
      <c r="Z261" s="34"/>
      <c r="AA261" s="34"/>
      <c r="AB261" s="34"/>
      <c r="AC261" s="34"/>
      <c r="AD261" s="34"/>
      <c r="AE261" s="34"/>
      <c r="AF261" s="34"/>
      <c r="AG261" s="34"/>
      <c r="AH261" s="52"/>
      <c r="AI261" s="52"/>
      <c r="AK261" s="34"/>
      <c r="AL261" s="34"/>
      <c r="AM261" s="34"/>
      <c r="AN261" s="54"/>
      <c r="AO261" s="34"/>
      <c r="AP261" s="34"/>
      <c r="AQ261" s="54"/>
      <c r="AR261" s="54"/>
      <c r="AS261" s="54"/>
      <c r="AT261" s="54"/>
      <c r="AU261" s="34"/>
      <c r="AV261" s="34"/>
      <c r="AW261" s="34"/>
      <c r="AX261" s="34"/>
      <c r="AY261" s="34"/>
      <c r="AZ261" s="44"/>
      <c r="BA261" s="34"/>
      <c r="BB261" s="34"/>
    </row>
    <row r="262" spans="1:54" x14ac:dyDescent="0.35" ht="15.0" customHeight="true">
      <c r="A262" s="51"/>
      <c r="B262" s="34"/>
      <c r="C262" s="34"/>
      <c r="D262" s="34"/>
      <c r="E262" s="34"/>
      <c r="F262" s="34"/>
      <c r="G262" s="44"/>
      <c r="H262" s="34"/>
      <c r="I262" s="54"/>
      <c r="J262" s="34"/>
      <c r="K262" s="54"/>
      <c r="L262" s="34"/>
      <c r="M262" s="44"/>
      <c r="N262" s="44"/>
      <c r="O262" s="34"/>
      <c r="P262" s="34"/>
      <c r="Q262" s="34"/>
      <c r="R262" s="34"/>
      <c r="U262" s="44"/>
      <c r="W262" s="95"/>
      <c r="X262" s="54"/>
      <c r="Y262" s="54"/>
      <c r="Z262" s="34"/>
      <c r="AA262" s="34"/>
      <c r="AB262" s="34"/>
      <c r="AC262" s="34"/>
      <c r="AD262" s="34"/>
      <c r="AE262" s="34"/>
      <c r="AF262" s="34"/>
      <c r="AG262" s="34"/>
      <c r="AH262" s="52"/>
      <c r="AI262" s="52"/>
      <c r="AK262" s="34"/>
      <c r="AL262" s="34"/>
      <c r="AM262" s="34"/>
      <c r="AN262" s="54"/>
      <c r="AO262" s="34"/>
      <c r="AP262" s="34"/>
      <c r="AQ262" s="54"/>
      <c r="AR262" s="54"/>
      <c r="AS262" s="54"/>
      <c r="AT262" s="54"/>
      <c r="AU262" s="34"/>
      <c r="AV262" s="34"/>
      <c r="AW262" s="34"/>
      <c r="AX262" s="34"/>
      <c r="AY262" s="34"/>
      <c r="AZ262" s="44"/>
      <c r="BA262" s="34"/>
      <c r="BB262" s="34"/>
    </row>
    <row r="263" spans="1:54" x14ac:dyDescent="0.35" ht="15.0" customHeight="true">
      <c r="A263" s="51"/>
      <c r="B263" s="34"/>
      <c r="C263" s="34"/>
      <c r="D263" s="34"/>
      <c r="E263" s="34"/>
      <c r="F263" s="34"/>
      <c r="G263" s="44"/>
      <c r="H263" s="34"/>
      <c r="I263" s="54"/>
      <c r="J263" s="34"/>
      <c r="K263" s="54"/>
      <c r="L263" s="34"/>
      <c r="M263" s="44"/>
      <c r="N263" s="44"/>
      <c r="O263" s="34"/>
      <c r="P263" s="34"/>
      <c r="Q263" s="34"/>
      <c r="R263" s="34"/>
      <c r="U263" s="44"/>
      <c r="W263" s="95"/>
      <c r="X263" s="54"/>
      <c r="Y263" s="54"/>
      <c r="Z263" s="34"/>
      <c r="AA263" s="34"/>
      <c r="AB263" s="34"/>
      <c r="AC263" s="34"/>
      <c r="AD263" s="34"/>
      <c r="AE263" s="34"/>
      <c r="AF263" s="34"/>
      <c r="AG263" s="34"/>
      <c r="AH263" s="52"/>
      <c r="AI263" s="52"/>
      <c r="AK263" s="34"/>
      <c r="AL263" s="34"/>
      <c r="AM263" s="34"/>
      <c r="AN263" s="54"/>
      <c r="AO263" s="34"/>
      <c r="AP263" s="34"/>
      <c r="AQ263" s="54"/>
      <c r="AR263" s="54"/>
      <c r="AS263" s="54"/>
      <c r="AT263" s="54"/>
      <c r="AU263" s="34"/>
      <c r="AV263" s="34"/>
      <c r="AW263" s="34"/>
      <c r="AX263" s="34"/>
      <c r="AY263" s="34"/>
      <c r="AZ263" s="44"/>
      <c r="BA263" s="34"/>
      <c r="BB263" s="34"/>
    </row>
    <row r="264" spans="1:54" x14ac:dyDescent="0.35" ht="15.0" customHeight="true">
      <c r="A264" s="51"/>
      <c r="B264" s="34"/>
      <c r="C264" s="34"/>
      <c r="D264" s="34"/>
      <c r="E264" s="34"/>
      <c r="F264" s="34"/>
      <c r="G264" s="44"/>
      <c r="H264" s="34"/>
      <c r="I264" s="54"/>
      <c r="J264" s="34"/>
      <c r="K264" s="54"/>
      <c r="L264" s="34"/>
      <c r="M264" s="44"/>
      <c r="N264" s="44"/>
      <c r="O264" s="34"/>
      <c r="P264" s="34"/>
      <c r="Q264" s="34"/>
      <c r="R264" s="34"/>
      <c r="U264" s="44"/>
      <c r="W264" s="95"/>
      <c r="X264" s="54"/>
      <c r="Y264" s="54"/>
      <c r="Z264" s="34"/>
      <c r="AA264" s="34"/>
      <c r="AB264" s="34"/>
      <c r="AC264" s="34"/>
      <c r="AD264" s="34"/>
      <c r="AE264" s="34"/>
      <c r="AF264" s="34"/>
      <c r="AG264" s="34"/>
      <c r="AH264" s="52"/>
      <c r="AI264" s="52"/>
      <c r="AK264" s="34"/>
      <c r="AL264" s="34"/>
      <c r="AM264" s="34"/>
      <c r="AN264" s="54"/>
      <c r="AO264" s="34"/>
      <c r="AP264" s="34"/>
      <c r="AQ264" s="54"/>
      <c r="AR264" s="54"/>
      <c r="AS264" s="54"/>
      <c r="AT264" s="54"/>
      <c r="AU264" s="34"/>
      <c r="AV264" s="34"/>
      <c r="AW264" s="34"/>
      <c r="AX264" s="34"/>
      <c r="AY264" s="34"/>
      <c r="AZ264" s="44"/>
      <c r="BA264" s="34"/>
      <c r="BB264" s="34"/>
    </row>
    <row r="265" spans="1:54" x14ac:dyDescent="0.35" ht="15.0" customHeight="true">
      <c r="A265" s="51"/>
      <c r="B265" s="34"/>
      <c r="C265" s="34"/>
      <c r="D265" s="34"/>
      <c r="E265" s="34"/>
      <c r="F265" s="34"/>
      <c r="G265" s="44"/>
      <c r="H265" s="34"/>
      <c r="I265" s="54"/>
      <c r="J265" s="34"/>
      <c r="K265" s="54"/>
      <c r="L265" s="34"/>
      <c r="M265" s="44"/>
      <c r="N265" s="44"/>
      <c r="O265" s="34"/>
      <c r="P265" s="34"/>
      <c r="Q265" s="34"/>
      <c r="R265" s="34"/>
      <c r="U265" s="44"/>
      <c r="W265" s="95"/>
      <c r="X265" s="54"/>
      <c r="Y265" s="54"/>
      <c r="Z265" s="34"/>
      <c r="AA265" s="34"/>
      <c r="AB265" s="34"/>
      <c r="AC265" s="34"/>
      <c r="AD265" s="34"/>
      <c r="AE265" s="34"/>
      <c r="AF265" s="34"/>
      <c r="AG265" s="34"/>
      <c r="AH265" s="52"/>
      <c r="AI265" s="52"/>
      <c r="AK265" s="34"/>
      <c r="AL265" s="34"/>
      <c r="AM265" s="34"/>
      <c r="AN265" s="54"/>
      <c r="AO265" s="34"/>
      <c r="AP265" s="34"/>
      <c r="AQ265" s="54"/>
      <c r="AR265" s="54"/>
      <c r="AS265" s="54"/>
      <c r="AT265" s="54"/>
      <c r="AU265" s="34"/>
      <c r="AV265" s="34"/>
      <c r="AW265" s="34"/>
      <c r="AX265" s="34"/>
      <c r="AY265" s="34"/>
      <c r="AZ265" s="44"/>
      <c r="BA265" s="34"/>
      <c r="BB265" s="34"/>
    </row>
    <row r="266" spans="1:54" x14ac:dyDescent="0.35" ht="15.0" customHeight="true">
      <c r="A266" s="51"/>
      <c r="B266" s="34"/>
      <c r="C266" s="34"/>
      <c r="D266" s="34"/>
      <c r="E266" s="34"/>
      <c r="F266" s="34"/>
      <c r="G266" s="44"/>
      <c r="H266" s="34"/>
      <c r="I266" s="54"/>
      <c r="J266" s="34"/>
      <c r="K266" s="54"/>
      <c r="L266" s="34"/>
      <c r="M266" s="44"/>
      <c r="N266" s="44"/>
      <c r="O266" s="34"/>
      <c r="P266" s="34"/>
      <c r="Q266" s="34"/>
      <c r="R266" s="34"/>
      <c r="U266" s="44"/>
      <c r="W266" s="95"/>
      <c r="X266" s="54"/>
      <c r="Y266" s="54"/>
      <c r="Z266" s="34"/>
      <c r="AA266" s="34"/>
      <c r="AB266" s="34"/>
      <c r="AC266" s="34"/>
      <c r="AD266" s="34"/>
      <c r="AE266" s="34"/>
      <c r="AF266" s="34"/>
      <c r="AG266" s="34"/>
      <c r="AH266" s="52"/>
      <c r="AI266" s="52"/>
      <c r="AK266" s="34"/>
      <c r="AL266" s="34"/>
      <c r="AM266" s="34"/>
      <c r="AN266" s="54"/>
      <c r="AO266" s="34"/>
      <c r="AP266" s="34"/>
      <c r="AQ266" s="54"/>
      <c r="AR266" s="54"/>
      <c r="AS266" s="54"/>
      <c r="AT266" s="54"/>
      <c r="AU266" s="34"/>
      <c r="AV266" s="34"/>
      <c r="AW266" s="34"/>
      <c r="AX266" s="34"/>
      <c r="AY266" s="34"/>
      <c r="AZ266" s="44"/>
      <c r="BA266" s="34"/>
      <c r="BB266" s="34"/>
    </row>
    <row r="267" spans="1:54" x14ac:dyDescent="0.35" ht="15.0" customHeight="true">
      <c r="A267" s="51"/>
      <c r="B267" s="34"/>
      <c r="C267" s="34"/>
      <c r="D267" s="34"/>
      <c r="E267" s="34"/>
      <c r="F267" s="34"/>
      <c r="G267" s="44"/>
      <c r="H267" s="34"/>
      <c r="I267" s="54"/>
      <c r="J267" s="34"/>
      <c r="K267" s="54"/>
      <c r="L267" s="34"/>
      <c r="M267" s="44"/>
      <c r="N267" s="44"/>
      <c r="O267" s="34"/>
      <c r="P267" s="34"/>
      <c r="Q267" s="34"/>
      <c r="R267" s="34"/>
      <c r="U267" s="44"/>
      <c r="W267" s="95"/>
      <c r="X267" s="54"/>
      <c r="Y267" s="54"/>
      <c r="Z267" s="34"/>
      <c r="AA267" s="34"/>
      <c r="AB267" s="34"/>
      <c r="AC267" s="34"/>
      <c r="AD267" s="34"/>
      <c r="AE267" s="34"/>
      <c r="AF267" s="34"/>
      <c r="AG267" s="34"/>
      <c r="AH267" s="52"/>
      <c r="AI267" s="52"/>
      <c r="AK267" s="34"/>
      <c r="AL267" s="34"/>
      <c r="AM267" s="34"/>
      <c r="AN267" s="54"/>
      <c r="AO267" s="34"/>
      <c r="AP267" s="34"/>
      <c r="AQ267" s="54"/>
      <c r="AR267" s="54"/>
      <c r="AS267" s="54"/>
      <c r="AT267" s="54"/>
      <c r="AU267" s="34"/>
      <c r="AV267" s="34"/>
      <c r="AW267" s="34"/>
      <c r="AX267" s="34"/>
      <c r="AY267" s="34"/>
      <c r="AZ267" s="44"/>
      <c r="BA267" s="34"/>
      <c r="BB267" s="34"/>
    </row>
    <row r="268" spans="1:54" x14ac:dyDescent="0.35" ht="15.0" customHeight="true">
      <c r="A268" s="51"/>
      <c r="B268" s="34"/>
      <c r="C268" s="34"/>
      <c r="D268" s="34"/>
      <c r="E268" s="34"/>
      <c r="F268" s="34"/>
      <c r="G268" s="44"/>
      <c r="H268" s="34"/>
      <c r="I268" s="54"/>
      <c r="J268" s="34"/>
      <c r="K268" s="54"/>
      <c r="L268" s="34"/>
      <c r="M268" s="44"/>
      <c r="N268" s="44"/>
      <c r="O268" s="34"/>
      <c r="P268" s="34"/>
      <c r="Q268" s="34"/>
      <c r="R268" s="34"/>
      <c r="U268" s="44"/>
      <c r="W268" s="95"/>
      <c r="X268" s="54"/>
      <c r="Y268" s="54"/>
      <c r="Z268" s="34"/>
      <c r="AA268" s="34"/>
      <c r="AB268" s="34"/>
      <c r="AC268" s="34"/>
      <c r="AD268" s="34"/>
      <c r="AE268" s="34"/>
      <c r="AF268" s="34"/>
      <c r="AG268" s="34"/>
      <c r="AH268" s="52"/>
      <c r="AI268" s="52"/>
      <c r="AK268" s="34"/>
      <c r="AL268" s="34"/>
      <c r="AM268" s="34"/>
      <c r="AN268" s="54"/>
      <c r="AO268" s="34"/>
      <c r="AP268" s="34"/>
      <c r="AQ268" s="54"/>
      <c r="AR268" s="54"/>
      <c r="AS268" s="54"/>
      <c r="AT268" s="54"/>
      <c r="AU268" s="34"/>
      <c r="AV268" s="34"/>
      <c r="AW268" s="34"/>
      <c r="AX268" s="34"/>
      <c r="AY268" s="34"/>
      <c r="AZ268" s="44"/>
      <c r="BA268" s="34"/>
      <c r="BB268" s="34"/>
    </row>
    <row r="269" spans="1:54" x14ac:dyDescent="0.35" ht="15.0" customHeight="true">
      <c r="A269" s="51"/>
      <c r="B269" s="34"/>
      <c r="C269" s="34"/>
      <c r="D269" s="34"/>
      <c r="E269" s="34"/>
      <c r="F269" s="34"/>
      <c r="G269" s="44"/>
      <c r="H269" s="34"/>
      <c r="I269" s="54"/>
      <c r="J269" s="34"/>
      <c r="K269" s="54"/>
      <c r="L269" s="34"/>
      <c r="M269" s="44"/>
      <c r="N269" s="44"/>
      <c r="O269" s="34"/>
      <c r="P269" s="34"/>
      <c r="Q269" s="34"/>
      <c r="R269" s="34"/>
      <c r="U269" s="44"/>
      <c r="W269" s="95"/>
      <c r="X269" s="54"/>
      <c r="Y269" s="54"/>
      <c r="Z269" s="34"/>
      <c r="AA269" s="34"/>
      <c r="AB269" s="34"/>
      <c r="AC269" s="34"/>
      <c r="AD269" s="34"/>
      <c r="AE269" s="34"/>
      <c r="AF269" s="34"/>
      <c r="AG269" s="34"/>
      <c r="AH269" s="52"/>
      <c r="AI269" s="52"/>
      <c r="AK269" s="34"/>
      <c r="AL269" s="34"/>
      <c r="AM269" s="34"/>
      <c r="AN269" s="54"/>
      <c r="AO269" s="34"/>
      <c r="AP269" s="34"/>
      <c r="AQ269" s="54"/>
      <c r="AR269" s="54"/>
      <c r="AS269" s="54"/>
      <c r="AT269" s="54"/>
      <c r="AU269" s="34"/>
      <c r="AV269" s="34"/>
      <c r="AW269" s="34"/>
      <c r="AX269" s="34"/>
      <c r="AY269" s="34"/>
      <c r="AZ269" s="44"/>
      <c r="BA269" s="34"/>
      <c r="BB269" s="34"/>
    </row>
    <row r="270" spans="1:54" x14ac:dyDescent="0.35" ht="15.0" customHeight="true">
      <c r="A270" s="51"/>
      <c r="B270" s="34"/>
      <c r="C270" s="34"/>
      <c r="D270" s="34"/>
      <c r="E270" s="34"/>
      <c r="F270" s="34"/>
      <c r="G270" s="44"/>
      <c r="H270" s="34"/>
      <c r="I270" s="54"/>
      <c r="J270" s="34"/>
      <c r="K270" s="54"/>
      <c r="L270" s="34"/>
      <c r="M270" s="44"/>
      <c r="N270" s="44"/>
      <c r="O270" s="34"/>
      <c r="P270" s="34"/>
      <c r="Q270" s="34"/>
      <c r="R270" s="34"/>
      <c r="U270" s="44"/>
      <c r="W270" s="95"/>
      <c r="X270" s="54"/>
      <c r="Y270" s="54"/>
      <c r="Z270" s="34"/>
      <c r="AA270" s="34"/>
      <c r="AB270" s="34"/>
      <c r="AC270" s="34"/>
      <c r="AD270" s="34"/>
      <c r="AE270" s="34"/>
      <c r="AF270" s="34"/>
      <c r="AG270" s="34"/>
      <c r="AH270" s="52"/>
      <c r="AI270" s="52"/>
      <c r="AK270" s="34"/>
      <c r="AL270" s="34"/>
      <c r="AM270" s="34"/>
      <c r="AN270" s="54"/>
      <c r="AO270" s="34"/>
      <c r="AP270" s="34"/>
      <c r="AQ270" s="54"/>
      <c r="AR270" s="54"/>
      <c r="AS270" s="54"/>
      <c r="AT270" s="54"/>
      <c r="AU270" s="34"/>
      <c r="AV270" s="34"/>
      <c r="AW270" s="34"/>
      <c r="AX270" s="34"/>
      <c r="AY270" s="34"/>
      <c r="AZ270" s="44"/>
      <c r="BA270" s="34"/>
      <c r="BB270" s="34"/>
    </row>
    <row r="271" spans="1:54" x14ac:dyDescent="0.35" ht="15.0" customHeight="true">
      <c r="A271" s="51"/>
      <c r="B271" s="34"/>
      <c r="C271" s="34"/>
      <c r="D271" s="34"/>
      <c r="E271" s="34"/>
      <c r="F271" s="34"/>
      <c r="G271" s="44"/>
      <c r="H271" s="34"/>
      <c r="I271" s="54"/>
      <c r="J271" s="34"/>
      <c r="K271" s="54"/>
      <c r="L271" s="34"/>
      <c r="M271" s="44"/>
      <c r="N271" s="44"/>
      <c r="O271" s="34"/>
      <c r="P271" s="34"/>
      <c r="Q271" s="34"/>
      <c r="R271" s="34"/>
      <c r="U271" s="44"/>
      <c r="W271" s="95"/>
      <c r="X271" s="54"/>
      <c r="Y271" s="54"/>
      <c r="Z271" s="34"/>
      <c r="AA271" s="34"/>
      <c r="AB271" s="34"/>
      <c r="AC271" s="34"/>
      <c r="AD271" s="34"/>
      <c r="AE271" s="34"/>
      <c r="AF271" s="34"/>
      <c r="AG271" s="34"/>
      <c r="AH271" s="52"/>
      <c r="AI271" s="52"/>
      <c r="AK271" s="34"/>
      <c r="AL271" s="34"/>
      <c r="AM271" s="34"/>
      <c r="AN271" s="54"/>
      <c r="AO271" s="34"/>
      <c r="AP271" s="34"/>
      <c r="AQ271" s="54"/>
      <c r="AR271" s="54"/>
      <c r="AS271" s="54"/>
      <c r="AT271" s="54"/>
      <c r="AU271" s="34"/>
      <c r="AV271" s="34"/>
      <c r="AW271" s="34"/>
      <c r="AX271" s="34"/>
      <c r="AY271" s="34"/>
      <c r="AZ271" s="44"/>
      <c r="BA271" s="34"/>
      <c r="BB271" s="34"/>
    </row>
    <row r="272" spans="1:54" x14ac:dyDescent="0.35" ht="15.0" customHeight="true">
      <c r="A272" s="51"/>
      <c r="B272" s="34"/>
      <c r="C272" s="34"/>
      <c r="D272" s="34"/>
      <c r="E272" s="34"/>
      <c r="F272" s="34"/>
      <c r="G272" s="44"/>
      <c r="H272" s="34"/>
      <c r="I272" s="54"/>
      <c r="J272" s="34"/>
      <c r="K272" s="54"/>
      <c r="L272" s="34"/>
      <c r="M272" s="44"/>
      <c r="N272" s="44"/>
      <c r="O272" s="34"/>
      <c r="P272" s="34"/>
      <c r="Q272" s="34"/>
      <c r="R272" s="34"/>
      <c r="U272" s="44"/>
      <c r="W272" s="95"/>
      <c r="X272" s="54"/>
      <c r="Y272" s="54"/>
      <c r="Z272" s="34"/>
      <c r="AA272" s="34"/>
      <c r="AB272" s="34"/>
      <c r="AC272" s="34"/>
      <c r="AD272" s="34"/>
      <c r="AE272" s="34"/>
      <c r="AF272" s="34"/>
      <c r="AG272" s="34"/>
      <c r="AH272" s="52"/>
      <c r="AI272" s="52"/>
      <c r="AK272" s="34"/>
      <c r="AL272" s="34"/>
      <c r="AM272" s="34"/>
      <c r="AN272" s="54"/>
      <c r="AO272" s="34"/>
      <c r="AP272" s="34"/>
      <c r="AQ272" s="54"/>
      <c r="AR272" s="54"/>
      <c r="AS272" s="54"/>
      <c r="AT272" s="54"/>
      <c r="AU272" s="34"/>
      <c r="AV272" s="34"/>
      <c r="AW272" s="34"/>
      <c r="AX272" s="34"/>
      <c r="AY272" s="34"/>
      <c r="AZ272" s="44"/>
      <c r="BA272" s="34"/>
      <c r="BB272" s="34"/>
    </row>
    <row r="273" spans="1:54" x14ac:dyDescent="0.35" ht="15.0" customHeight="true">
      <c r="A273" s="51"/>
      <c r="B273" s="34"/>
      <c r="C273" s="34"/>
      <c r="D273" s="34"/>
      <c r="E273" s="34"/>
      <c r="F273" s="34"/>
      <c r="G273" s="44"/>
      <c r="H273" s="34"/>
      <c r="I273" s="54"/>
      <c r="J273" s="34"/>
      <c r="K273" s="54"/>
      <c r="L273" s="34"/>
      <c r="M273" s="44"/>
      <c r="N273" s="44"/>
      <c r="O273" s="34"/>
      <c r="P273" s="34"/>
      <c r="Q273" s="34"/>
      <c r="R273" s="34"/>
      <c r="U273" s="44"/>
      <c r="W273" s="95"/>
      <c r="X273" s="54"/>
      <c r="Y273" s="54"/>
      <c r="Z273" s="34"/>
      <c r="AA273" s="34"/>
      <c r="AB273" s="34"/>
      <c r="AC273" s="34"/>
      <c r="AD273" s="34"/>
      <c r="AE273" s="34"/>
      <c r="AF273" s="34"/>
      <c r="AG273" s="34"/>
      <c r="AH273" s="52"/>
      <c r="AI273" s="52"/>
      <c r="AK273" s="34"/>
      <c r="AL273" s="34"/>
      <c r="AM273" s="34"/>
      <c r="AN273" s="54"/>
      <c r="AO273" s="34"/>
      <c r="AP273" s="34"/>
      <c r="AQ273" s="54"/>
      <c r="AR273" s="54"/>
      <c r="AS273" s="54"/>
      <c r="AT273" s="54"/>
      <c r="AU273" s="34"/>
      <c r="AV273" s="34"/>
      <c r="AW273" s="34"/>
      <c r="AX273" s="34"/>
      <c r="AY273" s="34"/>
      <c r="AZ273" s="44"/>
      <c r="BA273" s="34"/>
      <c r="BB273" s="34"/>
    </row>
    <row r="274" spans="1:54" x14ac:dyDescent="0.35" ht="15.0" customHeight="true">
      <c r="A274" s="51"/>
      <c r="B274" s="34"/>
      <c r="C274" s="34"/>
      <c r="D274" s="34"/>
      <c r="E274" s="34"/>
      <c r="F274" s="34"/>
      <c r="G274" s="44"/>
      <c r="H274" s="34"/>
      <c r="I274" s="54"/>
      <c r="J274" s="34"/>
      <c r="K274" s="54"/>
      <c r="L274" s="34"/>
      <c r="M274" s="44"/>
      <c r="N274" s="44"/>
      <c r="O274" s="34"/>
      <c r="P274" s="34"/>
      <c r="Q274" s="34"/>
      <c r="R274" s="34"/>
      <c r="U274" s="44"/>
      <c r="W274" s="95"/>
      <c r="X274" s="54"/>
      <c r="Y274" s="54"/>
      <c r="Z274" s="34"/>
      <c r="AA274" s="34"/>
      <c r="AB274" s="34"/>
      <c r="AC274" s="34"/>
      <c r="AD274" s="34"/>
      <c r="AE274" s="34"/>
      <c r="AF274" s="34"/>
      <c r="AG274" s="34"/>
      <c r="AH274" s="52"/>
      <c r="AI274" s="52"/>
      <c r="AK274" s="34"/>
      <c r="AL274" s="34"/>
      <c r="AM274" s="34"/>
      <c r="AN274" s="54"/>
      <c r="AO274" s="34"/>
      <c r="AP274" s="34"/>
      <c r="AQ274" s="54"/>
      <c r="AR274" s="54"/>
      <c r="AS274" s="54"/>
      <c r="AT274" s="54"/>
      <c r="AU274" s="34"/>
      <c r="AV274" s="34"/>
      <c r="AW274" s="34"/>
      <c r="AX274" s="34"/>
      <c r="AY274" s="34"/>
      <c r="AZ274" s="44"/>
      <c r="BA274" s="34"/>
      <c r="BB274" s="34"/>
    </row>
    <row r="275" spans="1:54" x14ac:dyDescent="0.35" ht="15.0" customHeight="true">
      <c r="A275" s="51"/>
      <c r="B275" s="34"/>
      <c r="C275" s="34"/>
      <c r="D275" s="34"/>
      <c r="E275" s="34"/>
      <c r="F275" s="34"/>
      <c r="G275" s="44"/>
      <c r="H275" s="34"/>
      <c r="I275" s="54"/>
      <c r="J275" s="34"/>
      <c r="K275" s="54"/>
      <c r="L275" s="34"/>
      <c r="M275" s="44"/>
      <c r="N275" s="44"/>
      <c r="O275" s="34"/>
      <c r="P275" s="34"/>
      <c r="Q275" s="34"/>
      <c r="R275" s="34"/>
      <c r="U275" s="44"/>
      <c r="W275" s="95"/>
      <c r="X275" s="54"/>
      <c r="Y275" s="54"/>
      <c r="Z275" s="34"/>
      <c r="AA275" s="34"/>
      <c r="AB275" s="34"/>
      <c r="AC275" s="34"/>
      <c r="AD275" s="34"/>
      <c r="AE275" s="34"/>
      <c r="AF275" s="34"/>
      <c r="AG275" s="34"/>
      <c r="AH275" s="52"/>
      <c r="AI275" s="52"/>
      <c r="AK275" s="34"/>
      <c r="AL275" s="34"/>
      <c r="AM275" s="34"/>
      <c r="AN275" s="54"/>
      <c r="AO275" s="34"/>
      <c r="AP275" s="34"/>
      <c r="AQ275" s="54"/>
      <c r="AR275" s="54"/>
      <c r="AS275" s="54"/>
      <c r="AT275" s="54"/>
      <c r="AU275" s="34"/>
      <c r="AV275" s="34"/>
      <c r="AW275" s="34"/>
      <c r="AX275" s="34"/>
      <c r="AY275" s="34"/>
      <c r="AZ275" s="44"/>
      <c r="BA275" s="34"/>
      <c r="BB275" s="34"/>
    </row>
    <row r="276" spans="1:54" x14ac:dyDescent="0.35" ht="15.0" customHeight="true">
      <c r="A276" s="51"/>
      <c r="B276" s="34"/>
      <c r="C276" s="34"/>
      <c r="D276" s="34"/>
      <c r="E276" s="34"/>
      <c r="F276" s="34"/>
      <c r="G276" s="44"/>
      <c r="H276" s="34"/>
      <c r="I276" s="54"/>
      <c r="J276" s="34"/>
      <c r="K276" s="54"/>
      <c r="L276" s="34"/>
      <c r="M276" s="44"/>
      <c r="N276" s="44"/>
      <c r="O276" s="34"/>
      <c r="P276" s="34"/>
      <c r="Q276" s="34"/>
      <c r="R276" s="34"/>
      <c r="U276" s="44"/>
      <c r="W276" s="95"/>
      <c r="X276" s="54"/>
      <c r="Y276" s="54"/>
      <c r="Z276" s="34"/>
      <c r="AA276" s="34"/>
      <c r="AB276" s="34"/>
      <c r="AC276" s="34"/>
      <c r="AD276" s="34"/>
      <c r="AE276" s="34"/>
      <c r="AF276" s="34"/>
      <c r="AG276" s="34"/>
      <c r="AH276" s="52"/>
      <c r="AI276" s="52"/>
      <c r="AK276" s="34"/>
      <c r="AL276" s="34"/>
      <c r="AM276" s="34"/>
      <c r="AN276" s="54"/>
      <c r="AO276" s="34"/>
      <c r="AP276" s="34"/>
      <c r="AQ276" s="54"/>
      <c r="AR276" s="54"/>
      <c r="AS276" s="54"/>
      <c r="AT276" s="54"/>
      <c r="AU276" s="34"/>
      <c r="AV276" s="34"/>
      <c r="AW276" s="34"/>
      <c r="AX276" s="34"/>
      <c r="AY276" s="34"/>
      <c r="AZ276" s="44"/>
      <c r="BA276" s="34"/>
      <c r="BB276" s="34"/>
    </row>
    <row r="277" spans="1:54" x14ac:dyDescent="0.35" ht="15.0" customHeight="true">
      <c r="A277" s="51"/>
      <c r="B277" s="34"/>
      <c r="C277" s="34"/>
      <c r="D277" s="34"/>
      <c r="E277" s="34"/>
      <c r="F277" s="34"/>
      <c r="G277" s="44"/>
      <c r="H277" s="34"/>
      <c r="I277" s="54"/>
      <c r="J277" s="34"/>
      <c r="K277" s="54"/>
      <c r="L277" s="34"/>
      <c r="M277" s="44"/>
      <c r="N277" s="44"/>
      <c r="O277" s="34"/>
      <c r="P277" s="34"/>
      <c r="Q277" s="34"/>
      <c r="R277" s="34"/>
      <c r="U277" s="44"/>
      <c r="W277" s="95"/>
      <c r="X277" s="54"/>
      <c r="Y277" s="54"/>
      <c r="Z277" s="34"/>
      <c r="AA277" s="34"/>
      <c r="AB277" s="34"/>
      <c r="AC277" s="34"/>
      <c r="AD277" s="34"/>
      <c r="AE277" s="34"/>
      <c r="AF277" s="34"/>
      <c r="AG277" s="34"/>
      <c r="AH277" s="52"/>
      <c r="AI277" s="52"/>
      <c r="AK277" s="34"/>
      <c r="AL277" s="34"/>
      <c r="AM277" s="34"/>
      <c r="AN277" s="54"/>
      <c r="AO277" s="34"/>
      <c r="AP277" s="34"/>
      <c r="AQ277" s="54"/>
      <c r="AR277" s="54"/>
      <c r="AS277" s="54"/>
      <c r="AT277" s="54"/>
      <c r="AU277" s="34"/>
      <c r="AV277" s="34"/>
      <c r="AW277" s="34"/>
      <c r="AX277" s="34"/>
      <c r="AY277" s="34"/>
      <c r="AZ277" s="44"/>
      <c r="BA277" s="34"/>
      <c r="BB277" s="34"/>
    </row>
    <row r="278" spans="1:54" x14ac:dyDescent="0.35" ht="15.0" customHeight="true">
      <c r="A278" s="51"/>
      <c r="B278" s="34"/>
      <c r="C278" s="34"/>
      <c r="D278" s="34"/>
      <c r="E278" s="34"/>
      <c r="F278" s="34"/>
      <c r="G278" s="44"/>
      <c r="H278" s="34"/>
      <c r="I278" s="54"/>
      <c r="J278" s="34"/>
      <c r="K278" s="54"/>
      <c r="L278" s="34"/>
      <c r="M278" s="44"/>
      <c r="N278" s="44"/>
      <c r="O278" s="34"/>
      <c r="P278" s="34"/>
      <c r="Q278" s="34"/>
      <c r="R278" s="34"/>
      <c r="U278" s="44"/>
      <c r="W278" s="95"/>
      <c r="X278" s="54"/>
      <c r="Y278" s="54"/>
      <c r="Z278" s="34"/>
      <c r="AA278" s="34"/>
      <c r="AB278" s="34"/>
      <c r="AC278" s="34"/>
      <c r="AD278" s="34"/>
      <c r="AE278" s="34"/>
      <c r="AF278" s="34"/>
      <c r="AG278" s="34"/>
      <c r="AH278" s="52"/>
      <c r="AI278" s="52"/>
      <c r="AK278" s="34"/>
      <c r="AL278" s="34"/>
      <c r="AM278" s="34"/>
      <c r="AN278" s="54"/>
      <c r="AO278" s="34"/>
      <c r="AP278" s="34"/>
      <c r="AQ278" s="54"/>
      <c r="AR278" s="54"/>
      <c r="AS278" s="54"/>
      <c r="AT278" s="54"/>
      <c r="AU278" s="34"/>
      <c r="AV278" s="34"/>
      <c r="AW278" s="34"/>
      <c r="AX278" s="34"/>
      <c r="AY278" s="34"/>
      <c r="AZ278" s="44"/>
      <c r="BA278" s="34"/>
      <c r="BB278" s="34"/>
    </row>
    <row r="279" spans="1:54" x14ac:dyDescent="0.35" ht="15.0" customHeight="true">
      <c r="A279" s="51"/>
      <c r="B279" s="34"/>
      <c r="C279" s="34"/>
      <c r="D279" s="34"/>
      <c r="E279" s="34"/>
      <c r="F279" s="34"/>
      <c r="G279" s="44"/>
      <c r="H279" s="34"/>
      <c r="I279" s="54"/>
      <c r="J279" s="34"/>
      <c r="K279" s="54"/>
      <c r="L279" s="34"/>
      <c r="M279" s="44"/>
      <c r="N279" s="44"/>
      <c r="O279" s="34"/>
      <c r="P279" s="34"/>
      <c r="Q279" s="34"/>
      <c r="R279" s="34"/>
      <c r="U279" s="44"/>
      <c r="W279" s="95"/>
      <c r="X279" s="54"/>
      <c r="Y279" s="54"/>
      <c r="Z279" s="34"/>
      <c r="AA279" s="34"/>
      <c r="AB279" s="34"/>
      <c r="AC279" s="34"/>
      <c r="AD279" s="34"/>
      <c r="AE279" s="34"/>
      <c r="AF279" s="34"/>
      <c r="AG279" s="34"/>
      <c r="AH279" s="52"/>
      <c r="AI279" s="52"/>
      <c r="AK279" s="34"/>
      <c r="AL279" s="34"/>
      <c r="AM279" s="34"/>
      <c r="AN279" s="54"/>
      <c r="AO279" s="34"/>
      <c r="AP279" s="34"/>
      <c r="AQ279" s="54"/>
      <c r="AR279" s="54"/>
      <c r="AS279" s="54"/>
      <c r="AT279" s="54"/>
      <c r="AU279" s="34"/>
      <c r="AV279" s="34"/>
      <c r="AW279" s="34"/>
      <c r="AX279" s="34"/>
      <c r="AY279" s="34"/>
      <c r="AZ279" s="44"/>
      <c r="BA279" s="34"/>
      <c r="BB279" s="34"/>
    </row>
    <row r="280" spans="1:54" x14ac:dyDescent="0.35" ht="15.0" customHeight="true">
      <c r="A280" s="51"/>
      <c r="B280" s="34"/>
      <c r="C280" s="34"/>
      <c r="D280" s="34"/>
      <c r="E280" s="34"/>
      <c r="F280" s="34"/>
      <c r="G280" s="44"/>
      <c r="H280" s="34"/>
      <c r="I280" s="54"/>
      <c r="J280" s="34"/>
      <c r="K280" s="54"/>
      <c r="L280" s="34"/>
      <c r="M280" s="44"/>
      <c r="N280" s="44"/>
      <c r="O280" s="34"/>
      <c r="P280" s="34"/>
      <c r="Q280" s="34"/>
      <c r="R280" s="34"/>
      <c r="U280" s="44"/>
      <c r="W280" s="95"/>
      <c r="X280" s="54"/>
      <c r="Y280" s="54"/>
      <c r="Z280" s="34"/>
      <c r="AA280" s="34"/>
      <c r="AB280" s="34"/>
      <c r="AC280" s="34"/>
      <c r="AD280" s="34"/>
      <c r="AE280" s="34"/>
      <c r="AF280" s="34"/>
      <c r="AG280" s="34"/>
      <c r="AH280" s="52"/>
      <c r="AI280" s="52"/>
      <c r="AK280" s="34"/>
      <c r="AL280" s="34"/>
      <c r="AM280" s="34"/>
      <c r="AN280" s="54"/>
      <c r="AO280" s="34"/>
      <c r="AP280" s="34"/>
      <c r="AQ280" s="54"/>
      <c r="AR280" s="54"/>
      <c r="AS280" s="54"/>
      <c r="AT280" s="54"/>
      <c r="AU280" s="34"/>
      <c r="AV280" s="34"/>
      <c r="AW280" s="34"/>
      <c r="AX280" s="34"/>
      <c r="AY280" s="34"/>
      <c r="AZ280" s="44"/>
      <c r="BA280" s="34"/>
      <c r="BB280" s="34"/>
    </row>
    <row r="281" spans="1:54" x14ac:dyDescent="0.35" ht="15.0" customHeight="true">
      <c r="A281" s="51"/>
      <c r="B281" s="34"/>
      <c r="C281" s="34"/>
      <c r="D281" s="34"/>
      <c r="E281" s="34"/>
      <c r="F281" s="34"/>
      <c r="G281" s="44"/>
      <c r="H281" s="34"/>
      <c r="I281" s="54"/>
      <c r="J281" s="34"/>
      <c r="K281" s="54"/>
      <c r="L281" s="34"/>
      <c r="M281" s="44"/>
      <c r="N281" s="44"/>
      <c r="O281" s="34"/>
      <c r="P281" s="34"/>
      <c r="Q281" s="34"/>
      <c r="R281" s="34"/>
      <c r="U281" s="44"/>
      <c r="W281" s="95"/>
      <c r="X281" s="54"/>
      <c r="Y281" s="54"/>
      <c r="Z281" s="34"/>
      <c r="AA281" s="34"/>
      <c r="AB281" s="34"/>
      <c r="AC281" s="34"/>
      <c r="AD281" s="34"/>
      <c r="AE281" s="34"/>
      <c r="AF281" s="34"/>
      <c r="AG281" s="34"/>
      <c r="AH281" s="52"/>
      <c r="AI281" s="52"/>
      <c r="AK281" s="34"/>
      <c r="AL281" s="34"/>
      <c r="AM281" s="34"/>
      <c r="AN281" s="54"/>
      <c r="AO281" s="34"/>
      <c r="AP281" s="34"/>
      <c r="AQ281" s="54"/>
      <c r="AR281" s="54"/>
      <c r="AS281" s="54"/>
      <c r="AT281" s="54"/>
      <c r="AU281" s="34"/>
      <c r="AV281" s="34"/>
      <c r="AW281" s="34"/>
      <c r="AX281" s="34"/>
      <c r="AY281" s="34"/>
      <c r="AZ281" s="44"/>
      <c r="BA281" s="34"/>
      <c r="BB281" s="34"/>
    </row>
    <row r="282" spans="1:54" x14ac:dyDescent="0.35" ht="15.0" customHeight="true">
      <c r="A282" s="51"/>
      <c r="B282" s="34"/>
      <c r="C282" s="34"/>
      <c r="D282" s="34"/>
      <c r="E282" s="34"/>
      <c r="F282" s="34"/>
      <c r="G282" s="44"/>
      <c r="H282" s="34"/>
      <c r="I282" s="54"/>
      <c r="J282" s="34"/>
      <c r="K282" s="54"/>
      <c r="L282" s="34"/>
      <c r="M282" s="44"/>
      <c r="N282" s="44"/>
      <c r="O282" s="34"/>
      <c r="P282" s="34"/>
      <c r="Q282" s="34"/>
      <c r="R282" s="34"/>
      <c r="U282" s="44"/>
      <c r="W282" s="95"/>
      <c r="X282" s="54"/>
      <c r="Y282" s="54"/>
      <c r="Z282" s="34"/>
      <c r="AA282" s="34"/>
      <c r="AB282" s="34"/>
      <c r="AC282" s="34"/>
      <c r="AD282" s="34"/>
      <c r="AE282" s="34"/>
      <c r="AF282" s="34"/>
      <c r="AG282" s="34"/>
      <c r="AH282" s="52"/>
      <c r="AI282" s="52"/>
      <c r="AK282" s="34"/>
      <c r="AL282" s="34"/>
      <c r="AM282" s="34"/>
      <c r="AN282" s="54"/>
      <c r="AO282" s="34"/>
      <c r="AP282" s="34"/>
      <c r="AQ282" s="54"/>
      <c r="AR282" s="54"/>
      <c r="AS282" s="54"/>
      <c r="AT282" s="54"/>
      <c r="AU282" s="34"/>
      <c r="AV282" s="34"/>
      <c r="AW282" s="34"/>
      <c r="AX282" s="34"/>
      <c r="AY282" s="34"/>
      <c r="AZ282" s="44"/>
      <c r="BA282" s="34"/>
      <c r="BB282" s="34"/>
    </row>
    <row r="283" spans="1:54" x14ac:dyDescent="0.35" ht="15.0" customHeight="true">
      <c r="A283" s="51"/>
      <c r="B283" s="34"/>
      <c r="C283" s="34"/>
      <c r="D283" s="34"/>
      <c r="E283" s="34"/>
      <c r="F283" s="34"/>
      <c r="G283" s="44"/>
      <c r="H283" s="34"/>
      <c r="I283" s="54"/>
      <c r="J283" s="34"/>
      <c r="K283" s="54"/>
      <c r="L283" s="34"/>
      <c r="M283" s="44"/>
      <c r="N283" s="44"/>
      <c r="O283" s="34"/>
      <c r="P283" s="34"/>
      <c r="Q283" s="34"/>
      <c r="R283" s="34"/>
      <c r="U283" s="44"/>
      <c r="W283" s="95"/>
      <c r="X283" s="54"/>
      <c r="Y283" s="54"/>
      <c r="Z283" s="34"/>
      <c r="AA283" s="34"/>
      <c r="AB283" s="34"/>
      <c r="AC283" s="34"/>
      <c r="AD283" s="34"/>
      <c r="AE283" s="34"/>
      <c r="AF283" s="34"/>
      <c r="AG283" s="34"/>
      <c r="AH283" s="52"/>
      <c r="AI283" s="52"/>
      <c r="AK283" s="34"/>
      <c r="AL283" s="34"/>
      <c r="AM283" s="34"/>
      <c r="AN283" s="54"/>
      <c r="AO283" s="34"/>
      <c r="AP283" s="34"/>
      <c r="AQ283" s="54"/>
      <c r="AR283" s="54"/>
      <c r="AS283" s="54"/>
      <c r="AT283" s="54"/>
      <c r="AU283" s="34"/>
      <c r="AV283" s="34"/>
      <c r="AW283" s="34"/>
      <c r="AX283" s="34"/>
      <c r="AY283" s="34"/>
      <c r="AZ283" s="44"/>
      <c r="BA283" s="34"/>
      <c r="BB283" s="34"/>
    </row>
    <row r="284" spans="1:54" x14ac:dyDescent="0.35" ht="15.0" customHeight="true">
      <c r="A284" s="51"/>
      <c r="B284" s="34"/>
      <c r="C284" s="34"/>
      <c r="D284" s="34"/>
      <c r="E284" s="34"/>
      <c r="F284" s="34"/>
      <c r="G284" s="44"/>
      <c r="H284" s="34"/>
      <c r="I284" s="54"/>
      <c r="J284" s="34"/>
      <c r="K284" s="54"/>
      <c r="L284" s="34"/>
      <c r="M284" s="44"/>
      <c r="N284" s="44"/>
      <c r="O284" s="34"/>
      <c r="P284" s="34"/>
      <c r="Q284" s="34"/>
      <c r="R284" s="34"/>
      <c r="U284" s="44"/>
      <c r="W284" s="95"/>
      <c r="X284" s="54"/>
      <c r="Y284" s="54"/>
      <c r="Z284" s="34"/>
      <c r="AA284" s="34"/>
      <c r="AB284" s="34"/>
      <c r="AC284" s="34"/>
      <c r="AD284" s="34"/>
      <c r="AE284" s="34"/>
      <c r="AF284" s="34"/>
      <c r="AG284" s="34"/>
      <c r="AH284" s="52"/>
      <c r="AI284" s="52"/>
      <c r="AK284" s="34"/>
      <c r="AL284" s="34"/>
      <c r="AM284" s="34"/>
      <c r="AN284" s="54"/>
      <c r="AO284" s="34"/>
      <c r="AP284" s="34"/>
      <c r="AQ284" s="54"/>
      <c r="AR284" s="54"/>
      <c r="AS284" s="54"/>
      <c r="AT284" s="54"/>
      <c r="AU284" s="34"/>
      <c r="AV284" s="34"/>
      <c r="AW284" s="34"/>
      <c r="AX284" s="34"/>
      <c r="AY284" s="34"/>
      <c r="AZ284" s="44"/>
      <c r="BA284" s="34"/>
      <c r="BB284" s="34"/>
    </row>
    <row r="285" spans="1:54" x14ac:dyDescent="0.35" ht="15.0" customHeight="true">
      <c r="A285" s="51"/>
      <c r="B285" s="34"/>
      <c r="C285" s="34"/>
      <c r="D285" s="34"/>
      <c r="E285" s="34"/>
      <c r="F285" s="34"/>
      <c r="G285" s="44"/>
      <c r="H285" s="34"/>
      <c r="I285" s="54"/>
      <c r="J285" s="34"/>
      <c r="K285" s="54"/>
      <c r="L285" s="34"/>
      <c r="M285" s="44"/>
      <c r="N285" s="44"/>
      <c r="O285" s="34"/>
      <c r="P285" s="34"/>
      <c r="Q285" s="34"/>
      <c r="R285" s="34"/>
      <c r="U285" s="44"/>
      <c r="W285" s="95"/>
      <c r="X285" s="54"/>
      <c r="Y285" s="54"/>
      <c r="Z285" s="34"/>
      <c r="AA285" s="34"/>
      <c r="AB285" s="34"/>
      <c r="AC285" s="34"/>
      <c r="AD285" s="34"/>
      <c r="AE285" s="34"/>
      <c r="AF285" s="34"/>
      <c r="AG285" s="34"/>
      <c r="AH285" s="52"/>
      <c r="AI285" s="52"/>
      <c r="AK285" s="34"/>
      <c r="AL285" s="34"/>
      <c r="AM285" s="34"/>
      <c r="AN285" s="54"/>
      <c r="AO285" s="34"/>
      <c r="AP285" s="34"/>
      <c r="AQ285" s="54"/>
      <c r="AR285" s="54"/>
      <c r="AS285" s="54"/>
      <c r="AT285" s="54"/>
      <c r="AU285" s="34"/>
      <c r="AV285" s="34"/>
      <c r="AW285" s="34"/>
      <c r="AX285" s="34"/>
      <c r="AY285" s="34"/>
      <c r="AZ285" s="44"/>
      <c r="BA285" s="34"/>
      <c r="BB285" s="34"/>
    </row>
    <row r="286" spans="1:54" x14ac:dyDescent="0.35" ht="15.0" customHeight="true">
      <c r="A286" s="51"/>
      <c r="B286" s="34"/>
      <c r="C286" s="34"/>
      <c r="D286" s="34"/>
      <c r="E286" s="34"/>
      <c r="F286" s="34"/>
      <c r="G286" s="44"/>
      <c r="H286" s="34"/>
      <c r="I286" s="54"/>
      <c r="J286" s="34"/>
      <c r="K286" s="54"/>
      <c r="L286" s="34"/>
      <c r="M286" s="44"/>
      <c r="N286" s="44"/>
      <c r="O286" s="34"/>
      <c r="P286" s="34"/>
      <c r="Q286" s="34"/>
      <c r="R286" s="34"/>
      <c r="U286" s="44"/>
      <c r="W286" s="95"/>
      <c r="X286" s="54"/>
      <c r="Y286" s="54"/>
      <c r="Z286" s="34"/>
      <c r="AA286" s="34"/>
      <c r="AB286" s="34"/>
      <c r="AC286" s="34"/>
      <c r="AD286" s="34"/>
      <c r="AE286" s="34"/>
      <c r="AF286" s="34"/>
      <c r="AG286" s="34"/>
      <c r="AH286" s="52"/>
      <c r="AI286" s="52"/>
      <c r="AK286" s="34"/>
      <c r="AL286" s="34"/>
      <c r="AM286" s="34"/>
      <c r="AN286" s="54"/>
      <c r="AO286" s="34"/>
      <c r="AP286" s="34"/>
      <c r="AQ286" s="54"/>
      <c r="AR286" s="54"/>
      <c r="AS286" s="54"/>
      <c r="AT286" s="54"/>
      <c r="AU286" s="34"/>
      <c r="AV286" s="34"/>
      <c r="AW286" s="34"/>
      <c r="AX286" s="34"/>
      <c r="AY286" s="34"/>
      <c r="AZ286" s="44"/>
      <c r="BA286" s="34"/>
      <c r="BB286" s="34"/>
    </row>
    <row r="287" spans="1:54" x14ac:dyDescent="0.35" ht="15.0" customHeight="true">
      <c r="A287" s="51"/>
      <c r="B287" s="34"/>
      <c r="C287" s="34"/>
      <c r="D287" s="34"/>
      <c r="E287" s="34"/>
      <c r="F287" s="34"/>
      <c r="G287" s="44"/>
      <c r="H287" s="34"/>
      <c r="I287" s="54"/>
      <c r="J287" s="34"/>
      <c r="K287" s="54"/>
      <c r="L287" s="34"/>
      <c r="M287" s="44"/>
      <c r="N287" s="44"/>
      <c r="O287" s="34"/>
      <c r="P287" s="34"/>
      <c r="Q287" s="34"/>
      <c r="R287" s="34"/>
      <c r="U287" s="44"/>
      <c r="W287" s="95"/>
      <c r="X287" s="54"/>
      <c r="Y287" s="54"/>
      <c r="Z287" s="34"/>
      <c r="AA287" s="34"/>
      <c r="AB287" s="34"/>
      <c r="AC287" s="34"/>
      <c r="AD287" s="34"/>
      <c r="AE287" s="34"/>
      <c r="AF287" s="34"/>
      <c r="AG287" s="34"/>
      <c r="AH287" s="52"/>
      <c r="AI287" s="52"/>
      <c r="AK287" s="34"/>
      <c r="AL287" s="34"/>
      <c r="AM287" s="34"/>
      <c r="AN287" s="54"/>
      <c r="AO287" s="34"/>
      <c r="AP287" s="34"/>
      <c r="AQ287" s="54"/>
      <c r="AR287" s="54"/>
      <c r="AS287" s="54"/>
      <c r="AT287" s="54"/>
      <c r="AU287" s="34"/>
      <c r="AV287" s="34"/>
      <c r="AW287" s="34"/>
      <c r="AX287" s="34"/>
      <c r="AY287" s="34"/>
      <c r="AZ287" s="44"/>
      <c r="BA287" s="34"/>
      <c r="BB287" s="34"/>
    </row>
    <row r="288" spans="1:54" x14ac:dyDescent="0.35" ht="15.0" customHeight="true">
      <c r="A288" s="51"/>
      <c r="B288" s="34"/>
      <c r="C288" s="34"/>
      <c r="D288" s="34"/>
      <c r="E288" s="34"/>
      <c r="F288" s="34"/>
      <c r="G288" s="44"/>
      <c r="H288" s="34"/>
      <c r="I288" s="54"/>
      <c r="J288" s="34"/>
      <c r="K288" s="54"/>
      <c r="L288" s="34"/>
      <c r="M288" s="44"/>
      <c r="N288" s="44"/>
      <c r="O288" s="34"/>
      <c r="P288" s="34"/>
      <c r="Q288" s="34"/>
      <c r="R288" s="34"/>
      <c r="U288" s="44"/>
      <c r="W288" s="95"/>
      <c r="X288" s="54"/>
      <c r="Y288" s="54"/>
      <c r="Z288" s="34"/>
      <c r="AA288" s="34"/>
      <c r="AB288" s="34"/>
      <c r="AC288" s="34"/>
      <c r="AD288" s="34"/>
      <c r="AE288" s="34"/>
      <c r="AF288" s="34"/>
      <c r="AG288" s="34"/>
      <c r="AH288" s="52"/>
      <c r="AI288" s="52"/>
      <c r="AK288" s="34"/>
      <c r="AL288" s="34"/>
      <c r="AM288" s="34"/>
      <c r="AN288" s="54"/>
      <c r="AO288" s="34"/>
      <c r="AP288" s="34"/>
      <c r="AQ288" s="54"/>
      <c r="AR288" s="54"/>
      <c r="AS288" s="54"/>
      <c r="AT288" s="54"/>
      <c r="AU288" s="34"/>
      <c r="AV288" s="34"/>
      <c r="AW288" s="34"/>
      <c r="AX288" s="34"/>
      <c r="AY288" s="34"/>
      <c r="AZ288" s="44"/>
      <c r="BA288" s="34"/>
      <c r="BB288" s="34"/>
    </row>
    <row r="289" spans="1:54" x14ac:dyDescent="0.35" ht="15.0" customHeight="true">
      <c r="A289" s="51"/>
      <c r="B289" s="34"/>
      <c r="C289" s="34"/>
      <c r="D289" s="34"/>
      <c r="E289" s="34"/>
      <c r="F289" s="34"/>
      <c r="G289" s="44"/>
      <c r="H289" s="34"/>
      <c r="I289" s="54"/>
      <c r="J289" s="34"/>
      <c r="K289" s="54"/>
      <c r="L289" s="34"/>
      <c r="M289" s="44"/>
      <c r="N289" s="44"/>
      <c r="O289" s="34"/>
      <c r="P289" s="34"/>
      <c r="Q289" s="34"/>
      <c r="R289" s="34"/>
      <c r="U289" s="44"/>
      <c r="W289" s="95"/>
      <c r="X289" s="54"/>
      <c r="Y289" s="54"/>
      <c r="Z289" s="34"/>
      <c r="AA289" s="34"/>
      <c r="AB289" s="34"/>
      <c r="AC289" s="34"/>
      <c r="AD289" s="34"/>
      <c r="AE289" s="34"/>
      <c r="AF289" s="34"/>
      <c r="AG289" s="34"/>
      <c r="AH289" s="52"/>
      <c r="AI289" s="52"/>
      <c r="AK289" s="34"/>
      <c r="AL289" s="34"/>
      <c r="AM289" s="34"/>
      <c r="AN289" s="54"/>
      <c r="AO289" s="34"/>
      <c r="AP289" s="34"/>
      <c r="AQ289" s="54"/>
      <c r="AR289" s="54"/>
      <c r="AS289" s="54"/>
      <c r="AT289" s="54"/>
      <c r="AU289" s="34"/>
      <c r="AV289" s="34"/>
      <c r="AW289" s="34"/>
      <c r="AX289" s="34"/>
      <c r="AY289" s="34"/>
      <c r="AZ289" s="44"/>
      <c r="BA289" s="34"/>
      <c r="BB289" s="34"/>
    </row>
    <row r="290" spans="1:54" x14ac:dyDescent="0.35" ht="15.0" customHeight="true">
      <c r="A290" s="51"/>
      <c r="B290" s="34"/>
      <c r="C290" s="34"/>
      <c r="D290" s="34"/>
      <c r="E290" s="34"/>
      <c r="F290" s="34"/>
      <c r="G290" s="44"/>
      <c r="H290" s="34"/>
      <c r="I290" s="54"/>
      <c r="J290" s="34"/>
      <c r="K290" s="54"/>
      <c r="L290" s="34"/>
      <c r="M290" s="44"/>
      <c r="N290" s="44"/>
      <c r="O290" s="34"/>
      <c r="P290" s="34"/>
      <c r="Q290" s="34"/>
      <c r="R290" s="34"/>
      <c r="U290" s="44"/>
      <c r="W290" s="95"/>
      <c r="X290" s="54"/>
      <c r="Y290" s="54"/>
      <c r="Z290" s="34"/>
      <c r="AA290" s="34"/>
      <c r="AB290" s="34"/>
      <c r="AC290" s="34"/>
      <c r="AD290" s="34"/>
      <c r="AE290" s="34"/>
      <c r="AF290" s="34"/>
      <c r="AG290" s="34"/>
      <c r="AH290" s="52"/>
      <c r="AI290" s="52"/>
      <c r="AK290" s="34"/>
      <c r="AL290" s="34"/>
      <c r="AM290" s="34"/>
      <c r="AN290" s="54"/>
      <c r="AO290" s="34"/>
      <c r="AP290" s="34"/>
      <c r="AQ290" s="54"/>
      <c r="AR290" s="54"/>
      <c r="AS290" s="54"/>
      <c r="AT290" s="54"/>
      <c r="AU290" s="34"/>
      <c r="AV290" s="34"/>
      <c r="AW290" s="34"/>
      <c r="AX290" s="34"/>
      <c r="AY290" s="34"/>
      <c r="AZ290" s="44"/>
      <c r="BA290" s="34"/>
      <c r="BB290" s="34"/>
    </row>
    <row r="291" spans="1:54" x14ac:dyDescent="0.35" ht="15.0" customHeight="true">
      <c r="A291" s="51"/>
      <c r="B291" s="34"/>
      <c r="C291" s="34"/>
      <c r="D291" s="34"/>
      <c r="E291" s="34"/>
      <c r="F291" s="34"/>
      <c r="G291" s="44"/>
      <c r="H291" s="34"/>
      <c r="I291" s="54"/>
      <c r="J291" s="34"/>
      <c r="K291" s="54"/>
      <c r="L291" s="34"/>
      <c r="M291" s="44"/>
      <c r="N291" s="44"/>
      <c r="O291" s="34"/>
      <c r="P291" s="34"/>
      <c r="Q291" s="34"/>
      <c r="R291" s="34"/>
      <c r="U291" s="44"/>
      <c r="W291" s="95"/>
      <c r="X291" s="54"/>
      <c r="Y291" s="54"/>
      <c r="Z291" s="34"/>
      <c r="AA291" s="34"/>
      <c r="AB291" s="34"/>
      <c r="AC291" s="34"/>
      <c r="AD291" s="34"/>
      <c r="AE291" s="34"/>
      <c r="AF291" s="34"/>
      <c r="AG291" s="34"/>
      <c r="AH291" s="52"/>
      <c r="AI291" s="52"/>
      <c r="AK291" s="34"/>
      <c r="AL291" s="34"/>
      <c r="AM291" s="34"/>
      <c r="AN291" s="54"/>
      <c r="AO291" s="34"/>
      <c r="AP291" s="34"/>
      <c r="AQ291" s="54"/>
      <c r="AR291" s="54"/>
      <c r="AS291" s="54"/>
      <c r="AT291" s="54"/>
      <c r="AU291" s="34"/>
      <c r="AV291" s="34"/>
      <c r="AW291" s="34"/>
      <c r="AX291" s="34"/>
      <c r="AY291" s="34"/>
      <c r="AZ291" s="44"/>
      <c r="BA291" s="34"/>
      <c r="BB291" s="34"/>
    </row>
    <row r="292" spans="1:54" x14ac:dyDescent="0.35" ht="15.0" customHeight="true">
      <c r="A292" s="51"/>
      <c r="B292" s="34"/>
      <c r="C292" s="34"/>
      <c r="D292" s="34"/>
      <c r="E292" s="34"/>
      <c r="F292" s="34"/>
      <c r="G292" s="44"/>
      <c r="H292" s="34"/>
      <c r="I292" s="54"/>
      <c r="J292" s="34"/>
      <c r="K292" s="54"/>
      <c r="L292" s="34"/>
      <c r="M292" s="44"/>
      <c r="N292" s="44"/>
      <c r="O292" s="34"/>
      <c r="P292" s="34"/>
      <c r="Q292" s="34"/>
      <c r="R292" s="34"/>
      <c r="U292" s="44"/>
      <c r="W292" s="95"/>
      <c r="X292" s="54"/>
      <c r="Y292" s="54"/>
      <c r="Z292" s="34"/>
      <c r="AA292" s="34"/>
      <c r="AB292" s="34"/>
      <c r="AC292" s="34"/>
      <c r="AD292" s="34"/>
      <c r="AE292" s="34"/>
      <c r="AF292" s="34"/>
      <c r="AG292" s="34"/>
      <c r="AH292" s="52"/>
      <c r="AI292" s="52"/>
      <c r="AK292" s="34"/>
      <c r="AL292" s="34"/>
      <c r="AM292" s="34"/>
      <c r="AN292" s="54"/>
      <c r="AO292" s="34"/>
      <c r="AP292" s="34"/>
      <c r="AQ292" s="54"/>
      <c r="AR292" s="54"/>
      <c r="AS292" s="54"/>
      <c r="AT292" s="54"/>
      <c r="AU292" s="34"/>
      <c r="AV292" s="34"/>
      <c r="AW292" s="34"/>
      <c r="AX292" s="34"/>
      <c r="AY292" s="34"/>
      <c r="AZ292" s="44"/>
      <c r="BA292" s="34"/>
      <c r="BB292" s="34"/>
    </row>
    <row r="293" spans="1:54" x14ac:dyDescent="0.35" ht="15.0" customHeight="true">
      <c r="A293" s="51"/>
      <c r="B293" s="34"/>
      <c r="C293" s="34"/>
      <c r="D293" s="34"/>
      <c r="E293" s="34"/>
      <c r="F293" s="34"/>
      <c r="G293" s="44"/>
      <c r="H293" s="34"/>
      <c r="I293" s="54"/>
      <c r="J293" s="34"/>
      <c r="K293" s="54"/>
      <c r="L293" s="34"/>
      <c r="M293" s="44"/>
      <c r="N293" s="44"/>
      <c r="O293" s="34"/>
      <c r="P293" s="34"/>
      <c r="Q293" s="34"/>
      <c r="R293" s="34"/>
      <c r="U293" s="44"/>
      <c r="W293" s="95"/>
      <c r="X293" s="54"/>
      <c r="Y293" s="54"/>
      <c r="Z293" s="34"/>
      <c r="AA293" s="34"/>
      <c r="AB293" s="34"/>
      <c r="AC293" s="34"/>
      <c r="AD293" s="34"/>
      <c r="AE293" s="34"/>
      <c r="AF293" s="34"/>
      <c r="AG293" s="34"/>
      <c r="AH293" s="52"/>
      <c r="AI293" s="52"/>
      <c r="AK293" s="34"/>
      <c r="AL293" s="34"/>
      <c r="AM293" s="34"/>
      <c r="AN293" s="54"/>
      <c r="AO293" s="34"/>
      <c r="AP293" s="34"/>
      <c r="AQ293" s="54"/>
      <c r="AR293" s="54"/>
      <c r="AS293" s="54"/>
      <c r="AT293" s="54"/>
      <c r="AU293" s="34"/>
      <c r="AV293" s="34"/>
      <c r="AW293" s="34"/>
      <c r="AX293" s="34"/>
      <c r="AY293" s="34"/>
      <c r="AZ293" s="44"/>
      <c r="BA293" s="34"/>
      <c r="BB293" s="34"/>
    </row>
    <row r="294" spans="1:54" x14ac:dyDescent="0.35" ht="15.0" customHeight="true">
      <c r="A294" s="51"/>
      <c r="B294" s="34"/>
      <c r="C294" s="34"/>
      <c r="D294" s="34"/>
      <c r="E294" s="34"/>
      <c r="F294" s="34"/>
      <c r="G294" s="44"/>
      <c r="H294" s="34"/>
      <c r="I294" s="54"/>
      <c r="J294" s="34"/>
      <c r="K294" s="54"/>
      <c r="L294" s="34"/>
      <c r="M294" s="44"/>
      <c r="N294" s="44"/>
      <c r="O294" s="34"/>
      <c r="P294" s="34"/>
      <c r="Q294" s="34"/>
      <c r="R294" s="34"/>
      <c r="U294" s="44"/>
      <c r="W294" s="95"/>
      <c r="X294" s="54"/>
      <c r="Y294" s="54"/>
      <c r="Z294" s="34"/>
      <c r="AA294" s="34"/>
      <c r="AB294" s="34"/>
      <c r="AC294" s="34"/>
      <c r="AD294" s="34"/>
      <c r="AE294" s="34"/>
      <c r="AF294" s="34"/>
      <c r="AG294" s="34"/>
      <c r="AH294" s="52"/>
      <c r="AI294" s="52"/>
      <c r="AK294" s="34"/>
      <c r="AL294" s="34"/>
      <c r="AM294" s="34"/>
      <c r="AN294" s="54"/>
      <c r="AO294" s="34"/>
      <c r="AP294" s="34"/>
      <c r="AQ294" s="54"/>
      <c r="AR294" s="54"/>
      <c r="AS294" s="54"/>
      <c r="AT294" s="54"/>
      <c r="AU294" s="34"/>
      <c r="AV294" s="34"/>
      <c r="AW294" s="34"/>
      <c r="AX294" s="34"/>
      <c r="AY294" s="34"/>
      <c r="AZ294" s="44"/>
      <c r="BA294" s="34"/>
      <c r="BB294" s="34"/>
    </row>
    <row r="295" spans="1:54" x14ac:dyDescent="0.35" ht="15.0" customHeight="true">
      <c r="A295" s="51"/>
      <c r="B295" s="34"/>
      <c r="C295" s="34"/>
      <c r="D295" s="34"/>
      <c r="E295" s="34"/>
      <c r="F295" s="34"/>
      <c r="G295" s="44"/>
      <c r="H295" s="34"/>
      <c r="I295" s="54"/>
      <c r="J295" s="34"/>
      <c r="K295" s="54"/>
      <c r="L295" s="34"/>
      <c r="M295" s="44"/>
      <c r="N295" s="44"/>
      <c r="O295" s="34"/>
      <c r="P295" s="34"/>
      <c r="Q295" s="34"/>
      <c r="R295" s="34"/>
      <c r="U295" s="44"/>
      <c r="W295" s="95"/>
      <c r="X295" s="54"/>
      <c r="Y295" s="54"/>
      <c r="Z295" s="34"/>
      <c r="AA295" s="34"/>
      <c r="AB295" s="34"/>
      <c r="AC295" s="34"/>
      <c r="AD295" s="34"/>
      <c r="AE295" s="34"/>
      <c r="AF295" s="34"/>
      <c r="AG295" s="34"/>
      <c r="AH295" s="52"/>
      <c r="AI295" s="52"/>
      <c r="AK295" s="34"/>
      <c r="AL295" s="34"/>
      <c r="AM295" s="34"/>
      <c r="AN295" s="54"/>
      <c r="AO295" s="34"/>
      <c r="AP295" s="34"/>
      <c r="AQ295" s="54"/>
      <c r="AR295" s="54"/>
      <c r="AS295" s="54"/>
      <c r="AT295" s="54"/>
      <c r="AU295" s="34"/>
      <c r="AV295" s="34"/>
      <c r="AW295" s="34"/>
      <c r="AX295" s="34"/>
      <c r="AY295" s="34"/>
      <c r="AZ295" s="44"/>
      <c r="BA295" s="34"/>
      <c r="BB295" s="34"/>
    </row>
    <row r="296" spans="1:54" x14ac:dyDescent="0.35" ht="15.0" customHeight="true">
      <c r="A296" s="51"/>
      <c r="B296" s="34"/>
      <c r="C296" s="34"/>
      <c r="D296" s="34"/>
      <c r="E296" s="34"/>
      <c r="F296" s="34"/>
      <c r="G296" s="44"/>
      <c r="H296" s="34"/>
      <c r="I296" s="54"/>
      <c r="J296" s="34"/>
      <c r="K296" s="54"/>
      <c r="L296" s="34"/>
      <c r="M296" s="44"/>
      <c r="N296" s="44"/>
      <c r="O296" s="34"/>
      <c r="P296" s="34"/>
      <c r="Q296" s="34"/>
      <c r="R296" s="34"/>
      <c r="U296" s="44"/>
      <c r="W296" s="95"/>
      <c r="X296" s="54"/>
      <c r="Y296" s="54"/>
      <c r="Z296" s="34"/>
      <c r="AA296" s="34"/>
      <c r="AB296" s="34"/>
      <c r="AC296" s="34"/>
      <c r="AD296" s="34"/>
      <c r="AE296" s="34"/>
      <c r="AF296" s="34"/>
      <c r="AG296" s="34"/>
      <c r="AH296" s="52"/>
      <c r="AI296" s="52"/>
      <c r="AK296" s="34"/>
      <c r="AL296" s="34"/>
      <c r="AM296" s="34"/>
      <c r="AN296" s="54"/>
      <c r="AO296" s="34"/>
      <c r="AP296" s="34"/>
      <c r="AQ296" s="54"/>
      <c r="AR296" s="54"/>
      <c r="AS296" s="54"/>
      <c r="AT296" s="54"/>
      <c r="AU296" s="34"/>
      <c r="AV296" s="34"/>
      <c r="AW296" s="34"/>
      <c r="AX296" s="34"/>
      <c r="AY296" s="34"/>
      <c r="AZ296" s="44"/>
      <c r="BA296" s="34"/>
      <c r="BB296" s="34"/>
    </row>
    <row r="297" spans="1:54" x14ac:dyDescent="0.35" ht="15.0" customHeight="true">
      <c r="A297" s="51"/>
      <c r="B297" s="34"/>
      <c r="C297" s="34"/>
      <c r="D297" s="34"/>
      <c r="E297" s="34"/>
      <c r="F297" s="34"/>
      <c r="G297" s="44"/>
      <c r="H297" s="34"/>
      <c r="I297" s="54"/>
      <c r="J297" s="34"/>
      <c r="K297" s="54"/>
      <c r="L297" s="34"/>
      <c r="M297" s="44"/>
      <c r="N297" s="44"/>
      <c r="O297" s="34"/>
      <c r="P297" s="34"/>
      <c r="Q297" s="34"/>
      <c r="R297" s="34"/>
      <c r="U297" s="44"/>
      <c r="W297" s="95"/>
      <c r="X297" s="54"/>
      <c r="Y297" s="54"/>
      <c r="Z297" s="34"/>
      <c r="AA297" s="34"/>
      <c r="AB297" s="34"/>
      <c r="AC297" s="34"/>
      <c r="AD297" s="34"/>
      <c r="AE297" s="34"/>
      <c r="AF297" s="34"/>
      <c r="AG297" s="34"/>
      <c r="AH297" s="52"/>
      <c r="AI297" s="52"/>
      <c r="AK297" s="34"/>
      <c r="AL297" s="34"/>
      <c r="AM297" s="34"/>
      <c r="AN297" s="54"/>
      <c r="AO297" s="34"/>
      <c r="AP297" s="34"/>
      <c r="AQ297" s="54"/>
      <c r="AR297" s="54"/>
      <c r="AS297" s="54"/>
      <c r="AT297" s="54"/>
      <c r="AU297" s="34"/>
      <c r="AV297" s="34"/>
      <c r="AW297" s="34"/>
      <c r="AX297" s="34"/>
      <c r="AY297" s="34"/>
      <c r="AZ297" s="44"/>
      <c r="BA297" s="34"/>
      <c r="BB297" s="34"/>
    </row>
    <row r="298" spans="1:54" x14ac:dyDescent="0.35" ht="15.0" customHeight="true">
      <c r="A298" s="51"/>
      <c r="B298" s="34"/>
      <c r="C298" s="34"/>
      <c r="D298" s="34"/>
      <c r="E298" s="34"/>
      <c r="F298" s="34"/>
      <c r="G298" s="44"/>
      <c r="H298" s="34"/>
      <c r="I298" s="54"/>
      <c r="J298" s="34"/>
      <c r="K298" s="54"/>
      <c r="L298" s="34"/>
      <c r="M298" s="44"/>
      <c r="N298" s="44"/>
      <c r="O298" s="34"/>
      <c r="P298" s="34"/>
      <c r="Q298" s="34"/>
      <c r="R298" s="34"/>
      <c r="U298" s="44"/>
      <c r="W298" s="95"/>
      <c r="X298" s="54"/>
      <c r="Y298" s="54"/>
      <c r="Z298" s="34"/>
      <c r="AA298" s="34"/>
      <c r="AB298" s="34"/>
      <c r="AC298" s="34"/>
      <c r="AD298" s="34"/>
      <c r="AE298" s="34"/>
      <c r="AF298" s="34"/>
      <c r="AG298" s="34"/>
      <c r="AH298" s="52"/>
      <c r="AI298" s="52"/>
      <c r="AK298" s="34"/>
      <c r="AL298" s="34"/>
      <c r="AM298" s="34"/>
      <c r="AN298" s="54"/>
      <c r="AO298" s="34"/>
      <c r="AP298" s="34"/>
      <c r="AQ298" s="54"/>
      <c r="AR298" s="54"/>
      <c r="AS298" s="54"/>
      <c r="AT298" s="54"/>
      <c r="AU298" s="34"/>
      <c r="AV298" s="34"/>
      <c r="AW298" s="34"/>
      <c r="AX298" s="34"/>
      <c r="AY298" s="34"/>
      <c r="AZ298" s="44"/>
      <c r="BA298" s="34"/>
      <c r="BB298" s="34"/>
    </row>
    <row r="299" spans="1:54" x14ac:dyDescent="0.35" ht="15.0" customHeight="true">
      <c r="A299" s="51"/>
      <c r="B299" s="34"/>
      <c r="C299" s="34"/>
      <c r="D299" s="34"/>
      <c r="E299" s="34"/>
      <c r="F299" s="34"/>
      <c r="G299" s="44"/>
      <c r="H299" s="34"/>
      <c r="I299" s="54"/>
      <c r="J299" s="34"/>
      <c r="K299" s="54"/>
      <c r="L299" s="34"/>
      <c r="M299" s="44"/>
      <c r="N299" s="44"/>
      <c r="O299" s="34"/>
      <c r="P299" s="34"/>
      <c r="Q299" s="34"/>
      <c r="R299" s="34"/>
      <c r="U299" s="44"/>
      <c r="W299" s="95"/>
      <c r="X299" s="54"/>
      <c r="Y299" s="54"/>
      <c r="Z299" s="34"/>
      <c r="AA299" s="34"/>
      <c r="AB299" s="34"/>
      <c r="AC299" s="34"/>
      <c r="AD299" s="34"/>
      <c r="AE299" s="34"/>
      <c r="AF299" s="34"/>
      <c r="AG299" s="34"/>
      <c r="AH299" s="52"/>
      <c r="AI299" s="52"/>
      <c r="AK299" s="34"/>
      <c r="AL299" s="34"/>
      <c r="AM299" s="34"/>
      <c r="AN299" s="54"/>
      <c r="AO299" s="34"/>
      <c r="AP299" s="34"/>
      <c r="AQ299" s="54"/>
      <c r="AR299" s="54"/>
      <c r="AS299" s="54"/>
      <c r="AT299" s="54"/>
      <c r="AU299" s="34"/>
      <c r="AV299" s="34"/>
      <c r="AW299" s="34"/>
      <c r="AX299" s="34"/>
      <c r="AY299" s="34"/>
      <c r="AZ299" s="44"/>
      <c r="BA299" s="34"/>
      <c r="BB299" s="34"/>
    </row>
    <row r="300" spans="1:54" x14ac:dyDescent="0.35" ht="15.0" customHeight="true">
      <c r="A300" s="51"/>
      <c r="B300" s="34"/>
      <c r="C300" s="34"/>
      <c r="D300" s="34"/>
      <c r="E300" s="34"/>
      <c r="F300" s="34"/>
      <c r="G300" s="44"/>
      <c r="H300" s="34"/>
      <c r="I300" s="54"/>
      <c r="J300" s="34"/>
      <c r="K300" s="54"/>
      <c r="L300" s="34"/>
      <c r="M300" s="44"/>
      <c r="N300" s="44"/>
      <c r="O300" s="34"/>
      <c r="P300" s="34"/>
      <c r="Q300" s="34"/>
      <c r="R300" s="34"/>
      <c r="U300" s="44"/>
      <c r="W300" s="95"/>
      <c r="X300" s="54"/>
      <c r="Y300" s="54"/>
      <c r="Z300" s="34"/>
      <c r="AA300" s="34"/>
      <c r="AB300" s="34"/>
      <c r="AC300" s="34"/>
      <c r="AD300" s="34"/>
      <c r="AE300" s="34"/>
      <c r="AF300" s="34"/>
      <c r="AG300" s="34"/>
      <c r="AH300" s="52"/>
      <c r="AI300" s="52"/>
      <c r="AK300" s="34"/>
      <c r="AL300" s="34"/>
      <c r="AM300" s="34"/>
      <c r="AN300" s="54"/>
      <c r="AO300" s="34"/>
      <c r="AP300" s="34"/>
      <c r="AQ300" s="54"/>
      <c r="AR300" s="54"/>
      <c r="AS300" s="54"/>
      <c r="AT300" s="54"/>
      <c r="AU300" s="34"/>
      <c r="AV300" s="34"/>
      <c r="AW300" s="34"/>
      <c r="AX300" s="34"/>
      <c r="AY300" s="34"/>
      <c r="AZ300" s="44"/>
      <c r="BA300" s="34"/>
      <c r="BB300" s="34"/>
    </row>
    <row r="301" spans="1:54" x14ac:dyDescent="0.35" ht="15.0" customHeight="true">
      <c r="A301" s="51"/>
      <c r="B301" s="34"/>
      <c r="C301" s="34"/>
      <c r="D301" s="34"/>
      <c r="E301" s="34"/>
      <c r="F301" s="34"/>
      <c r="G301" s="44"/>
      <c r="H301" s="34"/>
      <c r="I301" s="54"/>
      <c r="J301" s="34"/>
      <c r="K301" s="54"/>
      <c r="L301" s="34"/>
      <c r="M301" s="44"/>
      <c r="N301" s="44"/>
      <c r="O301" s="34"/>
      <c r="P301" s="34"/>
      <c r="Q301" s="34"/>
      <c r="R301" s="34"/>
      <c r="U301" s="44"/>
      <c r="W301" s="95"/>
      <c r="X301" s="54"/>
      <c r="Y301" s="54"/>
      <c r="Z301" s="34"/>
      <c r="AA301" s="34"/>
      <c r="AB301" s="34"/>
      <c r="AC301" s="34"/>
      <c r="AD301" s="34"/>
      <c r="AE301" s="34"/>
      <c r="AF301" s="34"/>
      <c r="AG301" s="34"/>
      <c r="AH301" s="52"/>
      <c r="AI301" s="52"/>
      <c r="AK301" s="34"/>
      <c r="AL301" s="34"/>
      <c r="AM301" s="34"/>
      <c r="AN301" s="54"/>
      <c r="AO301" s="34"/>
      <c r="AP301" s="34"/>
      <c r="AQ301" s="54"/>
      <c r="AR301" s="54"/>
      <c r="AS301" s="54"/>
      <c r="AT301" s="54"/>
      <c r="AU301" s="34"/>
      <c r="AV301" s="34"/>
      <c r="AW301" s="34"/>
      <c r="AX301" s="34"/>
      <c r="AY301" s="34"/>
      <c r="AZ301" s="44"/>
      <c r="BA301" s="34"/>
      <c r="BB301" s="34"/>
    </row>
    <row r="302" spans="1:54" x14ac:dyDescent="0.35" ht="15.0" customHeight="true">
      <c r="A302" s="51"/>
      <c r="B302" s="34"/>
      <c r="C302" s="34"/>
      <c r="D302" s="34"/>
      <c r="E302" s="34"/>
      <c r="F302" s="34"/>
      <c r="G302" s="44"/>
      <c r="H302" s="34"/>
      <c r="I302" s="54"/>
      <c r="J302" s="34"/>
      <c r="K302" s="54"/>
      <c r="L302" s="34"/>
      <c r="M302" s="44"/>
      <c r="N302" s="44"/>
      <c r="O302" s="34"/>
      <c r="P302" s="34"/>
      <c r="Q302" s="34"/>
      <c r="R302" s="34"/>
      <c r="U302" s="44"/>
      <c r="W302" s="95"/>
      <c r="X302" s="54"/>
      <c r="Y302" s="54"/>
      <c r="Z302" s="34"/>
      <c r="AA302" s="34"/>
      <c r="AB302" s="34"/>
      <c r="AC302" s="34"/>
      <c r="AD302" s="34"/>
      <c r="AE302" s="34"/>
      <c r="AF302" s="34"/>
      <c r="AG302" s="34"/>
      <c r="AH302" s="52"/>
      <c r="AI302" s="52"/>
      <c r="AK302" s="34"/>
      <c r="AL302" s="34"/>
      <c r="AM302" s="34"/>
      <c r="AN302" s="54"/>
      <c r="AO302" s="34"/>
      <c r="AP302" s="34"/>
      <c r="AQ302" s="54"/>
      <c r="AR302" s="54"/>
      <c r="AS302" s="54"/>
      <c r="AT302" s="54"/>
      <c r="AU302" s="34"/>
      <c r="AV302" s="34"/>
      <c r="AW302" s="34"/>
      <c r="AX302" s="34"/>
      <c r="AY302" s="34"/>
      <c r="AZ302" s="44"/>
      <c r="BA302" s="34"/>
      <c r="BB302" s="34"/>
    </row>
    <row r="303" spans="1:54" x14ac:dyDescent="0.35" ht="15.0" customHeight="true">
      <c r="A303" s="51"/>
      <c r="B303" s="34"/>
      <c r="C303" s="34"/>
      <c r="D303" s="34"/>
      <c r="E303" s="34"/>
      <c r="F303" s="34"/>
      <c r="G303" s="44"/>
      <c r="H303" s="34"/>
      <c r="I303" s="54"/>
      <c r="J303" s="34"/>
      <c r="K303" s="54"/>
      <c r="L303" s="34"/>
      <c r="M303" s="44"/>
      <c r="N303" s="44"/>
      <c r="O303" s="34"/>
      <c r="P303" s="34"/>
      <c r="Q303" s="34"/>
      <c r="R303" s="34"/>
      <c r="U303" s="44"/>
      <c r="W303" s="95"/>
      <c r="X303" s="54"/>
      <c r="Y303" s="54"/>
      <c r="Z303" s="34"/>
      <c r="AA303" s="34"/>
      <c r="AB303" s="34"/>
      <c r="AC303" s="34"/>
      <c r="AD303" s="34"/>
      <c r="AE303" s="34"/>
      <c r="AF303" s="34"/>
      <c r="AG303" s="34"/>
      <c r="AH303" s="52"/>
      <c r="AI303" s="52"/>
      <c r="AK303" s="34"/>
      <c r="AL303" s="34"/>
      <c r="AM303" s="34"/>
      <c r="AN303" s="54"/>
      <c r="AO303" s="34"/>
      <c r="AP303" s="34"/>
      <c r="AQ303" s="54"/>
      <c r="AR303" s="54"/>
      <c r="AS303" s="54"/>
      <c r="AT303" s="54"/>
      <c r="AU303" s="34"/>
      <c r="AV303" s="34"/>
      <c r="AW303" s="34"/>
      <c r="AX303" s="34"/>
      <c r="AY303" s="34"/>
      <c r="AZ303" s="44"/>
      <c r="BA303" s="34"/>
      <c r="BB303" s="34"/>
    </row>
    <row r="304" spans="1:54" x14ac:dyDescent="0.35" ht="15.0" customHeight="true">
      <c r="A304" s="51"/>
      <c r="B304" s="34"/>
      <c r="C304" s="34"/>
      <c r="D304" s="34"/>
      <c r="E304" s="34"/>
      <c r="F304" s="34"/>
      <c r="G304" s="44"/>
      <c r="H304" s="34"/>
      <c r="I304" s="54"/>
      <c r="J304" s="34"/>
      <c r="K304" s="54"/>
      <c r="L304" s="34"/>
      <c r="M304" s="44"/>
      <c r="N304" s="44"/>
      <c r="O304" s="34"/>
      <c r="P304" s="34"/>
      <c r="Q304" s="34"/>
      <c r="R304" s="34"/>
      <c r="U304" s="44"/>
      <c r="W304" s="95"/>
      <c r="X304" s="54"/>
      <c r="Y304" s="54"/>
      <c r="Z304" s="34"/>
      <c r="AA304" s="34"/>
      <c r="AB304" s="34"/>
      <c r="AC304" s="34"/>
      <c r="AD304" s="34"/>
      <c r="AE304" s="34"/>
      <c r="AF304" s="34"/>
      <c r="AG304" s="34"/>
      <c r="AH304" s="52"/>
      <c r="AI304" s="52"/>
      <c r="AK304" s="34"/>
      <c r="AL304" s="34"/>
      <c r="AM304" s="34"/>
      <c r="AN304" s="54"/>
      <c r="AO304" s="34"/>
      <c r="AP304" s="34"/>
      <c r="AQ304" s="54"/>
      <c r="AR304" s="54"/>
      <c r="AS304" s="54"/>
      <c r="AT304" s="54"/>
      <c r="AU304" s="34"/>
      <c r="AV304" s="34"/>
      <c r="AW304" s="34"/>
      <c r="AX304" s="34"/>
      <c r="AY304" s="34"/>
      <c r="AZ304" s="44"/>
      <c r="BA304" s="34"/>
      <c r="BB304" s="34"/>
    </row>
    <row r="305" spans="1:54" x14ac:dyDescent="0.35" ht="15.0" customHeight="true">
      <c r="A305" s="51"/>
      <c r="B305" s="34"/>
      <c r="C305" s="34"/>
      <c r="D305" s="34"/>
      <c r="E305" s="34"/>
      <c r="F305" s="34"/>
      <c r="G305" s="44"/>
      <c r="H305" s="34"/>
      <c r="I305" s="54"/>
      <c r="J305" s="34"/>
      <c r="K305" s="54"/>
      <c r="L305" s="34"/>
      <c r="M305" s="44"/>
      <c r="N305" s="44"/>
      <c r="O305" s="34"/>
      <c r="P305" s="34"/>
      <c r="Q305" s="34"/>
      <c r="R305" s="34"/>
      <c r="U305" s="44"/>
      <c r="W305" s="95"/>
      <c r="X305" s="54"/>
      <c r="Y305" s="54"/>
      <c r="Z305" s="34"/>
      <c r="AA305" s="34"/>
      <c r="AB305" s="34"/>
      <c r="AC305" s="34"/>
      <c r="AD305" s="34"/>
      <c r="AE305" s="34"/>
      <c r="AF305" s="34"/>
      <c r="AG305" s="34"/>
      <c r="AH305" s="52"/>
      <c r="AI305" s="52"/>
      <c r="AK305" s="34"/>
      <c r="AL305" s="34"/>
      <c r="AM305" s="34"/>
      <c r="AN305" s="54"/>
      <c r="AO305" s="34"/>
      <c r="AP305" s="34"/>
      <c r="AQ305" s="54"/>
      <c r="AR305" s="54"/>
      <c r="AS305" s="54"/>
      <c r="AT305" s="54"/>
      <c r="AU305" s="34"/>
      <c r="AV305" s="34"/>
      <c r="AW305" s="34"/>
      <c r="AX305" s="34"/>
      <c r="AY305" s="34"/>
      <c r="AZ305" s="44"/>
      <c r="BA305" s="34"/>
      <c r="BB305" s="34"/>
    </row>
    <row r="306" spans="1:54" x14ac:dyDescent="0.35" ht="15.0" customHeight="true">
      <c r="A306" s="51"/>
      <c r="B306" s="34"/>
      <c r="C306" s="34"/>
      <c r="D306" s="34"/>
      <c r="E306" s="34"/>
      <c r="F306" s="34"/>
      <c r="G306" s="44"/>
      <c r="H306" s="34"/>
      <c r="I306" s="54"/>
      <c r="J306" s="34"/>
      <c r="K306" s="54"/>
      <c r="L306" s="34"/>
      <c r="M306" s="44"/>
      <c r="N306" s="44"/>
      <c r="O306" s="34"/>
      <c r="P306" s="34"/>
      <c r="Q306" s="34"/>
      <c r="R306" s="34"/>
      <c r="U306" s="44"/>
      <c r="W306" s="95"/>
      <c r="X306" s="54"/>
      <c r="Y306" s="54"/>
      <c r="Z306" s="34"/>
      <c r="AA306" s="34"/>
      <c r="AB306" s="34"/>
      <c r="AC306" s="34"/>
      <c r="AD306" s="34"/>
      <c r="AE306" s="34"/>
      <c r="AF306" s="34"/>
      <c r="AG306" s="34"/>
      <c r="AH306" s="52"/>
      <c r="AI306" s="52"/>
      <c r="AK306" s="34"/>
      <c r="AL306" s="34"/>
      <c r="AM306" s="34"/>
      <c r="AN306" s="54"/>
      <c r="AO306" s="34"/>
      <c r="AP306" s="34"/>
      <c r="AQ306" s="54"/>
      <c r="AR306" s="54"/>
      <c r="AS306" s="54"/>
      <c r="AT306" s="54"/>
      <c r="AU306" s="34"/>
      <c r="AV306" s="34"/>
      <c r="AW306" s="34"/>
      <c r="AX306" s="34"/>
      <c r="AY306" s="34"/>
      <c r="AZ306" s="44"/>
      <c r="BA306" s="34"/>
      <c r="BB306" s="34"/>
    </row>
    <row r="307" spans="1:54" x14ac:dyDescent="0.35" ht="15.0" customHeight="true">
      <c r="A307" s="51"/>
      <c r="B307" s="34"/>
      <c r="C307" s="34"/>
      <c r="D307" s="34"/>
      <c r="E307" s="34"/>
      <c r="F307" s="34"/>
      <c r="G307" s="44"/>
      <c r="H307" s="34"/>
      <c r="I307" s="54"/>
      <c r="J307" s="34"/>
      <c r="K307" s="54"/>
      <c r="L307" s="34"/>
      <c r="M307" s="44"/>
      <c r="N307" s="44"/>
      <c r="O307" s="34"/>
      <c r="P307" s="34"/>
      <c r="Q307" s="34"/>
      <c r="R307" s="34"/>
      <c r="U307" s="44"/>
      <c r="W307" s="95"/>
      <c r="X307" s="54"/>
      <c r="Y307" s="54"/>
      <c r="Z307" s="34"/>
      <c r="AA307" s="34"/>
      <c r="AB307" s="34"/>
      <c r="AC307" s="34"/>
      <c r="AD307" s="34"/>
      <c r="AE307" s="34"/>
      <c r="AF307" s="34"/>
      <c r="AG307" s="34"/>
      <c r="AH307" s="52"/>
      <c r="AI307" s="52"/>
      <c r="AK307" s="34"/>
      <c r="AL307" s="34"/>
      <c r="AM307" s="34"/>
      <c r="AN307" s="54"/>
      <c r="AO307" s="34"/>
      <c r="AP307" s="34"/>
      <c r="AQ307" s="54"/>
      <c r="AR307" s="54"/>
      <c r="AS307" s="54"/>
      <c r="AT307" s="54"/>
      <c r="AU307" s="34"/>
      <c r="AV307" s="34"/>
      <c r="AW307" s="34"/>
      <c r="AX307" s="34"/>
      <c r="AY307" s="34"/>
      <c r="AZ307" s="44"/>
      <c r="BA307" s="34"/>
      <c r="BB307" s="34"/>
    </row>
    <row r="308" spans="1:54" x14ac:dyDescent="0.35" ht="15.0" customHeight="true">
      <c r="A308" s="51"/>
      <c r="B308" s="34"/>
      <c r="C308" s="34"/>
      <c r="D308" s="34"/>
      <c r="E308" s="34"/>
      <c r="F308" s="34"/>
      <c r="G308" s="44"/>
      <c r="H308" s="34"/>
      <c r="I308" s="54"/>
      <c r="J308" s="34"/>
      <c r="K308" s="54"/>
      <c r="L308" s="34"/>
      <c r="M308" s="44"/>
      <c r="N308" s="44"/>
      <c r="O308" s="34"/>
      <c r="P308" s="34"/>
      <c r="Q308" s="34"/>
      <c r="R308" s="34"/>
      <c r="U308" s="44"/>
      <c r="W308" s="95"/>
      <c r="X308" s="54"/>
      <c r="Y308" s="54"/>
      <c r="Z308" s="34"/>
      <c r="AA308" s="34"/>
      <c r="AB308" s="34"/>
      <c r="AC308" s="34"/>
      <c r="AD308" s="34"/>
      <c r="AE308" s="34"/>
      <c r="AF308" s="34"/>
      <c r="AG308" s="34"/>
      <c r="AH308" s="52"/>
      <c r="AI308" s="52"/>
      <c r="AK308" s="34"/>
      <c r="AL308" s="34"/>
      <c r="AM308" s="34"/>
      <c r="AN308" s="54"/>
      <c r="AO308" s="34"/>
      <c r="AP308" s="34"/>
      <c r="AQ308" s="54"/>
      <c r="AR308" s="54"/>
      <c r="AS308" s="54"/>
      <c r="AT308" s="54"/>
      <c r="AU308" s="34"/>
      <c r="AV308" s="34"/>
      <c r="AW308" s="34"/>
      <c r="AX308" s="34"/>
      <c r="AY308" s="34"/>
      <c r="AZ308" s="44"/>
      <c r="BA308" s="34"/>
      <c r="BB308" s="34"/>
    </row>
    <row r="309" spans="1:54" x14ac:dyDescent="0.35" ht="15.0" customHeight="true">
      <c r="A309" s="51"/>
      <c r="B309" s="34"/>
      <c r="C309" s="34"/>
      <c r="D309" s="34"/>
      <c r="E309" s="34"/>
      <c r="F309" s="34"/>
      <c r="G309" s="44"/>
      <c r="H309" s="34"/>
      <c r="I309" s="54"/>
      <c r="J309" s="34"/>
      <c r="K309" s="54"/>
      <c r="L309" s="34"/>
      <c r="M309" s="44"/>
      <c r="N309" s="44"/>
      <c r="O309" s="34"/>
      <c r="P309" s="34"/>
      <c r="Q309" s="34"/>
      <c r="R309" s="34"/>
      <c r="U309" s="44"/>
      <c r="W309" s="95"/>
      <c r="X309" s="54"/>
      <c r="Y309" s="54"/>
      <c r="Z309" s="34"/>
      <c r="AA309" s="34"/>
      <c r="AB309" s="34"/>
      <c r="AC309" s="34"/>
      <c r="AD309" s="34"/>
      <c r="AE309" s="34"/>
      <c r="AF309" s="34"/>
      <c r="AG309" s="34"/>
      <c r="AH309" s="52"/>
      <c r="AI309" s="52"/>
      <c r="AK309" s="34"/>
      <c r="AL309" s="34"/>
      <c r="AM309" s="34"/>
      <c r="AN309" s="54"/>
      <c r="AO309" s="34"/>
      <c r="AP309" s="34"/>
      <c r="AQ309" s="54"/>
      <c r="AR309" s="54"/>
      <c r="AS309" s="54"/>
      <c r="AT309" s="54"/>
      <c r="AU309" s="34"/>
      <c r="AV309" s="34"/>
      <c r="AW309" s="34"/>
      <c r="AX309" s="34"/>
      <c r="AY309" s="34"/>
      <c r="AZ309" s="44"/>
      <c r="BA309" s="34"/>
      <c r="BB309" s="34"/>
    </row>
    <row r="310" spans="1:54" x14ac:dyDescent="0.35" ht="15.0" customHeight="true">
      <c r="A310" s="51"/>
      <c r="B310" s="34"/>
      <c r="C310" s="34"/>
      <c r="D310" s="34"/>
      <c r="E310" s="34"/>
      <c r="F310" s="34"/>
      <c r="G310" s="44"/>
      <c r="H310" s="34"/>
      <c r="I310" s="54"/>
      <c r="J310" s="34"/>
      <c r="K310" s="54"/>
      <c r="L310" s="34"/>
      <c r="M310" s="44"/>
      <c r="N310" s="44"/>
      <c r="O310" s="34"/>
      <c r="P310" s="34"/>
      <c r="Q310" s="34"/>
      <c r="R310" s="34"/>
      <c r="U310" s="44"/>
      <c r="W310" s="95"/>
      <c r="X310" s="54"/>
      <c r="Y310" s="54"/>
      <c r="Z310" s="34"/>
      <c r="AA310" s="34"/>
      <c r="AB310" s="34"/>
      <c r="AC310" s="34"/>
      <c r="AD310" s="34"/>
      <c r="AE310" s="34"/>
      <c r="AF310" s="34"/>
      <c r="AG310" s="34"/>
      <c r="AH310" s="52"/>
      <c r="AI310" s="52"/>
      <c r="AK310" s="34"/>
      <c r="AL310" s="34"/>
      <c r="AM310" s="34"/>
      <c r="AN310" s="54"/>
      <c r="AO310" s="34"/>
      <c r="AP310" s="34"/>
      <c r="AQ310" s="54"/>
      <c r="AR310" s="54"/>
      <c r="AS310" s="54"/>
      <c r="AT310" s="54"/>
      <c r="AU310" s="34"/>
      <c r="AV310" s="34"/>
      <c r="AW310" s="34"/>
      <c r="AX310" s="34"/>
      <c r="AY310" s="34"/>
      <c r="AZ310" s="44"/>
      <c r="BA310" s="34"/>
      <c r="BB310" s="34"/>
    </row>
    <row r="311" spans="1:54" x14ac:dyDescent="0.35" ht="15.0" customHeight="true">
      <c r="A311" s="51"/>
      <c r="B311" s="34"/>
      <c r="C311" s="34"/>
      <c r="D311" s="34"/>
      <c r="E311" s="34"/>
      <c r="F311" s="34"/>
      <c r="G311" s="44"/>
      <c r="H311" s="34"/>
      <c r="I311" s="54"/>
      <c r="J311" s="34"/>
      <c r="K311" s="54"/>
      <c r="L311" s="34"/>
      <c r="M311" s="44"/>
      <c r="N311" s="44"/>
      <c r="O311" s="34"/>
      <c r="P311" s="34"/>
      <c r="Q311" s="34"/>
      <c r="R311" s="34"/>
      <c r="U311" s="44"/>
      <c r="W311" s="95"/>
      <c r="X311" s="54"/>
      <c r="Y311" s="54"/>
      <c r="Z311" s="34"/>
      <c r="AA311" s="34"/>
      <c r="AB311" s="34"/>
      <c r="AC311" s="34"/>
      <c r="AD311" s="34"/>
      <c r="AE311" s="34"/>
      <c r="AF311" s="34"/>
      <c r="AG311" s="34"/>
      <c r="AH311" s="52"/>
      <c r="AI311" s="52"/>
      <c r="AK311" s="34"/>
      <c r="AL311" s="34"/>
      <c r="AM311" s="34"/>
      <c r="AN311" s="54"/>
      <c r="AO311" s="34"/>
      <c r="AP311" s="34"/>
      <c r="AQ311" s="54"/>
      <c r="AR311" s="54"/>
      <c r="AS311" s="54"/>
      <c r="AT311" s="54"/>
      <c r="AU311" s="34"/>
      <c r="AV311" s="34"/>
      <c r="AW311" s="34"/>
      <c r="AX311" s="34"/>
      <c r="AY311" s="34"/>
      <c r="AZ311" s="44"/>
      <c r="BA311" s="34"/>
      <c r="BB311" s="34"/>
    </row>
    <row r="312" spans="1:54" x14ac:dyDescent="0.35" ht="15.0" customHeight="true">
      <c r="A312" s="51"/>
      <c r="B312" s="34"/>
      <c r="C312" s="34"/>
      <c r="D312" s="34"/>
      <c r="E312" s="34"/>
      <c r="F312" s="34"/>
      <c r="G312" s="44"/>
      <c r="H312" s="34"/>
      <c r="I312" s="54"/>
      <c r="J312" s="34"/>
      <c r="K312" s="54"/>
      <c r="L312" s="34"/>
      <c r="M312" s="44"/>
      <c r="N312" s="44"/>
      <c r="O312" s="34"/>
      <c r="P312" s="34"/>
      <c r="Q312" s="34"/>
      <c r="R312" s="34"/>
      <c r="U312" s="44"/>
      <c r="W312" s="95"/>
      <c r="X312" s="54"/>
      <c r="Y312" s="54"/>
      <c r="Z312" s="34"/>
      <c r="AA312" s="34"/>
      <c r="AB312" s="34"/>
      <c r="AC312" s="34"/>
      <c r="AD312" s="34"/>
      <c r="AE312" s="34"/>
      <c r="AF312" s="34"/>
      <c r="AG312" s="34"/>
      <c r="AH312" s="52"/>
      <c r="AI312" s="52"/>
      <c r="AK312" s="34"/>
      <c r="AL312" s="34"/>
      <c r="AM312" s="34"/>
      <c r="AN312" s="54"/>
      <c r="AO312" s="34"/>
      <c r="AP312" s="34"/>
      <c r="AQ312" s="54"/>
      <c r="AR312" s="54"/>
      <c r="AS312" s="54"/>
      <c r="AT312" s="54"/>
      <c r="AU312" s="34"/>
      <c r="AV312" s="34"/>
      <c r="AW312" s="34"/>
      <c r="AX312" s="34"/>
      <c r="AY312" s="34"/>
      <c r="AZ312" s="44"/>
      <c r="BA312" s="34"/>
      <c r="BB312" s="34"/>
    </row>
    <row r="313" spans="1:54" x14ac:dyDescent="0.35" ht="15.0" customHeight="true">
      <c r="A313" s="51"/>
      <c r="B313" s="34"/>
      <c r="C313" s="34"/>
      <c r="D313" s="34"/>
      <c r="E313" s="34"/>
      <c r="F313" s="34"/>
      <c r="G313" s="44"/>
      <c r="H313" s="34"/>
      <c r="I313" s="54"/>
      <c r="J313" s="34"/>
      <c r="K313" s="54"/>
      <c r="L313" s="34"/>
      <c r="M313" s="44"/>
      <c r="N313" s="44"/>
      <c r="O313" s="34"/>
      <c r="P313" s="34"/>
      <c r="Q313" s="34"/>
      <c r="R313" s="34"/>
      <c r="U313" s="44"/>
      <c r="W313" s="95"/>
      <c r="X313" s="54"/>
      <c r="Y313" s="54"/>
      <c r="Z313" s="34"/>
      <c r="AA313" s="34"/>
      <c r="AB313" s="34"/>
      <c r="AC313" s="34"/>
      <c r="AD313" s="34"/>
      <c r="AE313" s="34"/>
      <c r="AF313" s="34"/>
      <c r="AG313" s="34"/>
      <c r="AH313" s="52"/>
      <c r="AI313" s="52"/>
      <c r="AK313" s="34"/>
      <c r="AL313" s="34"/>
      <c r="AM313" s="34"/>
      <c r="AN313" s="54"/>
      <c r="AO313" s="34"/>
      <c r="AP313" s="34"/>
      <c r="AQ313" s="54"/>
      <c r="AR313" s="54"/>
      <c r="AS313" s="54"/>
      <c r="AT313" s="54"/>
      <c r="AU313" s="34"/>
      <c r="AV313" s="34"/>
      <c r="AW313" s="34"/>
      <c r="AX313" s="34"/>
      <c r="AY313" s="34"/>
      <c r="AZ313" s="44"/>
      <c r="BA313" s="34"/>
      <c r="BB313" s="34"/>
    </row>
    <row r="314" spans="1:54" x14ac:dyDescent="0.35" ht="15.0" customHeight="true">
      <c r="A314" s="51"/>
      <c r="B314" s="34"/>
      <c r="C314" s="34"/>
      <c r="D314" s="34"/>
      <c r="E314" s="34"/>
      <c r="F314" s="34"/>
      <c r="G314" s="44"/>
      <c r="H314" s="34"/>
      <c r="I314" s="54"/>
      <c r="J314" s="34"/>
      <c r="K314" s="54"/>
      <c r="L314" s="34"/>
      <c r="M314" s="44"/>
      <c r="N314" s="44"/>
      <c r="O314" s="34"/>
      <c r="P314" s="34"/>
      <c r="Q314" s="34"/>
      <c r="R314" s="34"/>
      <c r="U314" s="44"/>
      <c r="W314" s="95"/>
      <c r="X314" s="54"/>
      <c r="Y314" s="54"/>
      <c r="Z314" s="34"/>
      <c r="AA314" s="34"/>
      <c r="AB314" s="34"/>
      <c r="AC314" s="34"/>
      <c r="AD314" s="34"/>
      <c r="AE314" s="34"/>
      <c r="AF314" s="34"/>
      <c r="AG314" s="34"/>
      <c r="AH314" s="52"/>
      <c r="AI314" s="52"/>
      <c r="AK314" s="34"/>
      <c r="AL314" s="34"/>
      <c r="AM314" s="34"/>
      <c r="AN314" s="54"/>
      <c r="AO314" s="34"/>
      <c r="AP314" s="34"/>
      <c r="AQ314" s="54"/>
      <c r="AR314" s="54"/>
      <c r="AS314" s="54"/>
      <c r="AT314" s="54"/>
      <c r="AU314" s="34"/>
      <c r="AV314" s="34"/>
      <c r="AW314" s="34"/>
      <c r="AX314" s="34"/>
      <c r="AY314" s="34"/>
      <c r="AZ314" s="44"/>
      <c r="BA314" s="34"/>
      <c r="BB314" s="34"/>
    </row>
    <row r="315" spans="1:54" x14ac:dyDescent="0.35" ht="15.0" customHeight="true">
      <c r="A315" s="51"/>
      <c r="B315" s="34"/>
      <c r="C315" s="34"/>
      <c r="D315" s="34"/>
      <c r="E315" s="34"/>
      <c r="F315" s="34"/>
      <c r="G315" s="44"/>
      <c r="H315" s="34"/>
      <c r="I315" s="54"/>
      <c r="J315" s="34"/>
      <c r="K315" s="54"/>
      <c r="L315" s="34"/>
      <c r="M315" s="44"/>
      <c r="N315" s="44"/>
      <c r="O315" s="34"/>
      <c r="P315" s="34"/>
      <c r="Q315" s="34"/>
      <c r="R315" s="34"/>
      <c r="U315" s="44"/>
      <c r="W315" s="95"/>
      <c r="X315" s="54"/>
      <c r="Y315" s="54"/>
      <c r="Z315" s="34"/>
      <c r="AA315" s="34"/>
      <c r="AB315" s="34"/>
      <c r="AC315" s="34"/>
      <c r="AD315" s="34"/>
      <c r="AE315" s="34"/>
      <c r="AF315" s="34"/>
      <c r="AG315" s="34"/>
      <c r="AH315" s="52"/>
      <c r="AI315" s="52"/>
      <c r="AK315" s="34"/>
      <c r="AL315" s="34"/>
      <c r="AM315" s="34"/>
      <c r="AN315" s="54"/>
      <c r="AO315" s="34"/>
      <c r="AP315" s="34"/>
      <c r="AQ315" s="54"/>
      <c r="AR315" s="54"/>
      <c r="AS315" s="54"/>
      <c r="AT315" s="54"/>
      <c r="AU315" s="34"/>
      <c r="AV315" s="34"/>
      <c r="AW315" s="34"/>
      <c r="AX315" s="34"/>
      <c r="AY315" s="34"/>
      <c r="AZ315" s="44"/>
      <c r="BA315" s="34"/>
      <c r="BB315" s="34"/>
    </row>
    <row r="316" spans="1:54" x14ac:dyDescent="0.35" ht="15.0" customHeight="true">
      <c r="A316" s="51"/>
      <c r="B316" s="34"/>
      <c r="C316" s="34"/>
      <c r="D316" s="34"/>
      <c r="E316" s="34"/>
      <c r="F316" s="34"/>
      <c r="G316" s="44"/>
      <c r="H316" s="34"/>
      <c r="I316" s="54"/>
      <c r="J316" s="34"/>
      <c r="K316" s="54"/>
      <c r="L316" s="34"/>
      <c r="M316" s="44"/>
      <c r="N316" s="44"/>
      <c r="O316" s="34"/>
      <c r="P316" s="34"/>
      <c r="Q316" s="34"/>
      <c r="R316" s="34"/>
      <c r="U316" s="44"/>
      <c r="W316" s="95"/>
      <c r="X316" s="54"/>
      <c r="Y316" s="54"/>
      <c r="Z316" s="34"/>
      <c r="AA316" s="34"/>
      <c r="AB316" s="34"/>
      <c r="AC316" s="34"/>
      <c r="AD316" s="34"/>
      <c r="AE316" s="34"/>
      <c r="AF316" s="34"/>
      <c r="AG316" s="34"/>
      <c r="AH316" s="52"/>
      <c r="AI316" s="52"/>
      <c r="AK316" s="34"/>
      <c r="AL316" s="34"/>
      <c r="AM316" s="34"/>
      <c r="AN316" s="54"/>
      <c r="AO316" s="34"/>
      <c r="AP316" s="34"/>
      <c r="AQ316" s="54"/>
      <c r="AR316" s="54"/>
      <c r="AS316" s="54"/>
      <c r="AT316" s="54"/>
      <c r="AU316" s="34"/>
      <c r="AV316" s="34"/>
      <c r="AW316" s="34"/>
      <c r="AX316" s="34"/>
      <c r="AY316" s="34"/>
      <c r="AZ316" s="44"/>
      <c r="BA316" s="34"/>
      <c r="BB316" s="34"/>
    </row>
    <row r="317" spans="1:54" x14ac:dyDescent="0.35" ht="15.0" customHeight="true">
      <c r="A317" s="51"/>
      <c r="B317" s="34"/>
      <c r="C317" s="34"/>
      <c r="D317" s="34"/>
      <c r="E317" s="34"/>
      <c r="F317" s="34"/>
      <c r="G317" s="44"/>
      <c r="H317" s="34"/>
      <c r="I317" s="54"/>
      <c r="J317" s="34"/>
      <c r="K317" s="54"/>
      <c r="L317" s="34"/>
      <c r="M317" s="44"/>
      <c r="N317" s="44"/>
      <c r="O317" s="34"/>
      <c r="P317" s="34"/>
      <c r="Q317" s="34"/>
      <c r="R317" s="34"/>
      <c r="U317" s="44"/>
      <c r="W317" s="95"/>
      <c r="X317" s="54"/>
      <c r="Y317" s="54"/>
      <c r="Z317" s="34"/>
      <c r="AA317" s="34"/>
      <c r="AB317" s="34"/>
      <c r="AC317" s="34"/>
      <c r="AD317" s="34"/>
      <c r="AE317" s="34"/>
      <c r="AF317" s="34"/>
      <c r="AG317" s="34"/>
      <c r="AH317" s="52"/>
      <c r="AI317" s="52"/>
      <c r="AK317" s="34"/>
      <c r="AL317" s="34"/>
      <c r="AM317" s="34"/>
      <c r="AN317" s="54"/>
      <c r="AO317" s="34"/>
      <c r="AP317" s="34"/>
      <c r="AQ317" s="54"/>
      <c r="AR317" s="54"/>
      <c r="AS317" s="54"/>
      <c r="AT317" s="54"/>
      <c r="AU317" s="34"/>
      <c r="AV317" s="34"/>
      <c r="AW317" s="34"/>
      <c r="AX317" s="34"/>
      <c r="AY317" s="34"/>
      <c r="AZ317" s="44"/>
      <c r="BA317" s="34"/>
      <c r="BB317" s="34"/>
    </row>
    <row r="318" spans="1:54" x14ac:dyDescent="0.35" ht="15.0" customHeight="true">
      <c r="A318" s="51"/>
      <c r="B318" s="34"/>
      <c r="C318" s="34"/>
      <c r="D318" s="34"/>
      <c r="E318" s="34"/>
      <c r="F318" s="34"/>
      <c r="G318" s="44"/>
      <c r="H318" s="34"/>
      <c r="I318" s="54"/>
      <c r="J318" s="34"/>
      <c r="K318" s="54"/>
      <c r="L318" s="34"/>
      <c r="M318" s="44"/>
      <c r="N318" s="44"/>
      <c r="O318" s="34"/>
      <c r="P318" s="34"/>
      <c r="Q318" s="34"/>
      <c r="R318" s="34"/>
      <c r="U318" s="44"/>
      <c r="W318" s="95"/>
      <c r="X318" s="54"/>
      <c r="Y318" s="54"/>
      <c r="Z318" s="34"/>
      <c r="AA318" s="34"/>
      <c r="AB318" s="34"/>
      <c r="AC318" s="34"/>
      <c r="AD318" s="34"/>
      <c r="AE318" s="34"/>
      <c r="AF318" s="34"/>
      <c r="AG318" s="34"/>
      <c r="AH318" s="52"/>
      <c r="AI318" s="52"/>
      <c r="AK318" s="34"/>
      <c r="AL318" s="34"/>
      <c r="AM318" s="34"/>
      <c r="AN318" s="54"/>
      <c r="AO318" s="34"/>
      <c r="AP318" s="34"/>
      <c r="AQ318" s="54"/>
      <c r="AR318" s="54"/>
      <c r="AS318" s="54"/>
      <c r="AT318" s="54"/>
      <c r="AU318" s="34"/>
      <c r="AV318" s="34"/>
      <c r="AW318" s="34"/>
      <c r="AX318" s="34"/>
      <c r="AY318" s="34"/>
      <c r="AZ318" s="44"/>
      <c r="BA318" s="34"/>
      <c r="BB318" s="34"/>
    </row>
    <row r="319" spans="1:54" x14ac:dyDescent="0.35" ht="15.0" customHeight="true">
      <c r="A319" s="51"/>
      <c r="B319" s="34"/>
      <c r="C319" s="34"/>
      <c r="D319" s="34"/>
      <c r="E319" s="34"/>
      <c r="F319" s="34"/>
      <c r="G319" s="44"/>
      <c r="H319" s="34"/>
      <c r="I319" s="54"/>
      <c r="J319" s="34"/>
      <c r="K319" s="54"/>
      <c r="L319" s="34"/>
      <c r="M319" s="44"/>
      <c r="N319" s="44"/>
      <c r="O319" s="34"/>
      <c r="P319" s="34"/>
      <c r="Q319" s="34"/>
      <c r="R319" s="34"/>
      <c r="U319" s="44"/>
      <c r="W319" s="95"/>
      <c r="X319" s="54"/>
      <c r="Y319" s="54"/>
      <c r="Z319" s="34"/>
      <c r="AA319" s="34"/>
      <c r="AB319" s="34"/>
      <c r="AC319" s="34"/>
      <c r="AD319" s="34"/>
      <c r="AE319" s="34"/>
      <c r="AF319" s="34"/>
      <c r="AG319" s="34"/>
      <c r="AH319" s="52"/>
      <c r="AI319" s="52"/>
      <c r="AK319" s="34"/>
      <c r="AL319" s="34"/>
      <c r="AM319" s="34"/>
      <c r="AN319" s="54"/>
      <c r="AO319" s="34"/>
      <c r="AP319" s="34"/>
      <c r="AQ319" s="54"/>
      <c r="AR319" s="54"/>
      <c r="AS319" s="54"/>
      <c r="AT319" s="54"/>
      <c r="AU319" s="34"/>
      <c r="AV319" s="34"/>
      <c r="AW319" s="34"/>
      <c r="AX319" s="34"/>
      <c r="AY319" s="34"/>
      <c r="AZ319" s="44"/>
      <c r="BA319" s="34"/>
      <c r="BB319" s="34"/>
    </row>
    <row r="320" spans="1:54" x14ac:dyDescent="0.35" ht="15.0" customHeight="true">
      <c r="A320" s="51"/>
      <c r="B320" s="34"/>
      <c r="C320" s="34"/>
      <c r="D320" s="34"/>
      <c r="E320" s="34"/>
      <c r="F320" s="34"/>
      <c r="G320" s="44"/>
      <c r="H320" s="34"/>
      <c r="I320" s="54"/>
      <c r="J320" s="34"/>
      <c r="K320" s="54"/>
      <c r="L320" s="34"/>
      <c r="M320" s="44"/>
      <c r="N320" s="44"/>
      <c r="O320" s="34"/>
      <c r="P320" s="34"/>
      <c r="Q320" s="34"/>
      <c r="R320" s="34"/>
      <c r="U320" s="44"/>
      <c r="W320" s="95"/>
      <c r="X320" s="54"/>
      <c r="Y320" s="54"/>
      <c r="Z320" s="34"/>
      <c r="AA320" s="34"/>
      <c r="AB320" s="34"/>
      <c r="AC320" s="34"/>
      <c r="AD320" s="34"/>
      <c r="AE320" s="34"/>
      <c r="AF320" s="34"/>
      <c r="AG320" s="34"/>
      <c r="AH320" s="52"/>
      <c r="AI320" s="52"/>
      <c r="AK320" s="34"/>
      <c r="AL320" s="34"/>
      <c r="AM320" s="34"/>
      <c r="AN320" s="54"/>
      <c r="AO320" s="34"/>
      <c r="AP320" s="34"/>
      <c r="AQ320" s="54"/>
      <c r="AR320" s="54"/>
      <c r="AS320" s="54"/>
      <c r="AT320" s="54"/>
      <c r="AU320" s="34"/>
      <c r="AV320" s="34"/>
      <c r="AW320" s="34"/>
      <c r="AX320" s="34"/>
      <c r="AY320" s="34"/>
      <c r="AZ320" s="44"/>
      <c r="BA320" s="34"/>
      <c r="BB320" s="34"/>
    </row>
    <row r="321" spans="1:54" x14ac:dyDescent="0.35" ht="15.0" customHeight="true">
      <c r="A321" s="51"/>
      <c r="B321" s="34"/>
      <c r="C321" s="34"/>
      <c r="D321" s="34"/>
      <c r="E321" s="34"/>
      <c r="F321" s="34"/>
      <c r="G321" s="44"/>
      <c r="H321" s="34"/>
      <c r="I321" s="54"/>
      <c r="J321" s="34"/>
      <c r="K321" s="54"/>
      <c r="L321" s="34"/>
      <c r="M321" s="44"/>
      <c r="N321" s="44"/>
      <c r="O321" s="34"/>
      <c r="P321" s="34"/>
      <c r="Q321" s="34"/>
      <c r="R321" s="34"/>
      <c r="U321" s="44"/>
      <c r="W321" s="95"/>
      <c r="X321" s="54"/>
      <c r="Y321" s="54"/>
      <c r="Z321" s="34"/>
      <c r="AA321" s="34"/>
      <c r="AB321" s="34"/>
      <c r="AC321" s="34"/>
      <c r="AD321" s="34"/>
      <c r="AE321" s="34"/>
      <c r="AF321" s="34"/>
      <c r="AG321" s="34"/>
      <c r="AH321" s="52"/>
      <c r="AI321" s="52"/>
      <c r="AK321" s="34"/>
      <c r="AL321" s="34"/>
      <c r="AM321" s="34"/>
      <c r="AN321" s="54"/>
      <c r="AO321" s="34"/>
      <c r="AP321" s="34"/>
      <c r="AQ321" s="54"/>
      <c r="AR321" s="54"/>
      <c r="AS321" s="54"/>
      <c r="AT321" s="54"/>
      <c r="AU321" s="34"/>
      <c r="AV321" s="34"/>
      <c r="AW321" s="34"/>
      <c r="AX321" s="34"/>
      <c r="AY321" s="34"/>
      <c r="AZ321" s="44"/>
      <c r="BA321" s="34"/>
      <c r="BB321" s="34"/>
    </row>
    <row r="322" spans="1:54" x14ac:dyDescent="0.35" ht="15.0" customHeight="true">
      <c r="A322" s="51"/>
      <c r="B322" s="34"/>
      <c r="C322" s="34"/>
      <c r="D322" s="34"/>
      <c r="E322" s="34"/>
      <c r="F322" s="34"/>
      <c r="G322" s="44"/>
      <c r="H322" s="34"/>
      <c r="I322" s="54"/>
      <c r="J322" s="34"/>
      <c r="K322" s="54"/>
      <c r="L322" s="34"/>
      <c r="M322" s="44"/>
      <c r="N322" s="44"/>
      <c r="O322" s="34"/>
      <c r="P322" s="34"/>
      <c r="Q322" s="34"/>
      <c r="R322" s="34"/>
      <c r="U322" s="44"/>
      <c r="W322" s="95"/>
      <c r="X322" s="54"/>
      <c r="Y322" s="54"/>
      <c r="Z322" s="34"/>
      <c r="AA322" s="34"/>
      <c r="AB322" s="34"/>
      <c r="AC322" s="34"/>
      <c r="AD322" s="34"/>
      <c r="AE322" s="34"/>
      <c r="AF322" s="34"/>
      <c r="AG322" s="34"/>
      <c r="AH322" s="52"/>
      <c r="AI322" s="52"/>
      <c r="AK322" s="34"/>
      <c r="AL322" s="34"/>
      <c r="AM322" s="34"/>
      <c r="AN322" s="54"/>
      <c r="AO322" s="34"/>
      <c r="AP322" s="34"/>
      <c r="AQ322" s="54"/>
      <c r="AR322" s="54"/>
      <c r="AS322" s="54"/>
      <c r="AT322" s="54"/>
      <c r="AU322" s="34"/>
      <c r="AV322" s="34"/>
      <c r="AW322" s="34"/>
      <c r="AX322" s="34"/>
      <c r="AY322" s="34"/>
      <c r="AZ322" s="44"/>
      <c r="BA322" s="34"/>
      <c r="BB322" s="34"/>
    </row>
    <row r="323" spans="1:54" x14ac:dyDescent="0.35" ht="15.0" customHeight="true">
      <c r="A323" s="51"/>
      <c r="B323" s="34"/>
      <c r="C323" s="34"/>
      <c r="D323" s="34"/>
      <c r="E323" s="34"/>
      <c r="F323" s="34"/>
      <c r="G323" s="44"/>
      <c r="H323" s="34"/>
      <c r="I323" s="54"/>
      <c r="J323" s="34"/>
      <c r="K323" s="54"/>
      <c r="L323" s="34"/>
      <c r="M323" s="44"/>
      <c r="N323" s="44"/>
      <c r="O323" s="34"/>
      <c r="P323" s="34"/>
      <c r="Q323" s="34"/>
      <c r="R323" s="34"/>
      <c r="U323" s="44"/>
      <c r="W323" s="95"/>
      <c r="X323" s="54"/>
      <c r="Y323" s="54"/>
      <c r="Z323" s="34"/>
      <c r="AA323" s="34"/>
      <c r="AB323" s="34"/>
      <c r="AC323" s="34"/>
      <c r="AD323" s="34"/>
      <c r="AE323" s="34"/>
      <c r="AF323" s="34"/>
      <c r="AG323" s="34"/>
      <c r="AH323" s="52"/>
      <c r="AI323" s="52"/>
      <c r="AK323" s="34"/>
      <c r="AL323" s="34"/>
      <c r="AM323" s="34"/>
      <c r="AN323" s="54"/>
      <c r="AO323" s="34"/>
      <c r="AP323" s="34"/>
      <c r="AQ323" s="54"/>
      <c r="AR323" s="54"/>
      <c r="AS323" s="54"/>
      <c r="AT323" s="54"/>
      <c r="AU323" s="34"/>
      <c r="AV323" s="34"/>
      <c r="AW323" s="34"/>
      <c r="AX323" s="34"/>
      <c r="AY323" s="34"/>
      <c r="AZ323" s="44"/>
      <c r="BA323" s="34"/>
      <c r="BB323" s="34"/>
    </row>
    <row r="324" spans="1:54" x14ac:dyDescent="0.35" ht="15.0" customHeight="true">
      <c r="A324" s="51"/>
      <c r="B324" s="34"/>
      <c r="C324" s="34"/>
      <c r="D324" s="34"/>
      <c r="E324" s="34"/>
      <c r="F324" s="34"/>
      <c r="G324" s="44"/>
      <c r="H324" s="34"/>
      <c r="I324" s="54"/>
      <c r="J324" s="34"/>
      <c r="K324" s="54"/>
      <c r="L324" s="34"/>
      <c r="M324" s="44"/>
      <c r="N324" s="44"/>
      <c r="O324" s="34"/>
      <c r="P324" s="34"/>
      <c r="Q324" s="34"/>
      <c r="R324" s="34"/>
      <c r="U324" s="44"/>
      <c r="W324" s="95"/>
      <c r="X324" s="54"/>
      <c r="Y324" s="54"/>
      <c r="Z324" s="34"/>
      <c r="AA324" s="34"/>
      <c r="AB324" s="34"/>
      <c r="AC324" s="34"/>
      <c r="AD324" s="34"/>
      <c r="AE324" s="34"/>
      <c r="AF324" s="34"/>
      <c r="AG324" s="34"/>
      <c r="AH324" s="52"/>
      <c r="AI324" s="52"/>
      <c r="AK324" s="34"/>
      <c r="AL324" s="34"/>
      <c r="AM324" s="34"/>
      <c r="AN324" s="54"/>
      <c r="AO324" s="34"/>
      <c r="AP324" s="34"/>
      <c r="AQ324" s="54"/>
      <c r="AR324" s="54"/>
      <c r="AS324" s="54"/>
      <c r="AT324" s="54"/>
      <c r="AU324" s="34"/>
      <c r="AV324" s="34"/>
      <c r="AW324" s="34"/>
      <c r="AX324" s="34"/>
      <c r="AY324" s="34"/>
      <c r="AZ324" s="44"/>
      <c r="BA324" s="34"/>
      <c r="BB324" s="34"/>
    </row>
    <row r="325" spans="1:54" x14ac:dyDescent="0.35" ht="15.0" customHeight="true">
      <c r="A325" s="51"/>
      <c r="B325" s="34"/>
      <c r="C325" s="34"/>
      <c r="D325" s="34"/>
      <c r="E325" s="34"/>
      <c r="F325" s="34"/>
      <c r="G325" s="44"/>
      <c r="H325" s="34"/>
      <c r="I325" s="54"/>
      <c r="J325" s="34"/>
      <c r="K325" s="54"/>
      <c r="L325" s="34"/>
      <c r="M325" s="44"/>
      <c r="N325" s="44"/>
      <c r="O325" s="34"/>
      <c r="P325" s="34"/>
      <c r="Q325" s="34"/>
      <c r="R325" s="34"/>
      <c r="U325" s="44"/>
      <c r="W325" s="95"/>
      <c r="X325" s="54"/>
      <c r="Y325" s="54"/>
      <c r="Z325" s="34"/>
      <c r="AA325" s="34"/>
      <c r="AB325" s="34"/>
      <c r="AC325" s="34"/>
      <c r="AD325" s="34"/>
      <c r="AE325" s="34"/>
      <c r="AF325" s="34"/>
      <c r="AG325" s="34"/>
      <c r="AH325" s="52"/>
      <c r="AI325" s="52"/>
      <c r="AK325" s="34"/>
      <c r="AL325" s="34"/>
      <c r="AM325" s="34"/>
      <c r="AN325" s="54"/>
      <c r="AO325" s="34"/>
      <c r="AP325" s="34"/>
      <c r="AQ325" s="54"/>
      <c r="AR325" s="54"/>
      <c r="AS325" s="54"/>
      <c r="AT325" s="54"/>
      <c r="AU325" s="34"/>
      <c r="AV325" s="34"/>
      <c r="AW325" s="34"/>
      <c r="AX325" s="34"/>
      <c r="AY325" s="34"/>
      <c r="AZ325" s="44"/>
      <c r="BA325" s="34"/>
      <c r="BB325" s="34"/>
    </row>
    <row r="326" spans="1:54" x14ac:dyDescent="0.35" ht="15.0" customHeight="true">
      <c r="A326" s="51"/>
      <c r="B326" s="34"/>
      <c r="C326" s="34"/>
      <c r="D326" s="34"/>
      <c r="E326" s="34"/>
      <c r="F326" s="34"/>
      <c r="G326" s="44"/>
      <c r="H326" s="34"/>
      <c r="I326" s="54"/>
      <c r="J326" s="34"/>
      <c r="K326" s="54"/>
      <c r="L326" s="34"/>
      <c r="M326" s="44"/>
      <c r="N326" s="44"/>
      <c r="O326" s="34"/>
      <c r="P326" s="34"/>
      <c r="Q326" s="34"/>
      <c r="R326" s="34"/>
      <c r="U326" s="44"/>
      <c r="W326" s="95"/>
      <c r="X326" s="54"/>
      <c r="Y326" s="54"/>
      <c r="Z326" s="34"/>
      <c r="AA326" s="34"/>
      <c r="AB326" s="34"/>
      <c r="AC326" s="34"/>
      <c r="AD326" s="34"/>
      <c r="AE326" s="34"/>
      <c r="AF326" s="34"/>
      <c r="AG326" s="34"/>
      <c r="AH326" s="52"/>
      <c r="AI326" s="52"/>
      <c r="AK326" s="34"/>
      <c r="AL326" s="34"/>
      <c r="AM326" s="34"/>
      <c r="AN326" s="54"/>
      <c r="AO326" s="34"/>
      <c r="AP326" s="34"/>
      <c r="AQ326" s="54"/>
      <c r="AR326" s="54"/>
      <c r="AS326" s="54"/>
      <c r="AT326" s="54"/>
      <c r="AU326" s="34"/>
      <c r="AV326" s="34"/>
      <c r="AW326" s="34"/>
      <c r="AX326" s="34"/>
      <c r="AY326" s="34"/>
      <c r="AZ326" s="44"/>
      <c r="BA326" s="34"/>
      <c r="BB326" s="34"/>
    </row>
    <row r="327" spans="1:54" x14ac:dyDescent="0.35" ht="15.0" customHeight="true">
      <c r="A327" s="51"/>
      <c r="B327" s="34"/>
      <c r="C327" s="34"/>
      <c r="D327" s="34"/>
      <c r="E327" s="34"/>
      <c r="F327" s="34"/>
      <c r="G327" s="44"/>
      <c r="H327" s="34"/>
      <c r="I327" s="54"/>
      <c r="J327" s="34"/>
      <c r="K327" s="54"/>
      <c r="L327" s="34"/>
      <c r="M327" s="44"/>
      <c r="N327" s="44"/>
      <c r="O327" s="34"/>
      <c r="P327" s="34"/>
      <c r="Q327" s="34"/>
      <c r="R327" s="34"/>
      <c r="U327" s="44"/>
      <c r="W327" s="95"/>
      <c r="X327" s="54"/>
      <c r="Y327" s="54"/>
      <c r="Z327" s="34"/>
      <c r="AA327" s="34"/>
      <c r="AB327" s="34"/>
      <c r="AC327" s="34"/>
      <c r="AD327" s="34"/>
      <c r="AE327" s="34"/>
      <c r="AF327" s="34"/>
      <c r="AG327" s="34"/>
      <c r="AH327" s="52"/>
      <c r="AI327" s="52"/>
      <c r="AK327" s="34"/>
      <c r="AL327" s="34"/>
      <c r="AM327" s="34"/>
      <c r="AN327" s="54"/>
      <c r="AO327" s="34"/>
      <c r="AP327" s="34"/>
      <c r="AQ327" s="54"/>
      <c r="AR327" s="54"/>
      <c r="AS327" s="54"/>
      <c r="AT327" s="54"/>
      <c r="AU327" s="34"/>
      <c r="AV327" s="34"/>
      <c r="AW327" s="34"/>
      <c r="AX327" s="34"/>
      <c r="AY327" s="34"/>
      <c r="AZ327" s="44"/>
      <c r="BA327" s="34"/>
      <c r="BB327" s="34"/>
    </row>
    <row r="328" spans="1:54" x14ac:dyDescent="0.35" ht="15.0" customHeight="true">
      <c r="A328" s="51"/>
      <c r="B328" s="34"/>
      <c r="C328" s="34"/>
      <c r="D328" s="34"/>
      <c r="E328" s="34"/>
      <c r="F328" s="34"/>
      <c r="G328" s="44"/>
      <c r="H328" s="34"/>
      <c r="I328" s="54"/>
      <c r="J328" s="34"/>
      <c r="K328" s="54"/>
      <c r="L328" s="34"/>
      <c r="M328" s="44"/>
      <c r="N328" s="44"/>
      <c r="O328" s="34"/>
      <c r="P328" s="34"/>
      <c r="Q328" s="34"/>
      <c r="R328" s="34"/>
      <c r="U328" s="44"/>
      <c r="W328" s="95"/>
      <c r="X328" s="54"/>
      <c r="Y328" s="54"/>
      <c r="Z328" s="34"/>
      <c r="AA328" s="34"/>
      <c r="AB328" s="34"/>
      <c r="AC328" s="34"/>
      <c r="AD328" s="34"/>
      <c r="AE328" s="34"/>
      <c r="AF328" s="34"/>
      <c r="AG328" s="34"/>
      <c r="AH328" s="52"/>
      <c r="AI328" s="52"/>
      <c r="AK328" s="34"/>
      <c r="AL328" s="34"/>
      <c r="AM328" s="34"/>
      <c r="AN328" s="54"/>
      <c r="AO328" s="34"/>
      <c r="AP328" s="34"/>
      <c r="AQ328" s="54"/>
      <c r="AR328" s="54"/>
      <c r="AS328" s="54"/>
      <c r="AT328" s="54"/>
      <c r="AU328" s="34"/>
      <c r="AV328" s="34"/>
      <c r="AW328" s="34"/>
      <c r="AX328" s="34"/>
      <c r="AY328" s="34"/>
      <c r="AZ328" s="44"/>
      <c r="BA328" s="34"/>
      <c r="BB328" s="34"/>
    </row>
    <row r="329" spans="1:54" x14ac:dyDescent="0.35" ht="15.0" customHeight="true">
      <c r="A329" s="51"/>
      <c r="B329" s="34"/>
      <c r="C329" s="34"/>
      <c r="D329" s="34"/>
      <c r="E329" s="34"/>
      <c r="F329" s="34"/>
      <c r="G329" s="44"/>
      <c r="H329" s="34"/>
      <c r="I329" s="54"/>
      <c r="J329" s="34"/>
      <c r="K329" s="54"/>
      <c r="L329" s="34"/>
      <c r="M329" s="44"/>
      <c r="N329" s="44"/>
      <c r="O329" s="34"/>
      <c r="P329" s="34"/>
      <c r="Q329" s="34"/>
      <c r="R329" s="34"/>
      <c r="U329" s="44"/>
      <c r="W329" s="95"/>
      <c r="X329" s="54"/>
      <c r="Y329" s="54"/>
      <c r="Z329" s="34"/>
      <c r="AA329" s="34"/>
      <c r="AB329" s="34"/>
      <c r="AC329" s="34"/>
      <c r="AD329" s="34"/>
      <c r="AE329" s="34"/>
      <c r="AF329" s="34"/>
      <c r="AG329" s="34"/>
      <c r="AH329" s="52"/>
      <c r="AI329" s="52"/>
      <c r="AK329" s="34"/>
      <c r="AL329" s="34"/>
      <c r="AM329" s="34"/>
      <c r="AN329" s="54"/>
      <c r="AO329" s="34"/>
      <c r="AP329" s="34"/>
      <c r="AQ329" s="54"/>
      <c r="AR329" s="54"/>
      <c r="AS329" s="54"/>
      <c r="AT329" s="54"/>
      <c r="AU329" s="34"/>
      <c r="AV329" s="34"/>
      <c r="AW329" s="34"/>
      <c r="AX329" s="34"/>
      <c r="AY329" s="34"/>
      <c r="AZ329" s="44"/>
      <c r="BA329" s="34"/>
      <c r="BB329" s="34"/>
    </row>
    <row r="330" spans="1:54" x14ac:dyDescent="0.35" ht="15.0" customHeight="true">
      <c r="A330" s="51"/>
      <c r="B330" s="34"/>
      <c r="C330" s="34"/>
      <c r="D330" s="34"/>
      <c r="E330" s="34"/>
      <c r="F330" s="34"/>
      <c r="G330" s="44"/>
      <c r="H330" s="34"/>
      <c r="I330" s="54"/>
      <c r="J330" s="34"/>
      <c r="K330" s="54"/>
      <c r="L330" s="34"/>
      <c r="M330" s="44"/>
      <c r="N330" s="44"/>
      <c r="O330" s="34"/>
      <c r="P330" s="34"/>
      <c r="Q330" s="34"/>
      <c r="R330" s="34"/>
      <c r="U330" s="44"/>
      <c r="W330" s="95"/>
      <c r="X330" s="54"/>
      <c r="Y330" s="54"/>
      <c r="Z330" s="34"/>
      <c r="AA330" s="34"/>
      <c r="AB330" s="34"/>
      <c r="AC330" s="34"/>
      <c r="AD330" s="34"/>
      <c r="AE330" s="34"/>
      <c r="AF330" s="34"/>
      <c r="AG330" s="34"/>
      <c r="AH330" s="52"/>
      <c r="AI330" s="52"/>
      <c r="AK330" s="34"/>
      <c r="AL330" s="34"/>
      <c r="AM330" s="34"/>
      <c r="AN330" s="54"/>
      <c r="AO330" s="34"/>
      <c r="AP330" s="34"/>
      <c r="AQ330" s="54"/>
      <c r="AR330" s="54"/>
      <c r="AS330" s="54"/>
      <c r="AT330" s="54"/>
      <c r="AU330" s="34"/>
      <c r="AV330" s="34"/>
      <c r="AW330" s="34"/>
      <c r="AX330" s="34"/>
      <c r="AY330" s="34"/>
      <c r="AZ330" s="44"/>
      <c r="BA330" s="34"/>
      <c r="BB330" s="34"/>
    </row>
    <row r="331" spans="1:54" x14ac:dyDescent="0.35" ht="15.0" customHeight="true">
      <c r="A331" s="51"/>
      <c r="B331" s="34"/>
      <c r="C331" s="34"/>
      <c r="D331" s="34"/>
      <c r="E331" s="34"/>
      <c r="F331" s="34"/>
      <c r="G331" s="44"/>
      <c r="H331" s="34"/>
      <c r="I331" s="54"/>
      <c r="J331" s="34"/>
      <c r="K331" s="54"/>
      <c r="L331" s="34"/>
      <c r="M331" s="44"/>
      <c r="N331" s="44"/>
      <c r="O331" s="34"/>
      <c r="P331" s="34"/>
      <c r="Q331" s="34"/>
      <c r="R331" s="34"/>
      <c r="U331" s="44"/>
      <c r="W331" s="95"/>
      <c r="X331" s="54"/>
      <c r="Y331" s="54"/>
      <c r="Z331" s="34"/>
      <c r="AA331" s="34"/>
      <c r="AB331" s="34"/>
      <c r="AC331" s="34"/>
      <c r="AD331" s="34"/>
      <c r="AE331" s="34"/>
      <c r="AF331" s="34"/>
      <c r="AG331" s="34"/>
      <c r="AH331" s="52"/>
      <c r="AI331" s="52"/>
      <c r="AK331" s="34"/>
      <c r="AL331" s="34"/>
      <c r="AM331" s="34"/>
      <c r="AN331" s="54"/>
      <c r="AO331" s="34"/>
      <c r="AP331" s="34"/>
      <c r="AQ331" s="54"/>
      <c r="AR331" s="54"/>
      <c r="AS331" s="54"/>
      <c r="AT331" s="54"/>
      <c r="AU331" s="34"/>
      <c r="AV331" s="34"/>
      <c r="AW331" s="34"/>
      <c r="AX331" s="34"/>
      <c r="AY331" s="34"/>
      <c r="AZ331" s="44"/>
      <c r="BA331" s="34"/>
      <c r="BB331" s="34"/>
    </row>
    <row r="332" spans="1:54" x14ac:dyDescent="0.35" ht="15.0" customHeight="true">
      <c r="A332" s="51"/>
      <c r="B332" s="34"/>
      <c r="C332" s="34"/>
      <c r="D332" s="34"/>
      <c r="E332" s="34"/>
      <c r="F332" s="34"/>
      <c r="G332" s="44"/>
      <c r="H332" s="34"/>
      <c r="I332" s="54"/>
      <c r="J332" s="34"/>
      <c r="K332" s="54"/>
      <c r="L332" s="34"/>
      <c r="M332" s="44"/>
      <c r="N332" s="44"/>
      <c r="O332" s="34"/>
      <c r="P332" s="34"/>
      <c r="Q332" s="34"/>
      <c r="R332" s="34"/>
      <c r="U332" s="44"/>
      <c r="W332" s="95"/>
      <c r="X332" s="54"/>
      <c r="Y332" s="54"/>
      <c r="Z332" s="34"/>
      <c r="AA332" s="34"/>
      <c r="AB332" s="34"/>
      <c r="AC332" s="34"/>
      <c r="AD332" s="34"/>
      <c r="AE332" s="34"/>
      <c r="AF332" s="34"/>
      <c r="AG332" s="34"/>
      <c r="AH332" s="52"/>
      <c r="AI332" s="52"/>
      <c r="AK332" s="34"/>
      <c r="AL332" s="34"/>
      <c r="AM332" s="34"/>
      <c r="AN332" s="54"/>
      <c r="AO332" s="34"/>
      <c r="AP332" s="34"/>
      <c r="AQ332" s="54"/>
      <c r="AR332" s="54"/>
      <c r="AS332" s="54"/>
      <c r="AT332" s="54"/>
      <c r="AU332" s="34"/>
      <c r="AV332" s="34"/>
      <c r="AW332" s="34"/>
      <c r="AX332" s="34"/>
      <c r="AY332" s="34"/>
      <c r="AZ332" s="44"/>
      <c r="BA332" s="34"/>
      <c r="BB332" s="34"/>
    </row>
    <row r="333" spans="1:54" x14ac:dyDescent="0.35" ht="15.0" customHeight="true">
      <c r="A333" s="51"/>
      <c r="B333" s="34"/>
      <c r="C333" s="34"/>
      <c r="D333" s="34"/>
      <c r="E333" s="34"/>
      <c r="F333" s="34"/>
      <c r="G333" s="44"/>
      <c r="H333" s="34"/>
      <c r="I333" s="54"/>
      <c r="J333" s="34"/>
      <c r="K333" s="54"/>
      <c r="L333" s="34"/>
      <c r="M333" s="44"/>
      <c r="N333" s="44"/>
      <c r="O333" s="34"/>
      <c r="P333" s="34"/>
      <c r="Q333" s="34"/>
      <c r="R333" s="34"/>
      <c r="U333" s="44"/>
      <c r="W333" s="95"/>
      <c r="X333" s="54"/>
      <c r="Y333" s="54"/>
      <c r="Z333" s="34"/>
      <c r="AA333" s="34"/>
      <c r="AB333" s="34"/>
      <c r="AC333" s="34"/>
      <c r="AD333" s="34"/>
      <c r="AE333" s="34"/>
      <c r="AF333" s="34"/>
      <c r="AG333" s="34"/>
      <c r="AH333" s="52"/>
      <c r="AI333" s="52"/>
      <c r="AK333" s="34"/>
      <c r="AL333" s="34"/>
      <c r="AM333" s="34"/>
      <c r="AN333" s="54"/>
      <c r="AO333" s="34"/>
      <c r="AP333" s="34"/>
      <c r="AQ333" s="54"/>
      <c r="AR333" s="54"/>
      <c r="AS333" s="54"/>
      <c r="AT333" s="54"/>
      <c r="AU333" s="34"/>
      <c r="AV333" s="34"/>
      <c r="AW333" s="34"/>
      <c r="AX333" s="34"/>
      <c r="AY333" s="34"/>
      <c r="AZ333" s="44"/>
      <c r="BA333" s="34"/>
      <c r="BB333" s="34"/>
    </row>
    <row r="334" spans="1:54" x14ac:dyDescent="0.35" ht="15.0" customHeight="true">
      <c r="A334" s="51"/>
      <c r="B334" s="34"/>
      <c r="C334" s="34"/>
      <c r="D334" s="34"/>
      <c r="E334" s="34"/>
      <c r="F334" s="34"/>
      <c r="G334" s="44"/>
      <c r="H334" s="34"/>
      <c r="I334" s="54"/>
      <c r="J334" s="34"/>
      <c r="K334" s="54"/>
      <c r="L334" s="34"/>
      <c r="M334" s="44"/>
      <c r="N334" s="44"/>
      <c r="O334" s="34"/>
      <c r="P334" s="34"/>
      <c r="Q334" s="34"/>
      <c r="R334" s="34"/>
      <c r="U334" s="44"/>
      <c r="W334" s="95"/>
      <c r="X334" s="54"/>
      <c r="Y334" s="54"/>
      <c r="Z334" s="34"/>
      <c r="AA334" s="34"/>
      <c r="AB334" s="34"/>
      <c r="AC334" s="34"/>
      <c r="AD334" s="34"/>
      <c r="AE334" s="34"/>
      <c r="AF334" s="34"/>
      <c r="AG334" s="34"/>
      <c r="AH334" s="52"/>
      <c r="AI334" s="52"/>
      <c r="AK334" s="34"/>
      <c r="AL334" s="34"/>
      <c r="AM334" s="34"/>
      <c r="AN334" s="54"/>
      <c r="AO334" s="34"/>
      <c r="AP334" s="34"/>
      <c r="AQ334" s="54"/>
      <c r="AR334" s="54"/>
      <c r="AS334" s="54"/>
      <c r="AT334" s="54"/>
      <c r="AU334" s="34"/>
      <c r="AV334" s="34"/>
      <c r="AW334" s="34"/>
      <c r="AX334" s="34"/>
      <c r="AY334" s="34"/>
      <c r="AZ334" s="44"/>
      <c r="BA334" s="34"/>
      <c r="BB334" s="34"/>
    </row>
    <row r="335" spans="1:54" x14ac:dyDescent="0.35" ht="15.0" customHeight="true">
      <c r="A335" s="51"/>
      <c r="B335" s="34"/>
      <c r="C335" s="34"/>
      <c r="D335" s="34"/>
      <c r="E335" s="34"/>
      <c r="F335" s="34"/>
      <c r="G335" s="44"/>
      <c r="H335" s="34"/>
      <c r="I335" s="54"/>
      <c r="J335" s="34"/>
      <c r="K335" s="54"/>
      <c r="L335" s="34"/>
      <c r="M335" s="44"/>
      <c r="N335" s="44"/>
      <c r="O335" s="34"/>
      <c r="P335" s="34"/>
      <c r="Q335" s="34"/>
      <c r="R335" s="34"/>
      <c r="U335" s="44"/>
      <c r="W335" s="95"/>
      <c r="X335" s="54"/>
      <c r="Y335" s="54"/>
      <c r="Z335" s="34"/>
      <c r="AA335" s="34"/>
      <c r="AB335" s="34"/>
      <c r="AC335" s="34"/>
      <c r="AD335" s="34"/>
      <c r="AE335" s="34"/>
      <c r="AF335" s="34"/>
      <c r="AG335" s="34"/>
      <c r="AH335" s="52"/>
      <c r="AI335" s="52"/>
      <c r="AK335" s="34"/>
      <c r="AL335" s="34"/>
      <c r="AM335" s="34"/>
      <c r="AN335" s="54"/>
      <c r="AO335" s="34"/>
      <c r="AP335" s="34"/>
      <c r="AQ335" s="54"/>
      <c r="AR335" s="54"/>
      <c r="AS335" s="54"/>
      <c r="AT335" s="54"/>
      <c r="AU335" s="34"/>
      <c r="AV335" s="34"/>
      <c r="AW335" s="34"/>
      <c r="AX335" s="34"/>
      <c r="AY335" s="34"/>
      <c r="AZ335" s="44"/>
      <c r="BA335" s="34"/>
      <c r="BB335" s="34"/>
    </row>
    <row r="336" spans="1:54" x14ac:dyDescent="0.35" ht="15.0" customHeight="true">
      <c r="A336" s="51"/>
      <c r="B336" s="34"/>
      <c r="C336" s="34"/>
      <c r="D336" s="34"/>
      <c r="E336" s="34"/>
      <c r="F336" s="34"/>
      <c r="G336" s="44"/>
      <c r="H336" s="34"/>
      <c r="I336" s="54"/>
      <c r="J336" s="34"/>
      <c r="K336" s="54"/>
      <c r="L336" s="34"/>
      <c r="M336" s="44"/>
      <c r="N336" s="44"/>
      <c r="O336" s="34"/>
      <c r="P336" s="34"/>
      <c r="Q336" s="34"/>
      <c r="R336" s="34"/>
      <c r="U336" s="44"/>
      <c r="W336" s="95"/>
      <c r="X336" s="54"/>
      <c r="Y336" s="54"/>
      <c r="Z336" s="34"/>
      <c r="AA336" s="34"/>
      <c r="AB336" s="34"/>
      <c r="AC336" s="34"/>
      <c r="AD336" s="34"/>
      <c r="AE336" s="34"/>
      <c r="AF336" s="34"/>
      <c r="AG336" s="34"/>
      <c r="AH336" s="52"/>
      <c r="AI336" s="52"/>
      <c r="AK336" s="34"/>
      <c r="AL336" s="34"/>
      <c r="AM336" s="34"/>
      <c r="AN336" s="54"/>
      <c r="AO336" s="34"/>
      <c r="AP336" s="34"/>
      <c r="AQ336" s="54"/>
      <c r="AR336" s="54"/>
      <c r="AS336" s="54"/>
      <c r="AT336" s="54"/>
      <c r="AU336" s="34"/>
      <c r="AV336" s="34"/>
      <c r="AW336" s="34"/>
      <c r="AX336" s="34"/>
      <c r="AY336" s="34"/>
      <c r="AZ336" s="44"/>
      <c r="BA336" s="34"/>
      <c r="BB336" s="34"/>
    </row>
    <row r="337" spans="1:54" x14ac:dyDescent="0.35" ht="15.0" customHeight="true">
      <c r="A337" s="51"/>
      <c r="B337" s="34"/>
      <c r="C337" s="34"/>
      <c r="D337" s="34"/>
      <c r="E337" s="34"/>
      <c r="F337" s="34"/>
      <c r="G337" s="44"/>
      <c r="H337" s="34"/>
      <c r="I337" s="54"/>
      <c r="J337" s="34"/>
      <c r="K337" s="54"/>
      <c r="L337" s="34"/>
      <c r="M337" s="44"/>
      <c r="N337" s="44"/>
      <c r="O337" s="34"/>
      <c r="P337" s="34"/>
      <c r="Q337" s="34"/>
      <c r="R337" s="34"/>
      <c r="U337" s="44"/>
      <c r="W337" s="95"/>
      <c r="X337" s="54"/>
      <c r="Y337" s="54"/>
      <c r="Z337" s="34"/>
      <c r="AA337" s="34"/>
      <c r="AB337" s="34"/>
      <c r="AC337" s="34"/>
      <c r="AD337" s="34"/>
      <c r="AE337" s="34"/>
      <c r="AF337" s="34"/>
      <c r="AG337" s="34"/>
      <c r="AH337" s="52"/>
      <c r="AI337" s="52"/>
      <c r="AK337" s="34"/>
      <c r="AL337" s="34"/>
      <c r="AM337" s="34"/>
      <c r="AN337" s="54"/>
      <c r="AO337" s="34"/>
      <c r="AP337" s="34"/>
      <c r="AQ337" s="54"/>
      <c r="AR337" s="54"/>
      <c r="AS337" s="54"/>
      <c r="AT337" s="54"/>
      <c r="AU337" s="34"/>
      <c r="AV337" s="34"/>
      <c r="AW337" s="34"/>
      <c r="AX337" s="34"/>
      <c r="AY337" s="34"/>
      <c r="AZ337" s="44"/>
      <c r="BA337" s="34"/>
      <c r="BB337" s="34"/>
    </row>
    <row r="338" spans="1:54" x14ac:dyDescent="0.35" ht="15.0" customHeight="true">
      <c r="A338" s="51"/>
      <c r="B338" s="34"/>
      <c r="C338" s="34"/>
      <c r="D338" s="34"/>
      <c r="E338" s="34"/>
      <c r="F338" s="34"/>
      <c r="G338" s="44"/>
      <c r="H338" s="34"/>
      <c r="I338" s="54"/>
      <c r="J338" s="34"/>
      <c r="K338" s="54"/>
      <c r="L338" s="34"/>
      <c r="M338" s="44"/>
      <c r="N338" s="44"/>
      <c r="O338" s="34"/>
      <c r="P338" s="34"/>
      <c r="Q338" s="34"/>
      <c r="R338" s="34"/>
      <c r="U338" s="44"/>
      <c r="W338" s="95"/>
      <c r="X338" s="54"/>
      <c r="Y338" s="54"/>
      <c r="Z338" s="34"/>
      <c r="AA338" s="34"/>
      <c r="AB338" s="34"/>
      <c r="AC338" s="34"/>
      <c r="AD338" s="34"/>
      <c r="AE338" s="34"/>
      <c r="AF338" s="34"/>
      <c r="AG338" s="34"/>
      <c r="AH338" s="52"/>
      <c r="AI338" s="52"/>
      <c r="AK338" s="34"/>
      <c r="AL338" s="34"/>
      <c r="AM338" s="34"/>
      <c r="AN338" s="54"/>
      <c r="AO338" s="34"/>
      <c r="AP338" s="34"/>
      <c r="AQ338" s="54"/>
      <c r="AR338" s="54"/>
      <c r="AS338" s="54"/>
      <c r="AT338" s="54"/>
      <c r="AU338" s="34"/>
      <c r="AV338" s="34"/>
      <c r="AW338" s="34"/>
      <c r="AX338" s="34"/>
      <c r="AY338" s="34"/>
      <c r="AZ338" s="44"/>
      <c r="BA338" s="34"/>
      <c r="BB338" s="34"/>
    </row>
    <row r="339" spans="1:54" x14ac:dyDescent="0.35" ht="15.0" customHeight="true">
      <c r="A339" s="51"/>
      <c r="B339" s="34"/>
      <c r="C339" s="34"/>
      <c r="D339" s="34"/>
      <c r="E339" s="34"/>
      <c r="F339" s="34"/>
      <c r="G339" s="44"/>
      <c r="H339" s="34"/>
      <c r="I339" s="54"/>
      <c r="J339" s="34"/>
      <c r="K339" s="54"/>
      <c r="L339" s="34"/>
      <c r="M339" s="44"/>
      <c r="N339" s="44"/>
      <c r="O339" s="34"/>
      <c r="P339" s="34"/>
      <c r="Q339" s="34"/>
      <c r="R339" s="34"/>
      <c r="U339" s="44"/>
      <c r="W339" s="95"/>
      <c r="X339" s="54"/>
      <c r="Y339" s="54"/>
      <c r="Z339" s="34"/>
      <c r="AA339" s="34"/>
      <c r="AB339" s="34"/>
      <c r="AC339" s="34"/>
      <c r="AD339" s="34"/>
      <c r="AE339" s="34"/>
      <c r="AF339" s="34"/>
      <c r="AG339" s="34"/>
      <c r="AH339" s="52"/>
      <c r="AI339" s="52"/>
      <c r="AK339" s="34"/>
      <c r="AL339" s="34"/>
      <c r="AM339" s="34"/>
      <c r="AN339" s="54"/>
      <c r="AO339" s="34"/>
      <c r="AP339" s="34"/>
      <c r="AQ339" s="54"/>
      <c r="AR339" s="54"/>
      <c r="AS339" s="54"/>
      <c r="AT339" s="54"/>
      <c r="AU339" s="34"/>
      <c r="AV339" s="34"/>
      <c r="AW339" s="34"/>
      <c r="AX339" s="34"/>
      <c r="AY339" s="34"/>
      <c r="AZ339" s="44"/>
      <c r="BA339" s="34"/>
      <c r="BB339" s="34"/>
    </row>
    <row r="340" spans="1:54" x14ac:dyDescent="0.35" ht="15.0" customHeight="true">
      <c r="A340" s="51"/>
      <c r="B340" s="34"/>
      <c r="C340" s="34"/>
      <c r="D340" s="34"/>
      <c r="E340" s="34"/>
      <c r="F340" s="34"/>
      <c r="G340" s="44"/>
      <c r="H340" s="34"/>
      <c r="I340" s="54"/>
      <c r="J340" s="34"/>
      <c r="K340" s="54"/>
      <c r="L340" s="34"/>
      <c r="M340" s="44"/>
      <c r="N340" s="44"/>
      <c r="O340" s="34"/>
      <c r="P340" s="34"/>
      <c r="Q340" s="34"/>
      <c r="R340" s="34"/>
      <c r="U340" s="44"/>
      <c r="W340" s="95"/>
      <c r="X340" s="54"/>
      <c r="Y340" s="54"/>
      <c r="Z340" s="34"/>
      <c r="AA340" s="34"/>
      <c r="AB340" s="34"/>
      <c r="AC340" s="34"/>
      <c r="AD340" s="34"/>
      <c r="AE340" s="34"/>
      <c r="AF340" s="34"/>
      <c r="AG340" s="34"/>
      <c r="AH340" s="52"/>
      <c r="AI340" s="52"/>
      <c r="AK340" s="34"/>
      <c r="AL340" s="34"/>
      <c r="AM340" s="34"/>
      <c r="AN340" s="54"/>
      <c r="AO340" s="34"/>
      <c r="AP340" s="34"/>
      <c r="AQ340" s="54"/>
      <c r="AR340" s="54"/>
      <c r="AS340" s="54"/>
      <c r="AT340" s="54"/>
      <c r="AU340" s="34"/>
      <c r="AV340" s="34"/>
      <c r="AW340" s="34"/>
      <c r="AX340" s="34"/>
      <c r="AY340" s="34"/>
      <c r="AZ340" s="44"/>
      <c r="BA340" s="34"/>
      <c r="BB340" s="34"/>
    </row>
    <row r="341" spans="1:54" x14ac:dyDescent="0.35" ht="15.0" customHeight="true">
      <c r="A341" s="51"/>
      <c r="B341" s="34"/>
      <c r="C341" s="34"/>
      <c r="D341" s="34"/>
      <c r="E341" s="34"/>
      <c r="F341" s="34"/>
      <c r="G341" s="44"/>
      <c r="H341" s="34"/>
      <c r="I341" s="54"/>
      <c r="J341" s="34"/>
      <c r="K341" s="54"/>
      <c r="L341" s="34"/>
      <c r="M341" s="44"/>
      <c r="N341" s="44"/>
      <c r="O341" s="34"/>
      <c r="P341" s="34"/>
      <c r="Q341" s="34"/>
      <c r="R341" s="34"/>
      <c r="U341" s="44"/>
      <c r="W341" s="95"/>
      <c r="X341" s="54"/>
      <c r="Y341" s="54"/>
      <c r="Z341" s="34"/>
      <c r="AA341" s="34"/>
      <c r="AB341" s="34"/>
      <c r="AC341" s="34"/>
      <c r="AD341" s="34"/>
      <c r="AE341" s="34"/>
      <c r="AF341" s="34"/>
      <c r="AG341" s="34"/>
      <c r="AH341" s="52"/>
      <c r="AI341" s="52"/>
      <c r="AK341" s="34"/>
      <c r="AL341" s="34"/>
      <c r="AM341" s="34"/>
      <c r="AN341" s="54"/>
      <c r="AO341" s="34"/>
      <c r="AP341" s="34"/>
      <c r="AQ341" s="54"/>
      <c r="AR341" s="54"/>
      <c r="AS341" s="54"/>
      <c r="AT341" s="54"/>
      <c r="AU341" s="34"/>
      <c r="AV341" s="34"/>
      <c r="AW341" s="34"/>
      <c r="AX341" s="34"/>
      <c r="AY341" s="34"/>
      <c r="AZ341" s="44"/>
      <c r="BA341" s="34"/>
      <c r="BB341" s="34"/>
    </row>
    <row r="342" spans="1:54" x14ac:dyDescent="0.35" ht="15.0" customHeight="true">
      <c r="A342" s="51"/>
      <c r="B342" s="34"/>
      <c r="C342" s="34"/>
      <c r="D342" s="34"/>
      <c r="E342" s="34"/>
      <c r="F342" s="34"/>
      <c r="G342" s="44"/>
      <c r="H342" s="34"/>
      <c r="I342" s="54"/>
      <c r="J342" s="34"/>
      <c r="K342" s="54"/>
      <c r="L342" s="34"/>
      <c r="M342" s="44"/>
      <c r="N342" s="44"/>
      <c r="O342" s="34"/>
      <c r="P342" s="34"/>
      <c r="Q342" s="34"/>
      <c r="R342" s="34"/>
      <c r="U342" s="44"/>
      <c r="W342" s="95"/>
      <c r="X342" s="54"/>
      <c r="Y342" s="54"/>
      <c r="Z342" s="34"/>
      <c r="AA342" s="34"/>
      <c r="AB342" s="34"/>
      <c r="AC342" s="34"/>
      <c r="AD342" s="34"/>
      <c r="AE342" s="34"/>
      <c r="AF342" s="34"/>
      <c r="AG342" s="34"/>
      <c r="AH342" s="52"/>
      <c r="AI342" s="52"/>
      <c r="AK342" s="34"/>
      <c r="AL342" s="34"/>
      <c r="AM342" s="34"/>
      <c r="AN342" s="54"/>
      <c r="AO342" s="34"/>
      <c r="AP342" s="34"/>
      <c r="AQ342" s="54"/>
      <c r="AR342" s="54"/>
      <c r="AS342" s="54"/>
      <c r="AT342" s="54"/>
      <c r="AU342" s="34"/>
      <c r="AV342" s="34"/>
      <c r="AW342" s="34"/>
      <c r="AX342" s="34"/>
      <c r="AY342" s="34"/>
      <c r="AZ342" s="44"/>
      <c r="BA342" s="34"/>
      <c r="BB342" s="34"/>
    </row>
    <row r="343" spans="1:54" x14ac:dyDescent="0.35" ht="15.0" customHeight="true">
      <c r="A343" s="51"/>
      <c r="B343" s="34"/>
      <c r="C343" s="34"/>
      <c r="D343" s="34"/>
      <c r="E343" s="34"/>
      <c r="F343" s="34"/>
      <c r="G343" s="44"/>
      <c r="H343" s="34"/>
      <c r="I343" s="54"/>
      <c r="J343" s="34"/>
      <c r="K343" s="54"/>
      <c r="L343" s="34"/>
      <c r="M343" s="44"/>
      <c r="N343" s="44"/>
      <c r="O343" s="34"/>
      <c r="P343" s="34"/>
      <c r="Q343" s="34"/>
      <c r="R343" s="34"/>
      <c r="U343" s="44"/>
      <c r="W343" s="95"/>
      <c r="X343" s="54"/>
      <c r="Y343" s="54"/>
      <c r="Z343" s="34"/>
      <c r="AA343" s="34"/>
      <c r="AB343" s="34"/>
      <c r="AC343" s="34"/>
      <c r="AD343" s="34"/>
      <c r="AE343" s="34"/>
      <c r="AF343" s="34"/>
      <c r="AG343" s="34"/>
      <c r="AH343" s="52"/>
      <c r="AI343" s="52"/>
      <c r="AK343" s="34"/>
      <c r="AL343" s="34"/>
      <c r="AM343" s="34"/>
      <c r="AN343" s="54"/>
      <c r="AO343" s="34"/>
      <c r="AP343" s="34"/>
      <c r="AQ343" s="54"/>
      <c r="AR343" s="54"/>
      <c r="AS343" s="54"/>
      <c r="AT343" s="54"/>
      <c r="AU343" s="34"/>
      <c r="AV343" s="34"/>
      <c r="AW343" s="34"/>
      <c r="AX343" s="34"/>
      <c r="AY343" s="34"/>
      <c r="AZ343" s="44"/>
      <c r="BA343" s="34"/>
      <c r="BB343" s="34"/>
    </row>
    <row r="344" spans="1:54" x14ac:dyDescent="0.35" ht="15.0" customHeight="true">
      <c r="A344" s="51"/>
      <c r="B344" s="34"/>
      <c r="C344" s="34"/>
      <c r="D344" s="34"/>
      <c r="E344" s="34"/>
      <c r="F344" s="34"/>
      <c r="G344" s="44"/>
      <c r="H344" s="34"/>
      <c r="I344" s="54"/>
      <c r="J344" s="34"/>
      <c r="K344" s="54"/>
      <c r="L344" s="34"/>
      <c r="M344" s="44"/>
      <c r="N344" s="44"/>
      <c r="O344" s="34"/>
      <c r="P344" s="34"/>
      <c r="Q344" s="34"/>
      <c r="R344" s="34"/>
      <c r="U344" s="44"/>
      <c r="W344" s="95"/>
      <c r="X344" s="54"/>
      <c r="Y344" s="54"/>
      <c r="Z344" s="34"/>
      <c r="AA344" s="34"/>
      <c r="AB344" s="34"/>
      <c r="AC344" s="34"/>
      <c r="AD344" s="34"/>
      <c r="AE344" s="34"/>
      <c r="AF344" s="34"/>
      <c r="AG344" s="34"/>
      <c r="AH344" s="52"/>
      <c r="AI344" s="52"/>
      <c r="AK344" s="34"/>
      <c r="AL344" s="34"/>
      <c r="AM344" s="34"/>
      <c r="AN344" s="54"/>
      <c r="AO344" s="34"/>
      <c r="AP344" s="34"/>
      <c r="AQ344" s="54"/>
      <c r="AR344" s="54"/>
      <c r="AS344" s="54"/>
      <c r="AT344" s="54"/>
      <c r="AU344" s="34"/>
      <c r="AV344" s="34"/>
      <c r="AW344" s="34"/>
      <c r="AX344" s="34"/>
      <c r="AY344" s="34"/>
      <c r="AZ344" s="44"/>
      <c r="BA344" s="34"/>
      <c r="BB344" s="34"/>
    </row>
    <row r="345" spans="1:54" x14ac:dyDescent="0.35" ht="15.0" customHeight="true">
      <c r="A345" s="51"/>
      <c r="B345" s="34"/>
      <c r="C345" s="34"/>
      <c r="D345" s="34"/>
      <c r="E345" s="34"/>
      <c r="F345" s="34"/>
      <c r="G345" s="44"/>
      <c r="H345" s="34"/>
      <c r="I345" s="54"/>
      <c r="J345" s="34"/>
      <c r="K345" s="54"/>
      <c r="L345" s="34"/>
      <c r="M345" s="44"/>
      <c r="N345" s="44"/>
      <c r="O345" s="34"/>
      <c r="P345" s="34"/>
      <c r="Q345" s="34"/>
      <c r="R345" s="34"/>
      <c r="U345" s="44"/>
      <c r="W345" s="95"/>
      <c r="X345" s="54"/>
      <c r="Y345" s="54"/>
      <c r="Z345" s="34"/>
      <c r="AA345" s="34"/>
      <c r="AB345" s="34"/>
      <c r="AC345" s="34"/>
      <c r="AD345" s="34"/>
      <c r="AE345" s="34"/>
      <c r="AF345" s="34"/>
      <c r="AG345" s="34"/>
      <c r="AH345" s="52"/>
      <c r="AI345" s="52"/>
      <c r="AK345" s="34"/>
      <c r="AL345" s="34"/>
      <c r="AM345" s="34"/>
      <c r="AN345" s="54"/>
      <c r="AO345" s="34"/>
      <c r="AP345" s="34"/>
      <c r="AQ345" s="54"/>
      <c r="AR345" s="54"/>
      <c r="AS345" s="54"/>
      <c r="AT345" s="54"/>
      <c r="AU345" s="34"/>
      <c r="AV345" s="34"/>
      <c r="AW345" s="34"/>
      <c r="AX345" s="34"/>
      <c r="AY345" s="34"/>
      <c r="AZ345" s="44"/>
      <c r="BA345" s="34"/>
      <c r="BB345" s="34"/>
    </row>
    <row r="346" spans="1:54" x14ac:dyDescent="0.35" ht="15.0" customHeight="true">
      <c r="A346" s="51"/>
      <c r="B346" s="34"/>
      <c r="C346" s="34"/>
      <c r="D346" s="34"/>
      <c r="E346" s="34"/>
      <c r="F346" s="34"/>
      <c r="G346" s="44"/>
      <c r="H346" s="34"/>
      <c r="I346" s="54"/>
      <c r="J346" s="34"/>
      <c r="K346" s="54"/>
      <c r="L346" s="34"/>
      <c r="M346" s="44"/>
      <c r="N346" s="44"/>
      <c r="O346" s="34"/>
      <c r="P346" s="34"/>
      <c r="Q346" s="34"/>
      <c r="R346" s="34"/>
      <c r="U346" s="44"/>
      <c r="W346" s="95"/>
      <c r="X346" s="54"/>
      <c r="Y346" s="54"/>
      <c r="Z346" s="34"/>
      <c r="AA346" s="34"/>
      <c r="AB346" s="34"/>
      <c r="AC346" s="34"/>
      <c r="AD346" s="34"/>
      <c r="AE346" s="34"/>
      <c r="AF346" s="34"/>
      <c r="AG346" s="34"/>
      <c r="AH346" s="52"/>
      <c r="AI346" s="52"/>
      <c r="AK346" s="34"/>
      <c r="AL346" s="34"/>
      <c r="AM346" s="34"/>
      <c r="AN346" s="54"/>
      <c r="AO346" s="34"/>
      <c r="AP346" s="34"/>
      <c r="AQ346" s="54"/>
      <c r="AR346" s="54"/>
      <c r="AS346" s="54"/>
      <c r="AT346" s="54"/>
      <c r="AU346" s="34"/>
      <c r="AV346" s="34"/>
      <c r="AW346" s="34"/>
      <c r="AX346" s="34"/>
      <c r="AY346" s="34"/>
      <c r="AZ346" s="44"/>
      <c r="BA346" s="34"/>
      <c r="BB346" s="34"/>
    </row>
    <row r="347" spans="1:54" x14ac:dyDescent="0.35" ht="15.0" customHeight="true">
      <c r="A347" s="51"/>
      <c r="B347" s="34"/>
      <c r="C347" s="34"/>
      <c r="D347" s="34"/>
      <c r="E347" s="34"/>
      <c r="F347" s="34"/>
      <c r="G347" s="44"/>
      <c r="H347" s="34"/>
      <c r="I347" s="54"/>
      <c r="J347" s="34"/>
      <c r="K347" s="54"/>
      <c r="L347" s="34"/>
      <c r="M347" s="44"/>
      <c r="N347" s="44"/>
      <c r="O347" s="34"/>
      <c r="P347" s="34"/>
      <c r="Q347" s="34"/>
      <c r="R347" s="34"/>
      <c r="U347" s="44"/>
      <c r="W347" s="95"/>
      <c r="X347" s="54"/>
      <c r="Y347" s="54"/>
      <c r="Z347" s="34"/>
      <c r="AA347" s="34"/>
      <c r="AB347" s="34"/>
      <c r="AC347" s="34"/>
      <c r="AD347" s="34"/>
      <c r="AE347" s="34"/>
      <c r="AF347" s="34"/>
      <c r="AG347" s="34"/>
      <c r="AH347" s="52"/>
      <c r="AI347" s="52"/>
      <c r="AK347" s="34"/>
      <c r="AL347" s="34"/>
      <c r="AM347" s="34"/>
      <c r="AN347" s="54"/>
      <c r="AO347" s="34"/>
      <c r="AP347" s="34"/>
      <c r="AQ347" s="54"/>
      <c r="AR347" s="54"/>
      <c r="AS347" s="54"/>
      <c r="AT347" s="54"/>
      <c r="AU347" s="34"/>
      <c r="AV347" s="34"/>
      <c r="AW347" s="34"/>
      <c r="AX347" s="34"/>
      <c r="AY347" s="34"/>
      <c r="AZ347" s="44"/>
      <c r="BA347" s="34"/>
      <c r="BB347" s="34"/>
    </row>
    <row r="348" spans="1:54" x14ac:dyDescent="0.35" ht="15.0" customHeight="true">
      <c r="A348" s="51"/>
      <c r="B348" s="34"/>
      <c r="C348" s="34"/>
      <c r="D348" s="34"/>
      <c r="E348" s="34"/>
      <c r="F348" s="34"/>
      <c r="G348" s="44"/>
      <c r="H348" s="34"/>
      <c r="I348" s="54"/>
      <c r="J348" s="34"/>
      <c r="K348" s="54"/>
      <c r="L348" s="34"/>
      <c r="M348" s="44"/>
      <c r="N348" s="44"/>
      <c r="O348" s="34"/>
      <c r="P348" s="34"/>
      <c r="Q348" s="34"/>
      <c r="R348" s="34"/>
      <c r="U348" s="44"/>
      <c r="W348" s="95"/>
      <c r="X348" s="54"/>
      <c r="Y348" s="54"/>
      <c r="Z348" s="34"/>
      <c r="AA348" s="34"/>
      <c r="AB348" s="34"/>
      <c r="AC348" s="34"/>
      <c r="AD348" s="34"/>
      <c r="AE348" s="34"/>
      <c r="AF348" s="34"/>
      <c r="AG348" s="34"/>
      <c r="AH348" s="52"/>
      <c r="AI348" s="52"/>
      <c r="AK348" s="34"/>
      <c r="AL348" s="34"/>
      <c r="AM348" s="34"/>
      <c r="AN348" s="54"/>
      <c r="AO348" s="34"/>
      <c r="AP348" s="34"/>
      <c r="AQ348" s="54"/>
      <c r="AR348" s="54"/>
      <c r="AS348" s="54"/>
      <c r="AT348" s="54"/>
      <c r="AU348" s="34"/>
      <c r="AV348" s="34"/>
      <c r="AW348" s="34"/>
      <c r="AX348" s="34"/>
      <c r="AY348" s="34"/>
      <c r="AZ348" s="44"/>
      <c r="BA348" s="34"/>
      <c r="BB348" s="34"/>
    </row>
    <row r="349" spans="1:54" x14ac:dyDescent="0.35" ht="15.0" customHeight="true">
      <c r="A349" s="51"/>
      <c r="B349" s="34"/>
      <c r="C349" s="34"/>
      <c r="D349" s="34"/>
      <c r="E349" s="34"/>
      <c r="F349" s="34"/>
      <c r="G349" s="44"/>
      <c r="H349" s="34"/>
      <c r="I349" s="54"/>
      <c r="J349" s="34"/>
      <c r="K349" s="54"/>
      <c r="L349" s="34"/>
      <c r="M349" s="44"/>
      <c r="N349" s="44"/>
      <c r="O349" s="34"/>
      <c r="P349" s="34"/>
      <c r="Q349" s="34"/>
      <c r="R349" s="34"/>
      <c r="U349" s="44"/>
      <c r="W349" s="95"/>
      <c r="X349" s="54"/>
      <c r="Y349" s="54"/>
      <c r="Z349" s="34"/>
      <c r="AA349" s="34"/>
      <c r="AB349" s="34"/>
      <c r="AC349" s="34"/>
      <c r="AD349" s="34"/>
      <c r="AE349" s="34"/>
      <c r="AF349" s="34"/>
      <c r="AG349" s="34"/>
      <c r="AH349" s="52"/>
      <c r="AI349" s="52"/>
      <c r="AK349" s="34"/>
      <c r="AL349" s="34"/>
      <c r="AM349" s="34"/>
      <c r="AN349" s="54"/>
      <c r="AO349" s="34"/>
      <c r="AP349" s="34"/>
      <c r="AQ349" s="54"/>
      <c r="AR349" s="54"/>
      <c r="AS349" s="54"/>
      <c r="AT349" s="54"/>
      <c r="AU349" s="34"/>
      <c r="AV349" s="34"/>
      <c r="AW349" s="34"/>
      <c r="AX349" s="34"/>
      <c r="AY349" s="34"/>
      <c r="AZ349" s="44"/>
      <c r="BA349" s="34"/>
      <c r="BB349" s="34"/>
    </row>
    <row r="350" spans="1:54" x14ac:dyDescent="0.35" ht="15.0" customHeight="true">
      <c r="A350" s="51"/>
      <c r="B350" s="34"/>
      <c r="C350" s="34"/>
      <c r="D350" s="34"/>
      <c r="E350" s="34"/>
      <c r="F350" s="34"/>
      <c r="G350" s="44"/>
      <c r="H350" s="34"/>
      <c r="I350" s="54"/>
      <c r="J350" s="34"/>
      <c r="K350" s="54"/>
      <c r="L350" s="34"/>
      <c r="M350" s="44"/>
      <c r="N350" s="44"/>
      <c r="O350" s="34"/>
      <c r="P350" s="34"/>
      <c r="Q350" s="34"/>
      <c r="R350" s="34"/>
      <c r="U350" s="44"/>
      <c r="W350" s="95"/>
      <c r="X350" s="54"/>
      <c r="Y350" s="54"/>
      <c r="Z350" s="34"/>
      <c r="AA350" s="34"/>
      <c r="AB350" s="34"/>
      <c r="AC350" s="34"/>
      <c r="AD350" s="34"/>
      <c r="AE350" s="34"/>
      <c r="AF350" s="34"/>
      <c r="AG350" s="34"/>
      <c r="AH350" s="52"/>
      <c r="AI350" s="52"/>
      <c r="AK350" s="34"/>
      <c r="AL350" s="34"/>
      <c r="AM350" s="34"/>
      <c r="AN350" s="54"/>
      <c r="AO350" s="34"/>
      <c r="AP350" s="34"/>
      <c r="AQ350" s="54"/>
      <c r="AR350" s="54"/>
      <c r="AS350" s="54"/>
      <c r="AT350" s="54"/>
      <c r="AU350" s="34"/>
      <c r="AV350" s="34"/>
      <c r="AW350" s="34"/>
      <c r="AX350" s="34"/>
      <c r="AY350" s="34"/>
      <c r="AZ350" s="44"/>
      <c r="BA350" s="34"/>
      <c r="BB350" s="34"/>
    </row>
    <row r="351" spans="1:54" x14ac:dyDescent="0.35" ht="15.0" customHeight="true">
      <c r="A351" s="51"/>
      <c r="B351" s="34"/>
      <c r="C351" s="34"/>
      <c r="D351" s="34"/>
      <c r="E351" s="34"/>
      <c r="F351" s="34"/>
      <c r="G351" s="44"/>
      <c r="H351" s="34"/>
      <c r="I351" s="54"/>
      <c r="J351" s="34"/>
      <c r="K351" s="54"/>
      <c r="L351" s="34"/>
      <c r="M351" s="44"/>
      <c r="N351" s="44"/>
      <c r="O351" s="34"/>
      <c r="P351" s="34"/>
      <c r="Q351" s="34"/>
      <c r="R351" s="34"/>
      <c r="U351" s="44"/>
      <c r="W351" s="95"/>
      <c r="X351" s="54"/>
      <c r="Y351" s="54"/>
      <c r="Z351" s="34"/>
      <c r="AA351" s="34"/>
      <c r="AB351" s="34"/>
      <c r="AC351" s="34"/>
      <c r="AD351" s="34"/>
      <c r="AE351" s="34"/>
      <c r="AF351" s="34"/>
      <c r="AG351" s="34"/>
      <c r="AH351" s="52"/>
      <c r="AI351" s="52"/>
      <c r="AK351" s="34"/>
      <c r="AL351" s="34"/>
      <c r="AM351" s="34"/>
      <c r="AN351" s="54"/>
      <c r="AO351" s="34"/>
      <c r="AP351" s="34"/>
      <c r="AQ351" s="54"/>
      <c r="AR351" s="54"/>
      <c r="AS351" s="54"/>
      <c r="AT351" s="54"/>
      <c r="AU351" s="34"/>
      <c r="AV351" s="34"/>
      <c r="AW351" s="34"/>
      <c r="AX351" s="34"/>
      <c r="AY351" s="34"/>
      <c r="AZ351" s="44"/>
      <c r="BA351" s="34"/>
      <c r="BB351" s="34"/>
    </row>
    <row r="352" spans="1:54" x14ac:dyDescent="0.35" ht="15.0" customHeight="true">
      <c r="A352" s="51"/>
      <c r="B352" s="34"/>
      <c r="C352" s="34"/>
      <c r="D352" s="34"/>
      <c r="E352" s="34"/>
      <c r="F352" s="34"/>
      <c r="G352" s="44"/>
      <c r="H352" s="34"/>
      <c r="I352" s="54"/>
      <c r="J352" s="34"/>
      <c r="K352" s="54"/>
      <c r="L352" s="34"/>
      <c r="M352" s="44"/>
      <c r="N352" s="44"/>
      <c r="O352" s="34"/>
      <c r="P352" s="34"/>
      <c r="Q352" s="34"/>
      <c r="R352" s="34"/>
      <c r="U352" s="44"/>
      <c r="W352" s="95"/>
      <c r="X352" s="54"/>
      <c r="Y352" s="54"/>
      <c r="Z352" s="34"/>
      <c r="AA352" s="34"/>
      <c r="AB352" s="34"/>
      <c r="AC352" s="34"/>
      <c r="AD352" s="34"/>
      <c r="AE352" s="34"/>
      <c r="AF352" s="34"/>
      <c r="AG352" s="34"/>
      <c r="AH352" s="52"/>
      <c r="AI352" s="52"/>
      <c r="AK352" s="34"/>
      <c r="AL352" s="34"/>
      <c r="AM352" s="34"/>
      <c r="AN352" s="54"/>
      <c r="AO352" s="34"/>
      <c r="AP352" s="34"/>
      <c r="AQ352" s="54"/>
      <c r="AR352" s="54"/>
      <c r="AS352" s="54"/>
      <c r="AT352" s="54"/>
      <c r="AU352" s="34"/>
      <c r="AV352" s="34"/>
      <c r="AW352" s="34"/>
      <c r="AX352" s="34"/>
      <c r="AY352" s="34"/>
      <c r="AZ352" s="44"/>
      <c r="BA352" s="34"/>
      <c r="BB352" s="34"/>
    </row>
    <row r="353" spans="1:54" x14ac:dyDescent="0.35" ht="15.0" customHeight="true">
      <c r="A353" s="51"/>
      <c r="B353" s="34"/>
      <c r="C353" s="34"/>
      <c r="D353" s="34"/>
      <c r="E353" s="34"/>
      <c r="F353" s="34"/>
      <c r="G353" s="44"/>
      <c r="H353" s="34"/>
      <c r="I353" s="54"/>
      <c r="J353" s="34"/>
      <c r="K353" s="54"/>
      <c r="L353" s="34"/>
      <c r="M353" s="44"/>
      <c r="N353" s="44"/>
      <c r="O353" s="34"/>
      <c r="P353" s="34"/>
      <c r="Q353" s="34"/>
      <c r="R353" s="34"/>
      <c r="U353" s="44"/>
      <c r="W353" s="95"/>
      <c r="X353" s="54"/>
      <c r="Y353" s="54"/>
      <c r="Z353" s="34"/>
      <c r="AA353" s="34"/>
      <c r="AB353" s="34"/>
      <c r="AC353" s="34"/>
      <c r="AD353" s="34"/>
      <c r="AE353" s="34"/>
      <c r="AF353" s="34"/>
      <c r="AG353" s="34"/>
      <c r="AH353" s="52"/>
      <c r="AI353" s="52"/>
      <c r="AK353" s="34"/>
      <c r="AL353" s="34"/>
      <c r="AM353" s="34"/>
      <c r="AN353" s="54"/>
      <c r="AO353" s="34"/>
      <c r="AP353" s="34"/>
      <c r="AQ353" s="54"/>
      <c r="AR353" s="54"/>
      <c r="AS353" s="54"/>
      <c r="AT353" s="54"/>
      <c r="AU353" s="34"/>
      <c r="AV353" s="34"/>
      <c r="AW353" s="34"/>
      <c r="AX353" s="34"/>
      <c r="AY353" s="34"/>
      <c r="AZ353" s="44"/>
      <c r="BA353" s="34"/>
      <c r="BB353" s="34"/>
    </row>
    <row r="354" spans="1:54" x14ac:dyDescent="0.35" ht="15.0" customHeight="true">
      <c r="A354" s="51"/>
      <c r="B354" s="34"/>
      <c r="C354" s="34"/>
      <c r="D354" s="34"/>
      <c r="E354" s="34"/>
      <c r="F354" s="34"/>
      <c r="G354" s="44"/>
      <c r="H354" s="34"/>
      <c r="I354" s="54"/>
      <c r="J354" s="34"/>
      <c r="K354" s="54"/>
      <c r="L354" s="34"/>
      <c r="M354" s="44"/>
      <c r="N354" s="44"/>
      <c r="O354" s="34"/>
      <c r="P354" s="34"/>
      <c r="Q354" s="34"/>
      <c r="R354" s="34"/>
      <c r="U354" s="44"/>
      <c r="W354" s="95"/>
      <c r="X354" s="54"/>
      <c r="Y354" s="54"/>
      <c r="Z354" s="34"/>
      <c r="AA354" s="34"/>
      <c r="AB354" s="34"/>
      <c r="AC354" s="34"/>
      <c r="AD354" s="34"/>
      <c r="AE354" s="34"/>
      <c r="AF354" s="34"/>
      <c r="AG354" s="34"/>
      <c r="AH354" s="52"/>
      <c r="AI354" s="52"/>
      <c r="AK354" s="34"/>
      <c r="AL354" s="34"/>
      <c r="AM354" s="34"/>
      <c r="AN354" s="54"/>
      <c r="AO354" s="34"/>
      <c r="AP354" s="34"/>
      <c r="AQ354" s="54"/>
      <c r="AR354" s="54"/>
      <c r="AS354" s="54"/>
      <c r="AT354" s="54"/>
      <c r="AU354" s="34"/>
      <c r="AV354" s="34"/>
      <c r="AW354" s="34"/>
      <c r="AX354" s="34"/>
      <c r="AY354" s="34"/>
      <c r="AZ354" s="44"/>
      <c r="BA354" s="34"/>
      <c r="BB354" s="34"/>
    </row>
    <row r="355" spans="1:54" x14ac:dyDescent="0.35" ht="15.0" customHeight="true">
      <c r="A355" s="51"/>
      <c r="B355" s="34"/>
      <c r="C355" s="34"/>
      <c r="D355" s="34"/>
      <c r="E355" s="34"/>
      <c r="F355" s="34"/>
      <c r="G355" s="44"/>
      <c r="H355" s="34"/>
      <c r="I355" s="54"/>
      <c r="J355" s="34"/>
      <c r="K355" s="54"/>
      <c r="L355" s="34"/>
      <c r="M355" s="44"/>
      <c r="N355" s="44"/>
      <c r="O355" s="34"/>
      <c r="P355" s="34"/>
      <c r="Q355" s="34"/>
      <c r="R355" s="34"/>
      <c r="U355" s="44"/>
      <c r="W355" s="95"/>
      <c r="X355" s="54"/>
      <c r="Y355" s="54"/>
      <c r="Z355" s="34"/>
      <c r="AA355" s="34"/>
      <c r="AB355" s="34"/>
      <c r="AC355" s="34"/>
      <c r="AD355" s="34"/>
      <c r="AE355" s="34"/>
      <c r="AF355" s="34"/>
      <c r="AG355" s="34"/>
      <c r="AH355" s="52"/>
      <c r="AI355" s="52"/>
      <c r="AK355" s="34"/>
      <c r="AL355" s="34"/>
      <c r="AM355" s="34"/>
      <c r="AN355" s="54"/>
      <c r="AO355" s="34"/>
      <c r="AP355" s="34"/>
      <c r="AQ355" s="54"/>
      <c r="AR355" s="54"/>
      <c r="AS355" s="54"/>
      <c r="AT355" s="54"/>
      <c r="AU355" s="34"/>
      <c r="AV355" s="34"/>
      <c r="AW355" s="34"/>
      <c r="AX355" s="34"/>
      <c r="AY355" s="34"/>
      <c r="AZ355" s="44"/>
      <c r="BA355" s="34"/>
      <c r="BB355" s="34"/>
    </row>
    <row r="356" spans="1:54" x14ac:dyDescent="0.35" ht="15.0" customHeight="true">
      <c r="A356" s="51"/>
      <c r="B356" s="34"/>
      <c r="C356" s="34"/>
      <c r="D356" s="34"/>
      <c r="E356" s="34"/>
      <c r="F356" s="34"/>
      <c r="G356" s="44"/>
      <c r="H356" s="34"/>
      <c r="I356" s="54"/>
      <c r="J356" s="34"/>
      <c r="K356" s="54"/>
      <c r="L356" s="34"/>
      <c r="M356" s="44"/>
      <c r="N356" s="44"/>
      <c r="O356" s="34"/>
      <c r="P356" s="34"/>
      <c r="Q356" s="34"/>
      <c r="R356" s="34"/>
      <c r="U356" s="44"/>
      <c r="W356" s="95"/>
      <c r="X356" s="54"/>
      <c r="Y356" s="54"/>
      <c r="Z356" s="34"/>
      <c r="AA356" s="34"/>
      <c r="AB356" s="34"/>
      <c r="AC356" s="34"/>
      <c r="AD356" s="34"/>
      <c r="AE356" s="34"/>
      <c r="AF356" s="34"/>
      <c r="AG356" s="34"/>
      <c r="AH356" s="52"/>
      <c r="AI356" s="52"/>
      <c r="AK356" s="34"/>
      <c r="AL356" s="34"/>
      <c r="AM356" s="34"/>
      <c r="AN356" s="54"/>
      <c r="AO356" s="34"/>
      <c r="AP356" s="34"/>
      <c r="AQ356" s="54"/>
      <c r="AR356" s="54"/>
      <c r="AS356" s="54"/>
      <c r="AT356" s="54"/>
      <c r="AU356" s="34"/>
      <c r="AV356" s="34"/>
      <c r="AW356" s="34"/>
      <c r="AX356" s="34"/>
      <c r="AY356" s="34"/>
      <c r="AZ356" s="44"/>
      <c r="BA356" s="34"/>
      <c r="BB356" s="34"/>
    </row>
    <row r="357" spans="1:54" x14ac:dyDescent="0.35" ht="15.0" customHeight="true">
      <c r="A357" s="51"/>
      <c r="B357" s="34"/>
      <c r="C357" s="34"/>
      <c r="D357" s="34"/>
      <c r="E357" s="34"/>
      <c r="F357" s="34"/>
      <c r="G357" s="44"/>
      <c r="H357" s="34"/>
      <c r="I357" s="54"/>
      <c r="J357" s="34"/>
      <c r="K357" s="54"/>
      <c r="L357" s="34"/>
      <c r="M357" s="44"/>
      <c r="N357" s="44"/>
      <c r="O357" s="34"/>
      <c r="P357" s="34"/>
      <c r="Q357" s="34"/>
      <c r="R357" s="34"/>
      <c r="U357" s="44"/>
      <c r="W357" s="95"/>
      <c r="X357" s="54"/>
      <c r="Y357" s="54"/>
      <c r="Z357" s="34"/>
      <c r="AA357" s="34"/>
      <c r="AB357" s="34"/>
      <c r="AC357" s="34"/>
      <c r="AD357" s="34"/>
      <c r="AE357" s="34"/>
      <c r="AF357" s="34"/>
      <c r="AG357" s="34"/>
      <c r="AH357" s="52"/>
      <c r="AI357" s="52"/>
      <c r="AK357" s="34"/>
      <c r="AL357" s="34"/>
      <c r="AM357" s="34"/>
      <c r="AN357" s="54"/>
      <c r="AO357" s="34"/>
      <c r="AP357" s="34"/>
      <c r="AQ357" s="54"/>
      <c r="AR357" s="54"/>
      <c r="AS357" s="54"/>
      <c r="AT357" s="54"/>
      <c r="AU357" s="34"/>
      <c r="AV357" s="34"/>
      <c r="AW357" s="34"/>
      <c r="AX357" s="34"/>
      <c r="AY357" s="34"/>
      <c r="AZ357" s="44"/>
      <c r="BA357" s="34"/>
      <c r="BB357" s="34"/>
    </row>
    <row r="358" spans="1:54" x14ac:dyDescent="0.35" ht="15.0" customHeight="true">
      <c r="A358" s="51"/>
      <c r="B358" s="34"/>
      <c r="C358" s="34"/>
      <c r="D358" s="34"/>
      <c r="E358" s="34"/>
      <c r="F358" s="34"/>
      <c r="G358" s="44"/>
      <c r="H358" s="34"/>
      <c r="I358" s="54"/>
      <c r="J358" s="34"/>
      <c r="K358" s="54"/>
      <c r="L358" s="34"/>
      <c r="M358" s="44"/>
      <c r="N358" s="44"/>
      <c r="O358" s="34"/>
      <c r="P358" s="34"/>
      <c r="Q358" s="34"/>
      <c r="R358" s="34"/>
      <c r="U358" s="44"/>
      <c r="W358" s="95"/>
      <c r="X358" s="54"/>
      <c r="Y358" s="54"/>
      <c r="Z358" s="34"/>
      <c r="AA358" s="34"/>
      <c r="AB358" s="34"/>
      <c r="AC358" s="34"/>
      <c r="AD358" s="34"/>
      <c r="AE358" s="34"/>
      <c r="AF358" s="34"/>
      <c r="AG358" s="34"/>
      <c r="AH358" s="52"/>
      <c r="AI358" s="52"/>
      <c r="AK358" s="34"/>
      <c r="AL358" s="34"/>
      <c r="AM358" s="34"/>
      <c r="AN358" s="54"/>
      <c r="AO358" s="34"/>
      <c r="AP358" s="34"/>
      <c r="AQ358" s="54"/>
      <c r="AR358" s="54"/>
      <c r="AS358" s="54"/>
      <c r="AT358" s="54"/>
      <c r="AU358" s="34"/>
      <c r="AV358" s="34"/>
      <c r="AW358" s="34"/>
      <c r="AX358" s="34"/>
      <c r="AY358" s="34"/>
      <c r="AZ358" s="44"/>
      <c r="BA358" s="34"/>
      <c r="BB358" s="34"/>
    </row>
    <row r="359" spans="1:54" x14ac:dyDescent="0.35" ht="15.0" customHeight="true">
      <c r="A359" s="51"/>
      <c r="B359" s="34"/>
      <c r="C359" s="34"/>
      <c r="D359" s="34"/>
      <c r="E359" s="34"/>
      <c r="F359" s="34"/>
      <c r="G359" s="44"/>
      <c r="H359" s="34"/>
      <c r="I359" s="54"/>
      <c r="J359" s="34"/>
      <c r="K359" s="54"/>
      <c r="L359" s="34"/>
      <c r="M359" s="44"/>
      <c r="N359" s="44"/>
      <c r="O359" s="34"/>
      <c r="P359" s="34"/>
      <c r="Q359" s="34"/>
      <c r="R359" s="34"/>
      <c r="U359" s="44"/>
      <c r="W359" s="95"/>
      <c r="X359" s="54"/>
      <c r="Y359" s="54"/>
      <c r="Z359" s="34"/>
      <c r="AA359" s="34"/>
      <c r="AB359" s="34"/>
      <c r="AC359" s="34"/>
      <c r="AD359" s="34"/>
      <c r="AE359" s="34"/>
      <c r="AF359" s="34"/>
      <c r="AG359" s="34"/>
      <c r="AH359" s="52"/>
      <c r="AI359" s="52"/>
      <c r="AK359" s="34"/>
      <c r="AL359" s="34"/>
      <c r="AM359" s="34"/>
      <c r="AN359" s="54"/>
      <c r="AO359" s="34"/>
      <c r="AP359" s="34"/>
      <c r="AQ359" s="54"/>
      <c r="AR359" s="54"/>
      <c r="AS359" s="54"/>
      <c r="AT359" s="54"/>
      <c r="AU359" s="34"/>
      <c r="AV359" s="34"/>
      <c r="AW359" s="34"/>
      <c r="AX359" s="34"/>
      <c r="AY359" s="34"/>
      <c r="AZ359" s="44"/>
      <c r="BA359" s="34"/>
      <c r="BB359" s="34"/>
    </row>
    <row r="360" spans="1:54" x14ac:dyDescent="0.35" ht="15.0" customHeight="true">
      <c r="A360" s="51"/>
      <c r="B360" s="34"/>
      <c r="C360" s="34"/>
      <c r="D360" s="34"/>
      <c r="E360" s="34"/>
      <c r="F360" s="34"/>
      <c r="G360" s="44"/>
      <c r="H360" s="34"/>
      <c r="I360" s="54"/>
      <c r="J360" s="34"/>
      <c r="K360" s="54"/>
      <c r="L360" s="34"/>
      <c r="M360" s="44"/>
      <c r="N360" s="44"/>
      <c r="O360" s="34"/>
      <c r="P360" s="34"/>
      <c r="Q360" s="34"/>
      <c r="R360" s="34"/>
      <c r="U360" s="44"/>
      <c r="W360" s="95"/>
      <c r="X360" s="54"/>
      <c r="Y360" s="54"/>
      <c r="Z360" s="34"/>
      <c r="AA360" s="34"/>
      <c r="AB360" s="34"/>
      <c r="AC360" s="34"/>
      <c r="AD360" s="34"/>
      <c r="AE360" s="34"/>
      <c r="AF360" s="34"/>
      <c r="AG360" s="34"/>
      <c r="AH360" s="52"/>
      <c r="AI360" s="52"/>
      <c r="AK360" s="34"/>
      <c r="AL360" s="34"/>
      <c r="AM360" s="34"/>
      <c r="AN360" s="54"/>
      <c r="AO360" s="34"/>
      <c r="AP360" s="34"/>
      <c r="AQ360" s="54"/>
      <c r="AR360" s="54"/>
      <c r="AS360" s="54"/>
      <c r="AT360" s="54"/>
      <c r="AU360" s="34"/>
      <c r="AV360" s="34"/>
      <c r="AW360" s="34"/>
      <c r="AX360" s="34"/>
      <c r="AY360" s="34"/>
      <c r="AZ360" s="44"/>
      <c r="BA360" s="34"/>
      <c r="BB360" s="34"/>
    </row>
    <row r="361" spans="1:54" x14ac:dyDescent="0.35" ht="15.0" customHeight="true">
      <c r="A361" s="51"/>
      <c r="B361" s="34"/>
      <c r="C361" s="34"/>
      <c r="D361" s="34"/>
      <c r="E361" s="34"/>
      <c r="F361" s="34"/>
      <c r="G361" s="44"/>
      <c r="H361" s="34"/>
      <c r="I361" s="54"/>
      <c r="J361" s="34"/>
      <c r="K361" s="54"/>
      <c r="L361" s="34"/>
      <c r="M361" s="44"/>
      <c r="N361" s="44"/>
      <c r="O361" s="34"/>
      <c r="P361" s="34"/>
      <c r="Q361" s="34"/>
      <c r="R361" s="34"/>
      <c r="U361" s="44"/>
      <c r="W361" s="95"/>
      <c r="X361" s="54"/>
      <c r="Y361" s="54"/>
      <c r="Z361" s="34"/>
      <c r="AA361" s="34"/>
      <c r="AB361" s="34"/>
      <c r="AC361" s="34"/>
      <c r="AD361" s="34"/>
      <c r="AE361" s="34"/>
      <c r="AF361" s="34"/>
      <c r="AG361" s="34"/>
      <c r="AH361" s="52"/>
      <c r="AI361" s="52"/>
      <c r="AK361" s="34"/>
      <c r="AL361" s="34"/>
      <c r="AM361" s="34"/>
      <c r="AN361" s="54"/>
      <c r="AO361" s="34"/>
      <c r="AP361" s="34"/>
      <c r="AQ361" s="54"/>
      <c r="AR361" s="54"/>
      <c r="AS361" s="54"/>
      <c r="AT361" s="54"/>
      <c r="AU361" s="34"/>
      <c r="AV361" s="34"/>
      <c r="AW361" s="34"/>
      <c r="AX361" s="34"/>
      <c r="AY361" s="34"/>
      <c r="AZ361" s="44"/>
      <c r="BA361" s="34"/>
      <c r="BB361" s="34"/>
    </row>
    <row r="362" spans="1:54" x14ac:dyDescent="0.35" ht="15.0" customHeight="true">
      <c r="A362" s="51"/>
      <c r="B362" s="34"/>
      <c r="C362" s="34"/>
      <c r="D362" s="34"/>
      <c r="E362" s="34"/>
      <c r="F362" s="34"/>
      <c r="G362" s="44"/>
      <c r="H362" s="34"/>
      <c r="I362" s="54"/>
      <c r="J362" s="34"/>
      <c r="K362" s="54"/>
      <c r="L362" s="34"/>
      <c r="M362" s="44"/>
      <c r="N362" s="44"/>
      <c r="O362" s="34"/>
      <c r="P362" s="34"/>
      <c r="Q362" s="34"/>
      <c r="R362" s="34"/>
      <c r="U362" s="44"/>
      <c r="W362" s="95"/>
      <c r="X362" s="54"/>
      <c r="Y362" s="54"/>
      <c r="Z362" s="34"/>
      <c r="AA362" s="34"/>
      <c r="AB362" s="34"/>
      <c r="AC362" s="34"/>
      <c r="AD362" s="34"/>
      <c r="AE362" s="34"/>
      <c r="AF362" s="34"/>
      <c r="AG362" s="34"/>
      <c r="AH362" s="52"/>
      <c r="AI362" s="52"/>
      <c r="AK362" s="34"/>
      <c r="AL362" s="34"/>
      <c r="AM362" s="34"/>
      <c r="AN362" s="54"/>
      <c r="AO362" s="34"/>
      <c r="AP362" s="34"/>
      <c r="AQ362" s="54"/>
      <c r="AR362" s="54"/>
      <c r="AS362" s="54"/>
      <c r="AT362" s="54"/>
      <c r="AU362" s="34"/>
      <c r="AV362" s="34"/>
      <c r="AW362" s="34"/>
      <c r="AX362" s="34"/>
      <c r="AY362" s="34"/>
      <c r="AZ362" s="44"/>
      <c r="BA362" s="34"/>
      <c r="BB362" s="34"/>
    </row>
    <row r="363" spans="1:54" x14ac:dyDescent="0.35" ht="15.0" customHeight="true">
      <c r="A363" s="51"/>
      <c r="B363" s="34"/>
      <c r="C363" s="34"/>
      <c r="D363" s="34"/>
      <c r="E363" s="34"/>
      <c r="F363" s="34"/>
      <c r="G363" s="44"/>
      <c r="H363" s="34"/>
      <c r="I363" s="54"/>
      <c r="J363" s="34"/>
      <c r="K363" s="54"/>
      <c r="L363" s="34"/>
      <c r="M363" s="44"/>
      <c r="N363" s="44"/>
      <c r="O363" s="34"/>
      <c r="P363" s="34"/>
      <c r="Q363" s="34"/>
      <c r="R363" s="34"/>
      <c r="U363" s="44"/>
      <c r="W363" s="95"/>
      <c r="X363" s="54"/>
      <c r="Y363" s="54"/>
      <c r="Z363" s="34"/>
      <c r="AA363" s="34"/>
      <c r="AB363" s="34"/>
      <c r="AC363" s="34"/>
      <c r="AD363" s="34"/>
      <c r="AE363" s="34"/>
      <c r="AF363" s="34"/>
      <c r="AG363" s="34"/>
      <c r="AH363" s="52"/>
      <c r="AI363" s="52"/>
      <c r="AK363" s="34"/>
      <c r="AL363" s="34"/>
      <c r="AM363" s="34"/>
      <c r="AN363" s="54"/>
      <c r="AO363" s="34"/>
      <c r="AP363" s="34"/>
      <c r="AQ363" s="54"/>
      <c r="AR363" s="54"/>
      <c r="AS363" s="54"/>
      <c r="AT363" s="54"/>
      <c r="AU363" s="34"/>
      <c r="AV363" s="34"/>
      <c r="AW363" s="34"/>
      <c r="AX363" s="34"/>
      <c r="AY363" s="34"/>
      <c r="AZ363" s="44"/>
      <c r="BA363" s="34"/>
      <c r="BB363" s="34"/>
    </row>
    <row r="364" spans="1:54" x14ac:dyDescent="0.35" ht="15.0" customHeight="true">
      <c r="A364" s="51"/>
      <c r="B364" s="34"/>
      <c r="C364" s="34"/>
      <c r="D364" s="34"/>
      <c r="E364" s="34"/>
      <c r="F364" s="34"/>
      <c r="G364" s="44"/>
      <c r="H364" s="34"/>
      <c r="I364" s="54"/>
      <c r="J364" s="34"/>
      <c r="K364" s="54"/>
      <c r="L364" s="34"/>
      <c r="M364" s="44"/>
      <c r="N364" s="44"/>
      <c r="O364" s="34"/>
      <c r="P364" s="34"/>
      <c r="Q364" s="34"/>
      <c r="R364" s="34"/>
      <c r="U364" s="44"/>
      <c r="W364" s="95"/>
      <c r="X364" s="54"/>
      <c r="Y364" s="54"/>
      <c r="Z364" s="34"/>
      <c r="AA364" s="34"/>
      <c r="AB364" s="34"/>
      <c r="AC364" s="34"/>
      <c r="AD364" s="34"/>
      <c r="AE364" s="34"/>
      <c r="AF364" s="34"/>
      <c r="AG364" s="34"/>
      <c r="AH364" s="52"/>
      <c r="AI364" s="52"/>
      <c r="AK364" s="34"/>
      <c r="AL364" s="34"/>
      <c r="AM364" s="34"/>
      <c r="AN364" s="54"/>
      <c r="AO364" s="34"/>
      <c r="AP364" s="34"/>
      <c r="AQ364" s="54"/>
      <c r="AR364" s="54"/>
      <c r="AS364" s="54"/>
      <c r="AT364" s="54"/>
      <c r="AU364" s="34"/>
      <c r="AV364" s="34"/>
      <c r="AW364" s="34"/>
      <c r="AX364" s="34"/>
      <c r="AY364" s="34"/>
      <c r="AZ364" s="44"/>
      <c r="BA364" s="34"/>
      <c r="BB364" s="34"/>
    </row>
    <row r="365" spans="1:54" x14ac:dyDescent="0.35" ht="15.0" customHeight="true">
      <c r="A365" s="51"/>
      <c r="B365" s="34"/>
      <c r="C365" s="34"/>
      <c r="D365" s="34"/>
      <c r="E365" s="34"/>
      <c r="F365" s="34"/>
      <c r="G365" s="44"/>
      <c r="H365" s="34"/>
      <c r="I365" s="54"/>
      <c r="J365" s="34"/>
      <c r="K365" s="54"/>
      <c r="L365" s="34"/>
      <c r="M365" s="44"/>
      <c r="N365" s="44"/>
      <c r="O365" s="34"/>
      <c r="P365" s="34"/>
      <c r="Q365" s="34"/>
      <c r="R365" s="34"/>
      <c r="U365" s="44"/>
      <c r="W365" s="95"/>
      <c r="X365" s="54"/>
      <c r="Y365" s="54"/>
      <c r="Z365" s="34"/>
      <c r="AA365" s="34"/>
      <c r="AB365" s="34"/>
      <c r="AC365" s="34"/>
      <c r="AD365" s="34"/>
      <c r="AE365" s="34"/>
      <c r="AF365" s="34"/>
      <c r="AG365" s="34"/>
      <c r="AH365" s="52"/>
      <c r="AI365" s="52"/>
      <c r="AK365" s="34"/>
      <c r="AL365" s="34"/>
      <c r="AM365" s="34"/>
      <c r="AN365" s="54"/>
      <c r="AO365" s="34"/>
      <c r="AP365" s="34"/>
      <c r="AQ365" s="54"/>
      <c r="AR365" s="54"/>
      <c r="AS365" s="54"/>
      <c r="AT365" s="54"/>
      <c r="AU365" s="34"/>
      <c r="AV365" s="34"/>
      <c r="AW365" s="34"/>
      <c r="AX365" s="34"/>
      <c r="AY365" s="34"/>
      <c r="AZ365" s="44"/>
      <c r="BA365" s="34"/>
      <c r="BB365" s="34"/>
    </row>
    <row r="366" spans="1:54" x14ac:dyDescent="0.35" ht="15.0" customHeight="true">
      <c r="A366" s="51"/>
      <c r="B366" s="34"/>
      <c r="C366" s="34"/>
      <c r="D366" s="34"/>
      <c r="E366" s="34"/>
      <c r="F366" s="34"/>
      <c r="G366" s="44"/>
      <c r="H366" s="34"/>
      <c r="I366" s="54"/>
      <c r="J366" s="34"/>
      <c r="K366" s="54"/>
      <c r="L366" s="34"/>
      <c r="M366" s="44"/>
      <c r="N366" s="44"/>
      <c r="O366" s="34"/>
      <c r="P366" s="34"/>
      <c r="Q366" s="34"/>
      <c r="R366" s="34"/>
      <c r="U366" s="44"/>
      <c r="W366" s="95"/>
      <c r="X366" s="54"/>
      <c r="Y366" s="54"/>
      <c r="Z366" s="34"/>
      <c r="AA366" s="34"/>
      <c r="AB366" s="34"/>
      <c r="AC366" s="34"/>
      <c r="AD366" s="34"/>
      <c r="AE366" s="34"/>
      <c r="AF366" s="34"/>
      <c r="AG366" s="34"/>
      <c r="AH366" s="52"/>
      <c r="AI366" s="52"/>
      <c r="AK366" s="34"/>
      <c r="AL366" s="34"/>
      <c r="AM366" s="34"/>
      <c r="AN366" s="54"/>
      <c r="AO366" s="34"/>
      <c r="AP366" s="34"/>
      <c r="AQ366" s="54"/>
      <c r="AR366" s="54"/>
      <c r="AS366" s="54"/>
      <c r="AT366" s="54"/>
      <c r="AU366" s="34"/>
      <c r="AV366" s="34"/>
      <c r="AW366" s="34"/>
      <c r="AX366" s="34"/>
      <c r="AY366" s="34"/>
      <c r="AZ366" s="44"/>
      <c r="BA366" s="34"/>
      <c r="BB366" s="34"/>
    </row>
    <row r="367" spans="1:54" x14ac:dyDescent="0.35" ht="15.0" customHeight="true">
      <c r="A367" s="51"/>
      <c r="B367" s="34"/>
      <c r="C367" s="34"/>
      <c r="D367" s="34"/>
      <c r="E367" s="34"/>
      <c r="F367" s="34"/>
      <c r="G367" s="44"/>
      <c r="H367" s="34"/>
      <c r="I367" s="54"/>
      <c r="J367" s="34"/>
      <c r="K367" s="54"/>
      <c r="L367" s="34"/>
      <c r="M367" s="44"/>
      <c r="N367" s="44"/>
      <c r="O367" s="34"/>
      <c r="P367" s="34"/>
      <c r="Q367" s="34"/>
      <c r="R367" s="34"/>
      <c r="U367" s="44"/>
      <c r="W367" s="95"/>
      <c r="X367" s="54"/>
      <c r="Y367" s="54"/>
      <c r="Z367" s="34"/>
      <c r="AA367" s="34"/>
      <c r="AB367" s="34"/>
      <c r="AC367" s="34"/>
      <c r="AD367" s="34"/>
      <c r="AE367" s="34"/>
      <c r="AF367" s="34"/>
      <c r="AG367" s="34"/>
      <c r="AH367" s="52"/>
      <c r="AI367" s="52"/>
      <c r="AK367" s="34"/>
      <c r="AL367" s="34"/>
      <c r="AM367" s="34"/>
      <c r="AN367" s="54"/>
      <c r="AO367" s="34"/>
      <c r="AP367" s="34"/>
      <c r="AQ367" s="54"/>
      <c r="AR367" s="54"/>
      <c r="AS367" s="54"/>
      <c r="AT367" s="54"/>
      <c r="AU367" s="34"/>
      <c r="AV367" s="34"/>
      <c r="AW367" s="34"/>
      <c r="AX367" s="34"/>
      <c r="AY367" s="34"/>
      <c r="AZ367" s="44"/>
      <c r="BA367" s="34"/>
      <c r="BB367" s="34"/>
    </row>
    <row r="368" spans="1:54" x14ac:dyDescent="0.35" ht="15.0" customHeight="true">
      <c r="A368" s="51"/>
      <c r="B368" s="34"/>
      <c r="C368" s="34"/>
      <c r="D368" s="34"/>
      <c r="E368" s="34"/>
      <c r="F368" s="34"/>
      <c r="G368" s="44"/>
      <c r="H368" s="34"/>
      <c r="I368" s="54"/>
      <c r="J368" s="34"/>
      <c r="K368" s="54"/>
      <c r="L368" s="34"/>
      <c r="M368" s="44"/>
      <c r="N368" s="44"/>
      <c r="O368" s="34"/>
      <c r="P368" s="34"/>
      <c r="Q368" s="34"/>
      <c r="R368" s="34"/>
      <c r="U368" s="44"/>
      <c r="W368" s="95"/>
      <c r="X368" s="54"/>
      <c r="Y368" s="54"/>
      <c r="Z368" s="34"/>
      <c r="AA368" s="34"/>
      <c r="AB368" s="34"/>
      <c r="AC368" s="34"/>
      <c r="AD368" s="34"/>
      <c r="AE368" s="34"/>
      <c r="AF368" s="34"/>
      <c r="AG368" s="34"/>
      <c r="AH368" s="52"/>
      <c r="AI368" s="52"/>
      <c r="AK368" s="34"/>
      <c r="AL368" s="34"/>
      <c r="AM368" s="34"/>
      <c r="AN368" s="54"/>
      <c r="AO368" s="34"/>
      <c r="AP368" s="34"/>
      <c r="AQ368" s="54"/>
      <c r="AR368" s="54"/>
      <c r="AS368" s="54"/>
      <c r="AT368" s="54"/>
      <c r="AU368" s="34"/>
      <c r="AV368" s="34"/>
      <c r="AW368" s="34"/>
      <c r="AX368" s="34"/>
      <c r="AY368" s="34"/>
      <c r="AZ368" s="44"/>
      <c r="BA368" s="34"/>
      <c r="BB368" s="34"/>
    </row>
    <row r="369" spans="1:54" x14ac:dyDescent="0.35" ht="15.0" customHeight="true">
      <c r="A369" s="51"/>
      <c r="B369" s="34"/>
      <c r="C369" s="34"/>
      <c r="D369" s="34"/>
      <c r="E369" s="34"/>
      <c r="F369" s="34"/>
      <c r="G369" s="44"/>
      <c r="H369" s="34"/>
      <c r="I369" s="54"/>
      <c r="J369" s="34"/>
      <c r="K369" s="54"/>
      <c r="L369" s="34"/>
      <c r="M369" s="44"/>
      <c r="N369" s="44"/>
      <c r="O369" s="34"/>
      <c r="P369" s="34"/>
      <c r="Q369" s="34"/>
      <c r="R369" s="34"/>
      <c r="U369" s="44"/>
      <c r="W369" s="95"/>
      <c r="X369" s="54"/>
      <c r="Y369" s="54"/>
      <c r="Z369" s="34"/>
      <c r="AA369" s="34"/>
      <c r="AB369" s="34"/>
      <c r="AC369" s="34"/>
      <c r="AD369" s="34"/>
      <c r="AE369" s="34"/>
      <c r="AF369" s="34"/>
      <c r="AG369" s="34"/>
      <c r="AH369" s="52"/>
      <c r="AI369" s="52"/>
      <c r="AK369" s="34"/>
      <c r="AL369" s="34"/>
      <c r="AM369" s="34"/>
      <c r="AN369" s="54"/>
      <c r="AO369" s="34"/>
      <c r="AP369" s="34"/>
      <c r="AQ369" s="54"/>
      <c r="AR369" s="54"/>
      <c r="AS369" s="54"/>
      <c r="AT369" s="54"/>
      <c r="AU369" s="34"/>
      <c r="AV369" s="34"/>
      <c r="AW369" s="34"/>
      <c r="AX369" s="34"/>
      <c r="AY369" s="34"/>
      <c r="AZ369" s="44"/>
      <c r="BA369" s="34"/>
      <c r="BB369" s="34"/>
    </row>
    <row r="370" spans="1:54" x14ac:dyDescent="0.35" ht="15.0" customHeight="true">
      <c r="A370" s="51"/>
      <c r="B370" s="34"/>
      <c r="C370" s="34"/>
      <c r="D370" s="34"/>
      <c r="E370" s="34"/>
      <c r="F370" s="34"/>
      <c r="G370" s="44"/>
      <c r="H370" s="34"/>
      <c r="I370" s="54"/>
      <c r="J370" s="34"/>
      <c r="K370" s="54"/>
      <c r="L370" s="34"/>
      <c r="M370" s="44"/>
      <c r="N370" s="44"/>
      <c r="O370" s="34"/>
      <c r="P370" s="34"/>
      <c r="Q370" s="34"/>
      <c r="R370" s="34"/>
      <c r="U370" s="44"/>
      <c r="W370" s="95"/>
      <c r="X370" s="54"/>
      <c r="Y370" s="54"/>
      <c r="Z370" s="34"/>
      <c r="AA370" s="34"/>
      <c r="AB370" s="34"/>
      <c r="AC370" s="34"/>
      <c r="AD370" s="34"/>
      <c r="AE370" s="34"/>
      <c r="AF370" s="34"/>
      <c r="AG370" s="34"/>
      <c r="AH370" s="52"/>
      <c r="AI370" s="52"/>
      <c r="AK370" s="34"/>
      <c r="AL370" s="34"/>
      <c r="AM370" s="34"/>
      <c r="AN370" s="54"/>
      <c r="AO370" s="34"/>
      <c r="AP370" s="34"/>
      <c r="AQ370" s="54"/>
      <c r="AR370" s="54"/>
      <c r="AS370" s="54"/>
      <c r="AT370" s="54"/>
      <c r="AU370" s="34"/>
      <c r="AV370" s="34"/>
      <c r="AW370" s="34"/>
      <c r="AX370" s="34"/>
      <c r="AY370" s="34"/>
      <c r="AZ370" s="44"/>
      <c r="BA370" s="34"/>
      <c r="BB370" s="34"/>
    </row>
    <row r="371" spans="1:54" x14ac:dyDescent="0.35" ht="15.0" customHeight="true">
      <c r="A371" s="51"/>
      <c r="B371" s="34"/>
      <c r="C371" s="34"/>
      <c r="D371" s="34"/>
      <c r="E371" s="34"/>
      <c r="F371" s="34"/>
      <c r="G371" s="44"/>
      <c r="H371" s="34"/>
      <c r="I371" s="54"/>
      <c r="J371" s="34"/>
      <c r="K371" s="54"/>
      <c r="L371" s="34"/>
      <c r="M371" s="44"/>
      <c r="N371" s="44"/>
      <c r="O371" s="34"/>
      <c r="P371" s="34"/>
      <c r="Q371" s="34"/>
      <c r="R371" s="34"/>
      <c r="U371" s="44"/>
      <c r="W371" s="95"/>
      <c r="X371" s="54"/>
      <c r="Y371" s="54"/>
      <c r="Z371" s="34"/>
      <c r="AA371" s="34"/>
      <c r="AB371" s="34"/>
      <c r="AC371" s="34"/>
      <c r="AD371" s="34"/>
      <c r="AE371" s="34"/>
      <c r="AF371" s="34"/>
      <c r="AG371" s="34"/>
      <c r="AH371" s="52"/>
      <c r="AI371" s="52"/>
      <c r="AK371" s="34"/>
      <c r="AL371" s="34"/>
      <c r="AM371" s="34"/>
      <c r="AN371" s="54"/>
      <c r="AO371" s="34"/>
      <c r="AP371" s="34"/>
      <c r="AQ371" s="54"/>
      <c r="AR371" s="54"/>
      <c r="AS371" s="54"/>
      <c r="AT371" s="54"/>
      <c r="AU371" s="34"/>
      <c r="AV371" s="34"/>
      <c r="AW371" s="34"/>
      <c r="AX371" s="34"/>
      <c r="AY371" s="34"/>
      <c r="AZ371" s="44"/>
      <c r="BA371" s="34"/>
      <c r="BB371" s="34"/>
    </row>
    <row r="372" spans="1:54" x14ac:dyDescent="0.35" ht="15.0" customHeight="true">
      <c r="A372" s="51"/>
      <c r="B372" s="34"/>
      <c r="C372" s="34"/>
      <c r="D372" s="34"/>
      <c r="E372" s="34"/>
      <c r="F372" s="34"/>
      <c r="G372" s="44"/>
      <c r="H372" s="34"/>
      <c r="I372" s="54"/>
      <c r="J372" s="34"/>
      <c r="K372" s="54"/>
      <c r="L372" s="34"/>
      <c r="M372" s="44"/>
      <c r="N372" s="44"/>
      <c r="O372" s="34"/>
      <c r="P372" s="34"/>
      <c r="Q372" s="34"/>
      <c r="R372" s="34"/>
      <c r="U372" s="44"/>
      <c r="W372" s="95"/>
      <c r="X372" s="54"/>
      <c r="Y372" s="54"/>
      <c r="Z372" s="34"/>
      <c r="AA372" s="34"/>
      <c r="AB372" s="34"/>
      <c r="AC372" s="34"/>
      <c r="AD372" s="34"/>
      <c r="AE372" s="34"/>
      <c r="AF372" s="34"/>
      <c r="AG372" s="34"/>
      <c r="AH372" s="52"/>
      <c r="AI372" s="52"/>
      <c r="AK372" s="34"/>
      <c r="AL372" s="34"/>
      <c r="AM372" s="34"/>
      <c r="AN372" s="54"/>
      <c r="AO372" s="34"/>
      <c r="AP372" s="34"/>
      <c r="AQ372" s="54"/>
      <c r="AR372" s="54"/>
      <c r="AS372" s="54"/>
      <c r="AT372" s="54"/>
      <c r="AU372" s="34"/>
      <c r="AV372" s="34"/>
      <c r="AW372" s="34"/>
      <c r="AX372" s="34"/>
      <c r="AY372" s="34"/>
      <c r="AZ372" s="44"/>
      <c r="BA372" s="34"/>
      <c r="BB372" s="34"/>
    </row>
    <row r="373" spans="1:54" x14ac:dyDescent="0.35" ht="15.0" customHeight="true">
      <c r="A373" s="51"/>
      <c r="B373" s="34"/>
      <c r="C373" s="34"/>
      <c r="D373" s="34"/>
      <c r="E373" s="34"/>
      <c r="F373" s="34"/>
      <c r="G373" s="44"/>
      <c r="H373" s="34"/>
      <c r="I373" s="54"/>
      <c r="J373" s="34"/>
      <c r="K373" s="54"/>
      <c r="L373" s="34"/>
      <c r="M373" s="44"/>
      <c r="N373" s="44"/>
      <c r="O373" s="34"/>
      <c r="P373" s="34"/>
      <c r="Q373" s="34"/>
      <c r="R373" s="34"/>
      <c r="U373" s="44"/>
      <c r="W373" s="95"/>
      <c r="X373" s="54"/>
      <c r="Y373" s="54"/>
      <c r="Z373" s="34"/>
      <c r="AA373" s="34"/>
      <c r="AB373" s="34"/>
      <c r="AC373" s="34"/>
      <c r="AD373" s="34"/>
      <c r="AE373" s="34"/>
      <c r="AF373" s="34"/>
      <c r="AG373" s="34"/>
      <c r="AH373" s="52"/>
      <c r="AI373" s="52"/>
      <c r="AK373" s="34"/>
      <c r="AL373" s="34"/>
      <c r="AM373" s="34"/>
      <c r="AN373" s="54"/>
      <c r="AO373" s="34"/>
      <c r="AP373" s="34"/>
      <c r="AQ373" s="54"/>
      <c r="AR373" s="54"/>
      <c r="AS373" s="54"/>
      <c r="AT373" s="54"/>
      <c r="AU373" s="34"/>
      <c r="AV373" s="34"/>
      <c r="AW373" s="34"/>
      <c r="AX373" s="34"/>
      <c r="AY373" s="34"/>
      <c r="AZ373" s="44"/>
      <c r="BA373" s="34"/>
      <c r="BB373" s="34"/>
    </row>
    <row r="374" spans="1:54" x14ac:dyDescent="0.35" ht="15.0" customHeight="true">
      <c r="A374" s="51"/>
      <c r="B374" s="34"/>
      <c r="C374" s="34"/>
      <c r="D374" s="34"/>
      <c r="E374" s="34"/>
      <c r="F374" s="34"/>
      <c r="G374" s="44"/>
      <c r="H374" s="34"/>
      <c r="I374" s="54"/>
      <c r="J374" s="34"/>
      <c r="K374" s="54"/>
      <c r="L374" s="34"/>
      <c r="M374" s="44"/>
      <c r="N374" s="44"/>
      <c r="O374" s="34"/>
      <c r="P374" s="34"/>
      <c r="Q374" s="34"/>
      <c r="R374" s="34"/>
      <c r="U374" s="44"/>
      <c r="W374" s="95"/>
      <c r="X374" s="54"/>
      <c r="Y374" s="54"/>
      <c r="Z374" s="34"/>
      <c r="AA374" s="34"/>
      <c r="AB374" s="34"/>
      <c r="AC374" s="34"/>
      <c r="AD374" s="34"/>
      <c r="AE374" s="34"/>
      <c r="AF374" s="34"/>
      <c r="AG374" s="34"/>
      <c r="AH374" s="52"/>
      <c r="AI374" s="52"/>
      <c r="AK374" s="34"/>
      <c r="AL374" s="34"/>
      <c r="AM374" s="34"/>
      <c r="AN374" s="54"/>
      <c r="AO374" s="34"/>
      <c r="AP374" s="34"/>
      <c r="AQ374" s="54"/>
      <c r="AR374" s="54"/>
      <c r="AS374" s="54"/>
      <c r="AT374" s="54"/>
      <c r="AU374" s="34"/>
      <c r="AV374" s="34"/>
      <c r="AW374" s="34"/>
      <c r="AX374" s="34"/>
      <c r="AY374" s="34"/>
      <c r="AZ374" s="44"/>
      <c r="BA374" s="34"/>
      <c r="BB374" s="34"/>
    </row>
    <row r="375" spans="1:54" x14ac:dyDescent="0.35" ht="15.0" customHeight="true">
      <c r="A375" s="51"/>
      <c r="B375" s="34"/>
      <c r="C375" s="34"/>
      <c r="D375" s="34"/>
      <c r="E375" s="34"/>
      <c r="F375" s="34"/>
      <c r="G375" s="44"/>
      <c r="H375" s="34"/>
      <c r="I375" s="54"/>
      <c r="J375" s="34"/>
      <c r="K375" s="54"/>
      <c r="L375" s="34"/>
      <c r="M375" s="44"/>
      <c r="N375" s="44"/>
      <c r="O375" s="34"/>
      <c r="P375" s="34"/>
      <c r="Q375" s="34"/>
      <c r="R375" s="34"/>
      <c r="U375" s="44"/>
      <c r="W375" s="95"/>
      <c r="X375" s="54"/>
      <c r="Y375" s="54"/>
      <c r="Z375" s="34"/>
      <c r="AA375" s="34"/>
      <c r="AB375" s="34"/>
      <c r="AC375" s="34"/>
      <c r="AD375" s="34"/>
      <c r="AE375" s="34"/>
      <c r="AF375" s="34"/>
      <c r="AG375" s="34"/>
      <c r="AH375" s="52"/>
      <c r="AI375" s="52"/>
      <c r="AK375" s="34"/>
      <c r="AL375" s="34"/>
      <c r="AM375" s="34"/>
      <c r="AN375" s="54"/>
      <c r="AO375" s="34"/>
      <c r="AP375" s="34"/>
      <c r="AQ375" s="54"/>
      <c r="AR375" s="54"/>
      <c r="AS375" s="54"/>
      <c r="AT375" s="54"/>
      <c r="AU375" s="34"/>
      <c r="AV375" s="34"/>
      <c r="AW375" s="34"/>
      <c r="AX375" s="34"/>
      <c r="AY375" s="34"/>
      <c r="AZ375" s="44"/>
      <c r="BA375" s="34"/>
      <c r="BB375" s="34"/>
    </row>
    <row r="376" spans="1:54" x14ac:dyDescent="0.35" ht="15.0" customHeight="true">
      <c r="A376" s="51"/>
      <c r="B376" s="34"/>
      <c r="C376" s="34"/>
      <c r="D376" s="34"/>
      <c r="E376" s="34"/>
      <c r="F376" s="34"/>
      <c r="G376" s="44"/>
      <c r="H376" s="34"/>
      <c r="I376" s="54"/>
      <c r="J376" s="34"/>
      <c r="K376" s="54"/>
      <c r="L376" s="34"/>
      <c r="M376" s="44"/>
      <c r="N376" s="44"/>
      <c r="O376" s="34"/>
      <c r="P376" s="34"/>
      <c r="Q376" s="34"/>
      <c r="R376" s="34"/>
      <c r="U376" s="44"/>
      <c r="W376" s="95"/>
      <c r="X376" s="54"/>
      <c r="Y376" s="54"/>
      <c r="Z376" s="34"/>
      <c r="AA376" s="34"/>
      <c r="AB376" s="34"/>
      <c r="AC376" s="34"/>
      <c r="AD376" s="34"/>
      <c r="AE376" s="34"/>
      <c r="AF376" s="34"/>
      <c r="AG376" s="34"/>
      <c r="AH376" s="52"/>
      <c r="AI376" s="52"/>
      <c r="AK376" s="34"/>
      <c r="AL376" s="34"/>
      <c r="AM376" s="34"/>
      <c r="AN376" s="54"/>
      <c r="AO376" s="34"/>
      <c r="AP376" s="34"/>
      <c r="AQ376" s="54"/>
      <c r="AR376" s="54"/>
      <c r="AS376" s="54"/>
      <c r="AT376" s="54"/>
      <c r="AU376" s="34"/>
      <c r="AV376" s="34"/>
      <c r="AW376" s="34"/>
      <c r="AX376" s="34"/>
      <c r="AY376" s="34"/>
      <c r="AZ376" s="44"/>
      <c r="BA376" s="34"/>
      <c r="BB376" s="34"/>
    </row>
    <row r="377" spans="1:54" x14ac:dyDescent="0.35" ht="15.0" customHeight="true">
      <c r="A377" s="51"/>
      <c r="B377" s="34"/>
      <c r="C377" s="34"/>
      <c r="D377" s="34"/>
      <c r="E377" s="34"/>
      <c r="F377" s="34"/>
      <c r="G377" s="44"/>
      <c r="H377" s="34"/>
      <c r="I377" s="54"/>
      <c r="J377" s="34"/>
      <c r="K377" s="54"/>
      <c r="L377" s="34"/>
      <c r="M377" s="44"/>
      <c r="N377" s="44"/>
      <c r="O377" s="34"/>
      <c r="P377" s="34"/>
      <c r="Q377" s="34"/>
      <c r="R377" s="34"/>
      <c r="U377" s="44"/>
      <c r="W377" s="95"/>
      <c r="X377" s="54"/>
      <c r="Y377" s="54"/>
      <c r="Z377" s="34"/>
      <c r="AA377" s="34"/>
      <c r="AB377" s="34"/>
      <c r="AC377" s="34"/>
      <c r="AD377" s="34"/>
      <c r="AE377" s="34"/>
      <c r="AF377" s="34"/>
      <c r="AG377" s="34"/>
      <c r="AH377" s="52"/>
      <c r="AI377" s="52"/>
      <c r="AK377" s="34"/>
      <c r="AL377" s="34"/>
      <c r="AM377" s="34"/>
      <c r="AN377" s="54"/>
      <c r="AO377" s="34"/>
      <c r="AP377" s="34"/>
      <c r="AQ377" s="54"/>
      <c r="AR377" s="54"/>
      <c r="AS377" s="54"/>
      <c r="AT377" s="54"/>
      <c r="AU377" s="34"/>
      <c r="AV377" s="34"/>
      <c r="AW377" s="34"/>
      <c r="AX377" s="34"/>
      <c r="AY377" s="34"/>
      <c r="AZ377" s="44"/>
      <c r="BA377" s="34"/>
      <c r="BB377" s="34"/>
    </row>
    <row r="378" spans="1:54" x14ac:dyDescent="0.35" ht="15.0" customHeight="true">
      <c r="A378" s="51"/>
      <c r="B378" s="34"/>
      <c r="C378" s="34"/>
      <c r="D378" s="34"/>
      <c r="E378" s="34"/>
      <c r="F378" s="34"/>
      <c r="G378" s="44"/>
      <c r="H378" s="34"/>
      <c r="I378" s="54"/>
      <c r="J378" s="34"/>
      <c r="K378" s="54"/>
      <c r="L378" s="34"/>
      <c r="M378" s="44"/>
      <c r="N378" s="44"/>
      <c r="O378" s="34"/>
      <c r="P378" s="34"/>
      <c r="Q378" s="34"/>
      <c r="R378" s="34"/>
      <c r="U378" s="44"/>
      <c r="W378" s="95"/>
      <c r="X378" s="54"/>
      <c r="Y378" s="54"/>
      <c r="Z378" s="34"/>
      <c r="AA378" s="34"/>
      <c r="AB378" s="34"/>
      <c r="AC378" s="34"/>
      <c r="AD378" s="34"/>
      <c r="AE378" s="34"/>
      <c r="AF378" s="34"/>
      <c r="AG378" s="34"/>
      <c r="AH378" s="52"/>
      <c r="AI378" s="52"/>
      <c r="AK378" s="34"/>
      <c r="AL378" s="34"/>
      <c r="AM378" s="34"/>
      <c r="AN378" s="54"/>
      <c r="AO378" s="34"/>
      <c r="AP378" s="34"/>
      <c r="AQ378" s="54"/>
      <c r="AR378" s="54"/>
      <c r="AS378" s="54"/>
      <c r="AT378" s="54"/>
      <c r="AU378" s="34"/>
      <c r="AV378" s="34"/>
      <c r="AW378" s="34"/>
      <c r="AX378" s="34"/>
      <c r="AY378" s="34"/>
      <c r="AZ378" s="44"/>
      <c r="BA378" s="34"/>
      <c r="BB378" s="34"/>
    </row>
    <row r="379" spans="1:54" x14ac:dyDescent="0.35" ht="15.0" customHeight="true">
      <c r="A379" s="51"/>
      <c r="B379" s="34"/>
      <c r="C379" s="34"/>
      <c r="D379" s="34"/>
      <c r="E379" s="34"/>
      <c r="F379" s="34"/>
      <c r="G379" s="44"/>
      <c r="H379" s="34"/>
      <c r="I379" s="54"/>
      <c r="J379" s="34"/>
      <c r="K379" s="54"/>
      <c r="L379" s="34"/>
      <c r="M379" s="44"/>
      <c r="N379" s="44"/>
      <c r="O379" s="34"/>
      <c r="P379" s="34"/>
      <c r="Q379" s="34"/>
      <c r="R379" s="34"/>
      <c r="U379" s="44"/>
      <c r="W379" s="95"/>
      <c r="X379" s="54"/>
      <c r="Y379" s="54"/>
      <c r="Z379" s="34"/>
      <c r="AA379" s="34"/>
      <c r="AB379" s="34"/>
      <c r="AC379" s="34"/>
      <c r="AD379" s="34"/>
      <c r="AE379" s="34"/>
      <c r="AF379" s="34"/>
      <c r="AG379" s="34"/>
      <c r="AH379" s="52"/>
      <c r="AI379" s="52"/>
      <c r="AK379" s="34"/>
      <c r="AL379" s="34"/>
      <c r="AM379" s="34"/>
      <c r="AN379" s="54"/>
      <c r="AO379" s="34"/>
      <c r="AP379" s="34"/>
      <c r="AQ379" s="54"/>
      <c r="AR379" s="54"/>
      <c r="AS379" s="54"/>
      <c r="AT379" s="54"/>
      <c r="AU379" s="34"/>
      <c r="AV379" s="34"/>
      <c r="AW379" s="34"/>
      <c r="AX379" s="34"/>
      <c r="AY379" s="34"/>
      <c r="AZ379" s="44"/>
      <c r="BA379" s="34"/>
      <c r="BB379" s="34"/>
    </row>
    <row r="380" spans="1:54" x14ac:dyDescent="0.35" ht="15.0" customHeight="true">
      <c r="A380" s="51"/>
      <c r="B380" s="34"/>
      <c r="C380" s="34"/>
      <c r="D380" s="34"/>
      <c r="E380" s="34"/>
      <c r="F380" s="34"/>
      <c r="G380" s="44"/>
      <c r="H380" s="34"/>
      <c r="I380" s="54"/>
      <c r="J380" s="34"/>
      <c r="K380" s="54"/>
      <c r="L380" s="34"/>
      <c r="M380" s="44"/>
      <c r="N380" s="44"/>
      <c r="O380" s="34"/>
      <c r="P380" s="34"/>
      <c r="Q380" s="34"/>
      <c r="R380" s="34"/>
      <c r="U380" s="44"/>
      <c r="W380" s="95"/>
      <c r="X380" s="54"/>
      <c r="Y380" s="54"/>
      <c r="Z380" s="34"/>
      <c r="AA380" s="34"/>
      <c r="AB380" s="34"/>
      <c r="AC380" s="34"/>
      <c r="AD380" s="34"/>
      <c r="AE380" s="34"/>
      <c r="AF380" s="34"/>
      <c r="AG380" s="34"/>
      <c r="AH380" s="52"/>
      <c r="AI380" s="52"/>
      <c r="AK380" s="34"/>
      <c r="AL380" s="34"/>
      <c r="AM380" s="34"/>
      <c r="AN380" s="54"/>
      <c r="AO380" s="34"/>
      <c r="AP380" s="34"/>
      <c r="AQ380" s="54"/>
      <c r="AR380" s="54"/>
      <c r="AS380" s="54"/>
      <c r="AT380" s="54"/>
      <c r="AU380" s="34"/>
      <c r="AV380" s="34"/>
      <c r="AW380" s="34"/>
      <c r="AX380" s="34"/>
      <c r="AY380" s="34"/>
      <c r="AZ380" s="44"/>
      <c r="BA380" s="34"/>
      <c r="BB380" s="34"/>
    </row>
    <row r="381" spans="1:54" x14ac:dyDescent="0.35" ht="15.0" customHeight="true">
      <c r="A381" s="51"/>
      <c r="B381" s="34"/>
      <c r="C381" s="34"/>
      <c r="D381" s="34"/>
      <c r="E381" s="34"/>
      <c r="F381" s="34"/>
      <c r="G381" s="44"/>
      <c r="H381" s="34"/>
      <c r="I381" s="54"/>
      <c r="J381" s="34"/>
      <c r="K381" s="54"/>
      <c r="L381" s="34"/>
      <c r="M381" s="44"/>
      <c r="N381" s="44"/>
      <c r="O381" s="34"/>
      <c r="P381" s="34"/>
      <c r="Q381" s="34"/>
      <c r="R381" s="34"/>
      <c r="U381" s="44"/>
      <c r="W381" s="95"/>
      <c r="X381" s="54"/>
      <c r="Y381" s="54"/>
      <c r="Z381" s="34"/>
      <c r="AA381" s="34"/>
      <c r="AB381" s="34"/>
      <c r="AC381" s="34"/>
      <c r="AD381" s="34"/>
      <c r="AE381" s="34"/>
      <c r="AF381" s="34"/>
      <c r="AG381" s="34"/>
      <c r="AH381" s="52"/>
      <c r="AI381" s="52"/>
      <c r="AK381" s="34"/>
      <c r="AL381" s="34"/>
      <c r="AM381" s="34"/>
      <c r="AN381" s="54"/>
      <c r="AO381" s="34"/>
      <c r="AP381" s="34"/>
      <c r="AQ381" s="54"/>
      <c r="AR381" s="54"/>
      <c r="AS381" s="54"/>
      <c r="AT381" s="54"/>
      <c r="AU381" s="34"/>
      <c r="AV381" s="34"/>
      <c r="AW381" s="34"/>
      <c r="AX381" s="34"/>
      <c r="AY381" s="34"/>
      <c r="AZ381" s="44"/>
      <c r="BA381" s="34"/>
      <c r="BB381" s="34"/>
    </row>
    <row r="382" spans="1:54" x14ac:dyDescent="0.35" ht="15.0" customHeight="true">
      <c r="A382" s="51"/>
      <c r="B382" s="34"/>
      <c r="C382" s="34"/>
      <c r="D382" s="34"/>
      <c r="E382" s="34"/>
      <c r="F382" s="34"/>
      <c r="G382" s="44"/>
      <c r="H382" s="34"/>
      <c r="I382" s="54"/>
      <c r="J382" s="34"/>
      <c r="K382" s="54"/>
      <c r="L382" s="34"/>
      <c r="M382" s="44"/>
      <c r="N382" s="44"/>
      <c r="O382" s="34"/>
      <c r="P382" s="34"/>
      <c r="Q382" s="34"/>
      <c r="R382" s="34"/>
      <c r="U382" s="44"/>
      <c r="W382" s="95"/>
      <c r="X382" s="54"/>
      <c r="Y382" s="54"/>
      <c r="Z382" s="34"/>
      <c r="AA382" s="34"/>
      <c r="AB382" s="34"/>
      <c r="AC382" s="34"/>
      <c r="AD382" s="34"/>
      <c r="AE382" s="34"/>
      <c r="AF382" s="34"/>
      <c r="AG382" s="34"/>
      <c r="AH382" s="52"/>
      <c r="AI382" s="52"/>
      <c r="AK382" s="34"/>
      <c r="AL382" s="34"/>
      <c r="AM382" s="34"/>
      <c r="AN382" s="54"/>
      <c r="AO382" s="34"/>
      <c r="AP382" s="34"/>
      <c r="AQ382" s="54"/>
      <c r="AR382" s="54"/>
      <c r="AS382" s="54"/>
      <c r="AT382" s="54"/>
      <c r="AU382" s="34"/>
      <c r="AV382" s="34"/>
      <c r="AW382" s="34"/>
      <c r="AX382" s="34"/>
      <c r="AY382" s="34"/>
      <c r="AZ382" s="44"/>
      <c r="BA382" s="34"/>
      <c r="BB382" s="34"/>
    </row>
    <row r="383" spans="1:54" x14ac:dyDescent="0.35" ht="15.0" customHeight="true">
      <c r="A383" s="51"/>
      <c r="B383" s="34"/>
      <c r="C383" s="34"/>
      <c r="D383" s="34"/>
      <c r="E383" s="34"/>
      <c r="F383" s="34"/>
      <c r="G383" s="44"/>
      <c r="H383" s="34"/>
      <c r="I383" s="54"/>
      <c r="J383" s="34"/>
      <c r="K383" s="54"/>
      <c r="L383" s="34"/>
      <c r="M383" s="44"/>
      <c r="N383" s="44"/>
      <c r="O383" s="34"/>
      <c r="P383" s="34"/>
      <c r="Q383" s="34"/>
      <c r="R383" s="34"/>
      <c r="U383" s="44"/>
      <c r="W383" s="95"/>
      <c r="X383" s="54"/>
      <c r="Y383" s="54"/>
      <c r="Z383" s="34"/>
      <c r="AA383" s="34"/>
      <c r="AB383" s="34"/>
      <c r="AC383" s="34"/>
      <c r="AD383" s="34"/>
      <c r="AE383" s="34"/>
      <c r="AF383" s="34"/>
      <c r="AG383" s="34"/>
      <c r="AH383" s="52"/>
      <c r="AI383" s="52"/>
      <c r="AK383" s="34"/>
      <c r="AL383" s="34"/>
      <c r="AM383" s="34"/>
      <c r="AN383" s="54"/>
      <c r="AO383" s="34"/>
      <c r="AP383" s="34"/>
      <c r="AQ383" s="54"/>
      <c r="AR383" s="54"/>
      <c r="AS383" s="54"/>
      <c r="AT383" s="54"/>
      <c r="AU383" s="34"/>
      <c r="AV383" s="34"/>
      <c r="AW383" s="34"/>
      <c r="AX383" s="34"/>
      <c r="AY383" s="34"/>
      <c r="AZ383" s="44"/>
      <c r="BA383" s="34"/>
      <c r="BB383" s="34"/>
    </row>
    <row r="384" spans="1:54" x14ac:dyDescent="0.35" ht="15.0" customHeight="true">
      <c r="A384" s="51"/>
      <c r="B384" s="34"/>
      <c r="C384" s="34"/>
      <c r="D384" s="34"/>
      <c r="E384" s="34"/>
      <c r="F384" s="34"/>
      <c r="G384" s="44"/>
      <c r="H384" s="34"/>
      <c r="I384" s="54"/>
      <c r="J384" s="34"/>
      <c r="K384" s="54"/>
      <c r="L384" s="34"/>
      <c r="M384" s="44"/>
      <c r="N384" s="44"/>
      <c r="O384" s="34"/>
      <c r="P384" s="34"/>
      <c r="Q384" s="34"/>
      <c r="R384" s="34"/>
      <c r="U384" s="44"/>
      <c r="W384" s="95"/>
      <c r="X384" s="54"/>
      <c r="Y384" s="54"/>
      <c r="Z384" s="34"/>
      <c r="AA384" s="34"/>
      <c r="AB384" s="34"/>
      <c r="AC384" s="34"/>
      <c r="AD384" s="34"/>
      <c r="AE384" s="34"/>
      <c r="AF384" s="34"/>
      <c r="AG384" s="34"/>
      <c r="AH384" s="52"/>
      <c r="AI384" s="52"/>
      <c r="AK384" s="34"/>
      <c r="AL384" s="34"/>
      <c r="AM384" s="34"/>
      <c r="AN384" s="54"/>
      <c r="AO384" s="34"/>
      <c r="AP384" s="34"/>
      <c r="AQ384" s="54"/>
      <c r="AR384" s="54"/>
      <c r="AS384" s="54"/>
      <c r="AT384" s="54"/>
      <c r="AU384" s="34"/>
      <c r="AV384" s="34"/>
      <c r="AW384" s="34"/>
      <c r="AX384" s="34"/>
      <c r="AY384" s="34"/>
      <c r="AZ384" s="44"/>
      <c r="BA384" s="34"/>
      <c r="BB384" s="34"/>
    </row>
    <row r="385" spans="1:54" x14ac:dyDescent="0.35" ht="15.0" customHeight="true">
      <c r="A385" s="51"/>
      <c r="B385" s="34"/>
      <c r="C385" s="34"/>
      <c r="D385" s="34"/>
      <c r="E385" s="34"/>
      <c r="F385" s="34"/>
      <c r="G385" s="44"/>
      <c r="H385" s="34"/>
      <c r="I385" s="54"/>
      <c r="J385" s="34"/>
      <c r="K385" s="54"/>
      <c r="L385" s="34"/>
      <c r="M385" s="44"/>
      <c r="N385" s="44"/>
      <c r="O385" s="34"/>
      <c r="P385" s="34"/>
      <c r="Q385" s="34"/>
      <c r="R385" s="34"/>
      <c r="U385" s="44"/>
      <c r="W385" s="95"/>
      <c r="X385" s="54"/>
      <c r="Y385" s="54"/>
      <c r="Z385" s="34"/>
      <c r="AA385" s="34"/>
      <c r="AB385" s="34"/>
      <c r="AC385" s="34"/>
      <c r="AD385" s="34"/>
      <c r="AE385" s="34"/>
      <c r="AF385" s="34"/>
      <c r="AG385" s="34"/>
      <c r="AH385" s="52"/>
      <c r="AI385" s="52"/>
      <c r="AK385" s="34"/>
      <c r="AL385" s="34"/>
      <c r="AM385" s="34"/>
      <c r="AN385" s="54"/>
      <c r="AO385" s="34"/>
      <c r="AP385" s="34"/>
      <c r="AQ385" s="54"/>
      <c r="AR385" s="54"/>
      <c r="AS385" s="54"/>
      <c r="AT385" s="54"/>
      <c r="AU385" s="34"/>
      <c r="AV385" s="34"/>
      <c r="AW385" s="34"/>
      <c r="AX385" s="34"/>
      <c r="AY385" s="34"/>
      <c r="AZ385" s="44"/>
      <c r="BA385" s="34"/>
      <c r="BB385" s="34"/>
    </row>
    <row r="386" spans="1:54" x14ac:dyDescent="0.35" ht="15.0" customHeight="true">
      <c r="A386" s="51"/>
      <c r="B386" s="34"/>
      <c r="C386" s="34"/>
      <c r="D386" s="34"/>
      <c r="E386" s="34"/>
      <c r="F386" s="34"/>
      <c r="G386" s="44"/>
      <c r="H386" s="34"/>
      <c r="I386" s="54"/>
      <c r="J386" s="34"/>
      <c r="K386" s="54"/>
      <c r="L386" s="34"/>
      <c r="M386" s="44"/>
      <c r="N386" s="44"/>
      <c r="O386" s="34"/>
      <c r="P386" s="34"/>
      <c r="Q386" s="34"/>
      <c r="R386" s="34"/>
      <c r="U386" s="44"/>
      <c r="W386" s="95"/>
      <c r="X386" s="54"/>
      <c r="Y386" s="54"/>
      <c r="Z386" s="34"/>
      <c r="AA386" s="34"/>
      <c r="AB386" s="34"/>
      <c r="AC386" s="34"/>
      <c r="AD386" s="34"/>
      <c r="AE386" s="34"/>
      <c r="AF386" s="34"/>
      <c r="AG386" s="34"/>
      <c r="AH386" s="52"/>
      <c r="AI386" s="52"/>
      <c r="AK386" s="34"/>
      <c r="AL386" s="34"/>
      <c r="AM386" s="34"/>
      <c r="AN386" s="54"/>
      <c r="AO386" s="34"/>
      <c r="AP386" s="34"/>
      <c r="AQ386" s="54"/>
      <c r="AR386" s="54"/>
      <c r="AS386" s="54"/>
      <c r="AT386" s="54"/>
      <c r="AU386" s="34"/>
      <c r="AV386" s="34"/>
      <c r="AW386" s="34"/>
      <c r="AX386" s="34"/>
      <c r="AY386" s="34"/>
      <c r="AZ386" s="44"/>
      <c r="BA386" s="34"/>
      <c r="BB386" s="34"/>
    </row>
    <row r="387" spans="1:54" x14ac:dyDescent="0.35" ht="15.0" customHeight="true">
      <c r="A387" s="51"/>
      <c r="B387" s="34"/>
      <c r="C387" s="34"/>
      <c r="D387" s="34"/>
      <c r="E387" s="34"/>
      <c r="F387" s="34"/>
      <c r="G387" s="44"/>
      <c r="H387" s="34"/>
      <c r="I387" s="54"/>
      <c r="J387" s="34"/>
      <c r="K387" s="54"/>
      <c r="L387" s="34"/>
      <c r="M387" s="44"/>
      <c r="N387" s="44"/>
      <c r="O387" s="34"/>
      <c r="P387" s="34"/>
      <c r="Q387" s="34"/>
      <c r="R387" s="34"/>
      <c r="U387" s="44"/>
      <c r="W387" s="95"/>
      <c r="X387" s="54"/>
      <c r="Y387" s="54"/>
      <c r="Z387" s="34"/>
      <c r="AA387" s="34"/>
      <c r="AB387" s="34"/>
      <c r="AC387" s="34"/>
      <c r="AD387" s="34"/>
      <c r="AE387" s="34"/>
      <c r="AF387" s="34"/>
      <c r="AG387" s="34"/>
      <c r="AH387" s="52"/>
      <c r="AI387" s="52"/>
      <c r="AK387" s="34"/>
      <c r="AL387" s="34"/>
      <c r="AM387" s="34"/>
      <c r="AN387" s="54"/>
      <c r="AO387" s="34"/>
      <c r="AP387" s="34"/>
      <c r="AQ387" s="54"/>
      <c r="AR387" s="54"/>
      <c r="AS387" s="54"/>
      <c r="AT387" s="54"/>
      <c r="AU387" s="34"/>
      <c r="AV387" s="34"/>
      <c r="AW387" s="34"/>
      <c r="AX387" s="34"/>
      <c r="AY387" s="34"/>
      <c r="AZ387" s="44"/>
      <c r="BA387" s="34"/>
      <c r="BB387" s="34"/>
    </row>
    <row r="388" spans="1:54" x14ac:dyDescent="0.35" ht="15.0" customHeight="true">
      <c r="A388" s="51"/>
      <c r="B388" s="34"/>
      <c r="C388" s="34"/>
      <c r="D388" s="34"/>
      <c r="E388" s="34"/>
      <c r="F388" s="34"/>
      <c r="G388" s="44"/>
      <c r="H388" s="34"/>
      <c r="I388" s="54"/>
      <c r="J388" s="34"/>
      <c r="K388" s="54"/>
      <c r="L388" s="34"/>
      <c r="M388" s="44"/>
      <c r="N388" s="44"/>
      <c r="O388" s="34"/>
      <c r="P388" s="34"/>
      <c r="Q388" s="34"/>
      <c r="R388" s="34"/>
      <c r="U388" s="44"/>
      <c r="W388" s="95"/>
      <c r="X388" s="54"/>
      <c r="Y388" s="54"/>
      <c r="Z388" s="34"/>
      <c r="AA388" s="34"/>
      <c r="AB388" s="34"/>
      <c r="AC388" s="34"/>
      <c r="AD388" s="34"/>
      <c r="AE388" s="34"/>
      <c r="AF388" s="34"/>
      <c r="AG388" s="34"/>
      <c r="AH388" s="52"/>
      <c r="AI388" s="52"/>
      <c r="AK388" s="34"/>
      <c r="AL388" s="34"/>
      <c r="AM388" s="34"/>
      <c r="AN388" s="54"/>
      <c r="AO388" s="34"/>
      <c r="AP388" s="34"/>
      <c r="AQ388" s="54"/>
      <c r="AR388" s="54"/>
      <c r="AS388" s="54"/>
      <c r="AT388" s="54"/>
      <c r="AU388" s="34"/>
      <c r="AV388" s="34"/>
      <c r="AW388" s="34"/>
      <c r="AX388" s="34"/>
      <c r="AY388" s="34"/>
      <c r="AZ388" s="44"/>
      <c r="BA388" s="34"/>
      <c r="BB388" s="34"/>
    </row>
    <row r="389" spans="1:54" x14ac:dyDescent="0.35" ht="15.0" customHeight="true">
      <c r="A389" s="51"/>
      <c r="B389" s="34"/>
      <c r="C389" s="34"/>
      <c r="D389" s="34"/>
      <c r="E389" s="34"/>
      <c r="F389" s="34"/>
      <c r="G389" s="44"/>
      <c r="H389" s="34"/>
      <c r="I389" s="54"/>
      <c r="J389" s="34"/>
      <c r="K389" s="54"/>
      <c r="L389" s="34"/>
      <c r="M389" s="44"/>
      <c r="N389" s="44"/>
      <c r="O389" s="34"/>
      <c r="P389" s="34"/>
      <c r="Q389" s="34"/>
      <c r="R389" s="34"/>
      <c r="U389" s="44"/>
      <c r="W389" s="95"/>
      <c r="X389" s="54"/>
      <c r="Y389" s="54"/>
      <c r="Z389" s="34"/>
      <c r="AA389" s="34"/>
      <c r="AB389" s="34"/>
      <c r="AC389" s="34"/>
      <c r="AD389" s="34"/>
      <c r="AE389" s="34"/>
      <c r="AF389" s="34"/>
      <c r="AG389" s="34"/>
      <c r="AH389" s="52"/>
      <c r="AI389" s="52"/>
      <c r="AK389" s="34"/>
      <c r="AL389" s="34"/>
      <c r="AM389" s="34"/>
      <c r="AN389" s="54"/>
      <c r="AO389" s="34"/>
      <c r="AP389" s="34"/>
      <c r="AQ389" s="54"/>
      <c r="AR389" s="54"/>
      <c r="AS389" s="54"/>
      <c r="AT389" s="54"/>
      <c r="AU389" s="34"/>
      <c r="AV389" s="34"/>
      <c r="AW389" s="34"/>
      <c r="AX389" s="34"/>
      <c r="AY389" s="34"/>
      <c r="AZ389" s="44"/>
      <c r="BA389" s="34"/>
      <c r="BB389" s="34"/>
    </row>
    <row r="390" spans="1:54" x14ac:dyDescent="0.35" ht="15.0" customHeight="true">
      <c r="A390" s="51"/>
      <c r="B390" s="34"/>
      <c r="C390" s="34"/>
      <c r="D390" s="34"/>
      <c r="E390" s="34"/>
      <c r="F390" s="34"/>
      <c r="G390" s="44"/>
      <c r="H390" s="34"/>
      <c r="I390" s="54"/>
      <c r="J390" s="34"/>
      <c r="K390" s="54"/>
      <c r="L390" s="34"/>
      <c r="M390" s="44"/>
      <c r="N390" s="44"/>
      <c r="O390" s="34"/>
      <c r="P390" s="34"/>
      <c r="Q390" s="34"/>
      <c r="R390" s="34"/>
      <c r="U390" s="44"/>
      <c r="W390" s="95"/>
      <c r="X390" s="54"/>
      <c r="Y390" s="54"/>
      <c r="Z390" s="34"/>
      <c r="AA390" s="34"/>
      <c r="AB390" s="34"/>
      <c r="AC390" s="34"/>
      <c r="AD390" s="34"/>
      <c r="AE390" s="34"/>
      <c r="AF390" s="34"/>
      <c r="AG390" s="34"/>
      <c r="AH390" s="52"/>
      <c r="AI390" s="52"/>
      <c r="AK390" s="34"/>
      <c r="AL390" s="34"/>
      <c r="AM390" s="34"/>
      <c r="AN390" s="54"/>
      <c r="AO390" s="34"/>
      <c r="AP390" s="34"/>
      <c r="AQ390" s="54"/>
      <c r="AR390" s="54"/>
      <c r="AS390" s="54"/>
      <c r="AT390" s="54"/>
      <c r="AU390" s="34"/>
      <c r="AV390" s="34"/>
      <c r="AW390" s="34"/>
      <c r="AX390" s="34"/>
      <c r="AY390" s="34"/>
      <c r="AZ390" s="44"/>
      <c r="BA390" s="34"/>
      <c r="BB390" s="34"/>
    </row>
    <row r="391" spans="1:54" x14ac:dyDescent="0.35" ht="15.0" customHeight="true">
      <c r="A391" s="51"/>
      <c r="B391" s="34"/>
      <c r="C391" s="34"/>
      <c r="D391" s="34"/>
      <c r="E391" s="34"/>
      <c r="F391" s="34"/>
      <c r="G391" s="44"/>
      <c r="H391" s="34"/>
      <c r="I391" s="54"/>
      <c r="J391" s="34"/>
      <c r="K391" s="54"/>
      <c r="L391" s="34"/>
      <c r="M391" s="44"/>
      <c r="N391" s="44"/>
      <c r="O391" s="34"/>
      <c r="P391" s="34"/>
      <c r="Q391" s="34"/>
      <c r="R391" s="34"/>
      <c r="U391" s="44"/>
      <c r="W391" s="95"/>
      <c r="X391" s="54"/>
      <c r="Y391" s="54"/>
      <c r="Z391" s="34"/>
      <c r="AA391" s="34"/>
      <c r="AB391" s="34"/>
      <c r="AC391" s="34"/>
      <c r="AD391" s="34"/>
      <c r="AE391" s="34"/>
      <c r="AF391" s="34"/>
      <c r="AG391" s="34"/>
      <c r="AH391" s="52"/>
      <c r="AI391" s="52"/>
      <c r="AK391" s="34"/>
      <c r="AL391" s="34"/>
      <c r="AM391" s="34"/>
      <c r="AN391" s="54"/>
      <c r="AO391" s="34"/>
      <c r="AP391" s="34"/>
      <c r="AQ391" s="54"/>
      <c r="AR391" s="54"/>
      <c r="AS391" s="54"/>
      <c r="AT391" s="54"/>
      <c r="AU391" s="34"/>
      <c r="AV391" s="34"/>
      <c r="AW391" s="34"/>
      <c r="AX391" s="34"/>
      <c r="AY391" s="34"/>
      <c r="AZ391" s="44"/>
      <c r="BA391" s="34"/>
      <c r="BB391" s="34"/>
    </row>
    <row r="392" spans="1:54" x14ac:dyDescent="0.35" ht="15.0" customHeight="true">
      <c r="A392" s="51"/>
      <c r="B392" s="34"/>
      <c r="C392" s="34"/>
      <c r="D392" s="34"/>
      <c r="E392" s="34"/>
      <c r="F392" s="34"/>
      <c r="G392" s="44"/>
      <c r="H392" s="34"/>
      <c r="I392" s="54"/>
      <c r="J392" s="34"/>
      <c r="K392" s="54"/>
      <c r="L392" s="34"/>
      <c r="M392" s="44"/>
      <c r="N392" s="44"/>
      <c r="O392" s="34"/>
      <c r="P392" s="34"/>
      <c r="Q392" s="34"/>
      <c r="R392" s="34"/>
      <c r="U392" s="44"/>
      <c r="W392" s="95"/>
      <c r="X392" s="54"/>
      <c r="Y392" s="54"/>
      <c r="Z392" s="34"/>
      <c r="AA392" s="34"/>
      <c r="AB392" s="34"/>
      <c r="AC392" s="34"/>
      <c r="AD392" s="34"/>
      <c r="AE392" s="34"/>
      <c r="AF392" s="34"/>
      <c r="AG392" s="34"/>
      <c r="AH392" s="52"/>
      <c r="AI392" s="52"/>
      <c r="AK392" s="34"/>
      <c r="AL392" s="34"/>
      <c r="AM392" s="34"/>
      <c r="AN392" s="54"/>
      <c r="AO392" s="34"/>
      <c r="AP392" s="34"/>
      <c r="AQ392" s="54"/>
      <c r="AR392" s="54"/>
      <c r="AS392" s="54"/>
      <c r="AT392" s="54"/>
      <c r="AU392" s="34"/>
      <c r="AV392" s="34"/>
      <c r="AW392" s="34"/>
      <c r="AX392" s="34"/>
      <c r="AY392" s="34"/>
      <c r="AZ392" s="44"/>
      <c r="BA392" s="34"/>
      <c r="BB392" s="34"/>
    </row>
    <row r="393" spans="1:54" x14ac:dyDescent="0.35" ht="15.0" customHeight="true">
      <c r="A393" s="51"/>
      <c r="B393" s="34"/>
      <c r="C393" s="34"/>
      <c r="D393" s="34"/>
      <c r="E393" s="34"/>
      <c r="F393" s="34"/>
      <c r="G393" s="44"/>
      <c r="H393" s="34"/>
      <c r="I393" s="54"/>
      <c r="J393" s="34"/>
      <c r="K393" s="54"/>
      <c r="L393" s="34"/>
      <c r="M393" s="44"/>
      <c r="N393" s="44"/>
      <c r="O393" s="34"/>
      <c r="P393" s="34"/>
      <c r="Q393" s="34"/>
      <c r="R393" s="34"/>
      <c r="U393" s="44"/>
      <c r="W393" s="95"/>
      <c r="X393" s="54"/>
      <c r="Y393" s="54"/>
      <c r="Z393" s="34"/>
      <c r="AA393" s="34"/>
      <c r="AB393" s="34"/>
      <c r="AC393" s="34"/>
      <c r="AD393" s="34"/>
      <c r="AE393" s="34"/>
      <c r="AF393" s="34"/>
      <c r="AG393" s="34"/>
      <c r="AH393" s="52"/>
      <c r="AI393" s="52"/>
      <c r="AK393" s="34"/>
      <c r="AL393" s="34"/>
      <c r="AM393" s="34"/>
      <c r="AN393" s="54"/>
      <c r="AO393" s="34"/>
      <c r="AP393" s="34"/>
      <c r="AQ393" s="54"/>
      <c r="AR393" s="54"/>
      <c r="AS393" s="54"/>
      <c r="AT393" s="54"/>
      <c r="AU393" s="34"/>
      <c r="AV393" s="34"/>
      <c r="AW393" s="34"/>
      <c r="AX393" s="34"/>
      <c r="AY393" s="34"/>
      <c r="AZ393" s="44"/>
      <c r="BA393" s="34"/>
      <c r="BB393" s="34"/>
    </row>
    <row r="394" spans="1:54" x14ac:dyDescent="0.35" ht="15.0" customHeight="true">
      <c r="A394" s="51"/>
      <c r="B394" s="34"/>
      <c r="C394" s="34"/>
      <c r="D394" s="34"/>
      <c r="E394" s="34"/>
      <c r="F394" s="34"/>
      <c r="G394" s="44"/>
      <c r="H394" s="34"/>
      <c r="I394" s="54"/>
      <c r="J394" s="34"/>
      <c r="K394" s="54"/>
      <c r="L394" s="34"/>
      <c r="M394" s="44"/>
      <c r="N394" s="44"/>
      <c r="O394" s="34"/>
      <c r="P394" s="34"/>
      <c r="Q394" s="34"/>
      <c r="R394" s="34"/>
      <c r="U394" s="44"/>
      <c r="W394" s="95"/>
      <c r="X394" s="54"/>
      <c r="Y394" s="54"/>
      <c r="Z394" s="34"/>
      <c r="AA394" s="34"/>
      <c r="AB394" s="34"/>
      <c r="AC394" s="34"/>
      <c r="AD394" s="34"/>
      <c r="AE394" s="34"/>
      <c r="AF394" s="34"/>
      <c r="AG394" s="34"/>
      <c r="AH394" s="52"/>
      <c r="AI394" s="52"/>
      <c r="AK394" s="34"/>
      <c r="AL394" s="34"/>
      <c r="AM394" s="34"/>
      <c r="AN394" s="54"/>
      <c r="AO394" s="34"/>
      <c r="AP394" s="34"/>
      <c r="AQ394" s="54"/>
      <c r="AR394" s="54"/>
      <c r="AS394" s="54"/>
      <c r="AT394" s="54"/>
      <c r="AU394" s="34"/>
      <c r="AV394" s="34"/>
      <c r="AW394" s="34"/>
      <c r="AX394" s="34"/>
      <c r="AY394" s="34"/>
      <c r="AZ394" s="44"/>
      <c r="BA394" s="34"/>
      <c r="BB394" s="34"/>
    </row>
    <row r="395" spans="1:54" x14ac:dyDescent="0.35" ht="15.0" customHeight="true">
      <c r="A395" s="51"/>
      <c r="B395" s="34"/>
      <c r="C395" s="34"/>
      <c r="D395" s="34"/>
      <c r="E395" s="34"/>
      <c r="F395" s="34"/>
      <c r="G395" s="44"/>
      <c r="H395" s="34"/>
      <c r="I395" s="54"/>
      <c r="J395" s="34"/>
      <c r="K395" s="54"/>
      <c r="L395" s="34"/>
      <c r="M395" s="44"/>
      <c r="N395" s="44"/>
      <c r="O395" s="34"/>
      <c r="P395" s="34"/>
      <c r="Q395" s="34"/>
      <c r="R395" s="34"/>
      <c r="U395" s="44"/>
      <c r="W395" s="95"/>
      <c r="X395" s="54"/>
      <c r="Y395" s="54"/>
      <c r="Z395" s="34"/>
      <c r="AA395" s="34"/>
      <c r="AB395" s="34"/>
      <c r="AC395" s="34"/>
      <c r="AD395" s="34"/>
      <c r="AE395" s="34"/>
      <c r="AF395" s="34"/>
      <c r="AG395" s="34"/>
      <c r="AH395" s="52"/>
      <c r="AI395" s="52"/>
      <c r="AK395" s="34"/>
      <c r="AL395" s="34"/>
      <c r="AM395" s="34"/>
      <c r="AN395" s="54"/>
      <c r="AO395" s="34"/>
      <c r="AP395" s="34"/>
      <c r="AQ395" s="54"/>
      <c r="AR395" s="54"/>
      <c r="AS395" s="54"/>
      <c r="AT395" s="54"/>
      <c r="AU395" s="34"/>
      <c r="AV395" s="34"/>
      <c r="AW395" s="34"/>
      <c r="AX395" s="34"/>
      <c r="AY395" s="34"/>
      <c r="AZ395" s="44"/>
      <c r="BA395" s="34"/>
      <c r="BB395" s="34"/>
    </row>
    <row r="396" spans="1:54" x14ac:dyDescent="0.35" ht="15.0" customHeight="true">
      <c r="A396" s="51"/>
      <c r="B396" s="34"/>
      <c r="C396" s="34"/>
      <c r="D396" s="34"/>
      <c r="E396" s="34"/>
      <c r="F396" s="34"/>
      <c r="G396" s="44"/>
      <c r="H396" s="34"/>
      <c r="I396" s="54"/>
      <c r="J396" s="34"/>
      <c r="K396" s="54"/>
      <c r="L396" s="34"/>
      <c r="M396" s="44"/>
      <c r="N396" s="44"/>
      <c r="O396" s="34"/>
      <c r="P396" s="34"/>
      <c r="Q396" s="34"/>
      <c r="R396" s="34"/>
      <c r="U396" s="44"/>
      <c r="W396" s="95"/>
      <c r="X396" s="54"/>
      <c r="Y396" s="54"/>
      <c r="Z396" s="34"/>
      <c r="AA396" s="34"/>
      <c r="AB396" s="34"/>
      <c r="AC396" s="34"/>
      <c r="AD396" s="34"/>
      <c r="AE396" s="34"/>
      <c r="AF396" s="34"/>
      <c r="AG396" s="34"/>
      <c r="AH396" s="52"/>
      <c r="AI396" s="52"/>
      <c r="AK396" s="34"/>
      <c r="AL396" s="34"/>
      <c r="AM396" s="34"/>
      <c r="AN396" s="54"/>
      <c r="AO396" s="34"/>
      <c r="AP396" s="34"/>
      <c r="AQ396" s="54"/>
      <c r="AR396" s="54"/>
      <c r="AS396" s="54"/>
      <c r="AT396" s="54"/>
      <c r="AU396" s="34"/>
      <c r="AV396" s="34"/>
      <c r="AW396" s="34"/>
      <c r="AX396" s="34"/>
      <c r="AY396" s="34"/>
      <c r="AZ396" s="44"/>
      <c r="BA396" s="34"/>
      <c r="BB396" s="34"/>
    </row>
    <row r="397" spans="1:54" x14ac:dyDescent="0.35" ht="15.0" customHeight="true">
      <c r="A397" s="51"/>
      <c r="B397" s="34"/>
      <c r="C397" s="34"/>
      <c r="D397" s="34"/>
      <c r="E397" s="34"/>
      <c r="F397" s="34"/>
      <c r="G397" s="44"/>
      <c r="H397" s="34"/>
      <c r="I397" s="54"/>
      <c r="J397" s="34"/>
      <c r="K397" s="54"/>
      <c r="L397" s="34"/>
      <c r="M397" s="44"/>
      <c r="N397" s="44"/>
      <c r="O397" s="34"/>
      <c r="P397" s="34"/>
      <c r="Q397" s="34"/>
      <c r="R397" s="34"/>
      <c r="U397" s="44"/>
      <c r="W397" s="95"/>
      <c r="X397" s="54"/>
      <c r="Y397" s="54"/>
      <c r="Z397" s="34"/>
      <c r="AA397" s="34"/>
      <c r="AB397" s="34"/>
      <c r="AC397" s="34"/>
      <c r="AD397" s="34"/>
      <c r="AE397" s="34"/>
      <c r="AF397" s="34"/>
      <c r="AG397" s="34"/>
      <c r="AH397" s="52"/>
      <c r="AI397" s="52"/>
      <c r="AK397" s="34"/>
      <c r="AL397" s="34"/>
      <c r="AM397" s="34"/>
      <c r="AN397" s="54"/>
      <c r="AO397" s="34"/>
      <c r="AP397" s="34"/>
      <c r="AQ397" s="54"/>
      <c r="AR397" s="54"/>
      <c r="AS397" s="54"/>
      <c r="AT397" s="54"/>
      <c r="AU397" s="34"/>
      <c r="AV397" s="34"/>
      <c r="AW397" s="34"/>
      <c r="AX397" s="34"/>
      <c r="AY397" s="34"/>
      <c r="AZ397" s="44"/>
      <c r="BA397" s="34"/>
      <c r="BB397" s="34"/>
    </row>
    <row r="398" spans="1:54" x14ac:dyDescent="0.35" ht="15.0" customHeight="true">
      <c r="A398" s="51"/>
      <c r="B398" s="34"/>
      <c r="C398" s="34"/>
      <c r="D398" s="34"/>
      <c r="E398" s="34"/>
      <c r="F398" s="34"/>
      <c r="G398" s="44"/>
      <c r="H398" s="34"/>
      <c r="I398" s="54"/>
      <c r="J398" s="34"/>
      <c r="K398" s="54"/>
      <c r="L398" s="34"/>
      <c r="M398" s="44"/>
      <c r="N398" s="44"/>
      <c r="O398" s="34"/>
      <c r="P398" s="34"/>
      <c r="Q398" s="34"/>
      <c r="R398" s="34"/>
      <c r="U398" s="44"/>
      <c r="W398" s="95"/>
      <c r="X398" s="54"/>
      <c r="Y398" s="54"/>
      <c r="Z398" s="34"/>
      <c r="AA398" s="34"/>
      <c r="AB398" s="34"/>
      <c r="AC398" s="34"/>
      <c r="AD398" s="34"/>
      <c r="AE398" s="34"/>
      <c r="AF398" s="34"/>
      <c r="AG398" s="34"/>
      <c r="AH398" s="52"/>
      <c r="AI398" s="52"/>
      <c r="AK398" s="34"/>
      <c r="AL398" s="34"/>
      <c r="AM398" s="34"/>
      <c r="AN398" s="54"/>
      <c r="AO398" s="34"/>
      <c r="AP398" s="34"/>
      <c r="AQ398" s="54"/>
      <c r="AR398" s="54"/>
      <c r="AS398" s="54"/>
      <c r="AT398" s="54"/>
      <c r="AU398" s="34"/>
      <c r="AV398" s="34"/>
      <c r="AW398" s="34"/>
      <c r="AX398" s="34"/>
      <c r="AY398" s="34"/>
      <c r="AZ398" s="44"/>
      <c r="BA398" s="34"/>
      <c r="BB398" s="34"/>
    </row>
    <row r="399" spans="1:54" x14ac:dyDescent="0.35" ht="15.0" customHeight="true">
      <c r="A399" s="51"/>
      <c r="B399" s="34"/>
      <c r="C399" s="34"/>
      <c r="D399" s="34"/>
      <c r="E399" s="34"/>
      <c r="F399" s="34"/>
      <c r="G399" s="44"/>
      <c r="H399" s="34"/>
      <c r="I399" s="54"/>
      <c r="J399" s="34"/>
      <c r="K399" s="54"/>
      <c r="L399" s="34"/>
      <c r="M399" s="44"/>
      <c r="N399" s="44"/>
      <c r="O399" s="34"/>
      <c r="P399" s="34"/>
      <c r="Q399" s="34"/>
      <c r="R399" s="34"/>
      <c r="U399" s="44"/>
      <c r="W399" s="95"/>
      <c r="X399" s="54"/>
      <c r="Y399" s="54"/>
      <c r="Z399" s="34"/>
      <c r="AA399" s="34"/>
      <c r="AB399" s="34"/>
      <c r="AC399" s="34"/>
      <c r="AD399" s="34"/>
      <c r="AE399" s="34"/>
      <c r="AF399" s="34"/>
      <c r="AG399" s="34"/>
      <c r="AH399" s="52"/>
      <c r="AI399" s="52"/>
      <c r="AK399" s="34"/>
      <c r="AL399" s="34"/>
      <c r="AM399" s="34"/>
      <c r="AN399" s="54"/>
      <c r="AO399" s="34"/>
      <c r="AP399" s="34"/>
      <c r="AQ399" s="54"/>
      <c r="AR399" s="54"/>
      <c r="AS399" s="54"/>
      <c r="AT399" s="54"/>
      <c r="AU399" s="34"/>
      <c r="AV399" s="34"/>
      <c r="AW399" s="34"/>
      <c r="AX399" s="34"/>
      <c r="AY399" s="34"/>
      <c r="AZ399" s="44"/>
      <c r="BA399" s="34"/>
      <c r="BB399" s="34"/>
    </row>
    <row r="400" spans="1:54" x14ac:dyDescent="0.35" ht="15.0" customHeight="true">
      <c r="A400" s="51"/>
      <c r="B400" s="34"/>
      <c r="C400" s="34"/>
      <c r="D400" s="34"/>
      <c r="E400" s="34"/>
      <c r="F400" s="34"/>
      <c r="G400" s="44"/>
      <c r="H400" s="34"/>
      <c r="I400" s="54"/>
      <c r="J400" s="34"/>
      <c r="K400" s="54"/>
      <c r="L400" s="34"/>
      <c r="M400" s="44"/>
      <c r="N400" s="44"/>
      <c r="O400" s="34"/>
      <c r="P400" s="34"/>
      <c r="Q400" s="34"/>
      <c r="R400" s="34"/>
      <c r="U400" s="44"/>
      <c r="W400" s="95"/>
      <c r="X400" s="54"/>
      <c r="Y400" s="54"/>
      <c r="Z400" s="34"/>
      <c r="AA400" s="34"/>
      <c r="AB400" s="34"/>
      <c r="AC400" s="34"/>
      <c r="AD400" s="34"/>
      <c r="AE400" s="34"/>
      <c r="AF400" s="34"/>
      <c r="AG400" s="34"/>
      <c r="AH400" s="52"/>
      <c r="AI400" s="52"/>
      <c r="AK400" s="34"/>
      <c r="AL400" s="34"/>
      <c r="AM400" s="34"/>
      <c r="AN400" s="54"/>
      <c r="AO400" s="34"/>
      <c r="AP400" s="34"/>
      <c r="AQ400" s="54"/>
      <c r="AR400" s="54"/>
      <c r="AS400" s="54"/>
      <c r="AT400" s="54"/>
      <c r="AU400" s="34"/>
      <c r="AV400" s="34"/>
      <c r="AW400" s="34"/>
      <c r="AX400" s="34"/>
      <c r="AY400" s="34"/>
      <c r="AZ400" s="44"/>
      <c r="BA400" s="34"/>
      <c r="BB400" s="34"/>
    </row>
    <row r="401" spans="1:54" x14ac:dyDescent="0.35" ht="15.0" customHeight="true">
      <c r="A401" s="51"/>
      <c r="B401" s="34"/>
      <c r="C401" s="34"/>
      <c r="D401" s="34"/>
      <c r="E401" s="34"/>
      <c r="F401" s="34"/>
      <c r="G401" s="44"/>
      <c r="H401" s="34"/>
      <c r="I401" s="54"/>
      <c r="J401" s="34"/>
      <c r="K401" s="54"/>
      <c r="L401" s="34"/>
      <c r="M401" s="44"/>
      <c r="N401" s="44"/>
      <c r="O401" s="34"/>
      <c r="P401" s="34"/>
      <c r="Q401" s="34"/>
      <c r="R401" s="34"/>
      <c r="U401" s="44"/>
      <c r="W401" s="95"/>
      <c r="X401" s="54"/>
      <c r="Y401" s="54"/>
      <c r="Z401" s="34"/>
      <c r="AA401" s="34"/>
      <c r="AB401" s="34"/>
      <c r="AC401" s="34"/>
      <c r="AD401" s="34"/>
      <c r="AE401" s="34"/>
      <c r="AF401" s="34"/>
      <c r="AG401" s="34"/>
      <c r="AH401" s="52"/>
      <c r="AI401" s="52"/>
      <c r="AK401" s="34"/>
      <c r="AL401" s="34"/>
      <c r="AM401" s="34"/>
      <c r="AN401" s="54"/>
      <c r="AO401" s="34"/>
      <c r="AP401" s="34"/>
      <c r="AQ401" s="54"/>
      <c r="AR401" s="54"/>
      <c r="AS401" s="54"/>
      <c r="AT401" s="54"/>
      <c r="AU401" s="34"/>
      <c r="AV401" s="34"/>
      <c r="AW401" s="34"/>
      <c r="AX401" s="34"/>
      <c r="AY401" s="34"/>
      <c r="AZ401" s="44"/>
      <c r="BA401" s="34"/>
      <c r="BB401" s="34"/>
    </row>
    <row r="402" spans="1:54" x14ac:dyDescent="0.35" ht="15.0" customHeight="true">
      <c r="A402" s="51"/>
      <c r="B402" s="34"/>
      <c r="C402" s="34"/>
      <c r="D402" s="34"/>
      <c r="E402" s="34"/>
      <c r="F402" s="34"/>
      <c r="G402" s="44"/>
      <c r="H402" s="34"/>
      <c r="I402" s="54"/>
      <c r="J402" s="34"/>
      <c r="K402" s="54"/>
      <c r="L402" s="34"/>
      <c r="M402" s="44"/>
      <c r="N402" s="44"/>
      <c r="O402" s="34"/>
      <c r="P402" s="34"/>
      <c r="Q402" s="34"/>
      <c r="R402" s="34"/>
      <c r="U402" s="44"/>
      <c r="W402" s="95"/>
      <c r="X402" s="54"/>
      <c r="Y402" s="54"/>
      <c r="Z402" s="34"/>
      <c r="AA402" s="34"/>
      <c r="AB402" s="34"/>
      <c r="AC402" s="34"/>
      <c r="AD402" s="34"/>
      <c r="AE402" s="34"/>
      <c r="AF402" s="34"/>
      <c r="AG402" s="34"/>
      <c r="AH402" s="52"/>
      <c r="AI402" s="52"/>
      <c r="AK402" s="34"/>
      <c r="AL402" s="34"/>
      <c r="AM402" s="34"/>
      <c r="AN402" s="54"/>
      <c r="AO402" s="34"/>
      <c r="AP402" s="34"/>
      <c r="AQ402" s="54"/>
      <c r="AR402" s="54"/>
      <c r="AS402" s="54"/>
      <c r="AT402" s="54"/>
      <c r="AU402" s="34"/>
      <c r="AV402" s="34"/>
      <c r="AW402" s="34"/>
      <c r="AX402" s="34"/>
      <c r="AY402" s="34"/>
      <c r="AZ402" s="44"/>
      <c r="BA402" s="34"/>
      <c r="BB402" s="34"/>
    </row>
    <row r="403" spans="1:54" x14ac:dyDescent="0.35" ht="15.0" customHeight="true">
      <c r="A403" s="51"/>
      <c r="B403" s="34"/>
      <c r="C403" s="34"/>
      <c r="D403" s="34"/>
      <c r="E403" s="34"/>
      <c r="F403" s="34"/>
      <c r="G403" s="44"/>
      <c r="H403" s="34"/>
      <c r="I403" s="54"/>
      <c r="J403" s="34"/>
      <c r="K403" s="54"/>
      <c r="L403" s="34"/>
      <c r="M403" s="44"/>
      <c r="N403" s="44"/>
      <c r="O403" s="34"/>
      <c r="P403" s="34"/>
      <c r="Q403" s="34"/>
      <c r="R403" s="34"/>
      <c r="U403" s="44"/>
      <c r="W403" s="95"/>
      <c r="X403" s="54"/>
      <c r="Y403" s="54"/>
      <c r="Z403" s="34"/>
      <c r="AA403" s="34"/>
      <c r="AB403" s="34"/>
      <c r="AC403" s="34"/>
      <c r="AD403" s="34"/>
      <c r="AE403" s="34"/>
      <c r="AF403" s="34"/>
      <c r="AG403" s="34"/>
      <c r="AH403" s="52"/>
      <c r="AI403" s="52"/>
      <c r="AK403" s="34"/>
      <c r="AL403" s="34"/>
      <c r="AM403" s="34"/>
      <c r="AN403" s="54"/>
      <c r="AO403" s="34"/>
      <c r="AP403" s="34"/>
      <c r="AQ403" s="54"/>
      <c r="AR403" s="54"/>
      <c r="AS403" s="54"/>
      <c r="AT403" s="54"/>
      <c r="AU403" s="34"/>
      <c r="AV403" s="34"/>
      <c r="AW403" s="34"/>
      <c r="AX403" s="34"/>
      <c r="AY403" s="34"/>
      <c r="AZ403" s="44"/>
      <c r="BA403" s="34"/>
      <c r="BB403" s="34"/>
    </row>
    <row r="404" spans="1:54" x14ac:dyDescent="0.35" ht="15.0" customHeight="true">
      <c r="A404" s="51"/>
      <c r="B404" s="34"/>
      <c r="C404" s="34"/>
      <c r="D404" s="34"/>
      <c r="E404" s="34"/>
      <c r="F404" s="34"/>
      <c r="G404" s="44"/>
      <c r="H404" s="34"/>
      <c r="I404" s="54"/>
      <c r="J404" s="34"/>
      <c r="K404" s="54"/>
      <c r="L404" s="34"/>
      <c r="M404" s="44"/>
      <c r="N404" s="44"/>
      <c r="O404" s="34"/>
      <c r="P404" s="34"/>
      <c r="Q404" s="34"/>
      <c r="R404" s="34"/>
      <c r="U404" s="44"/>
      <c r="W404" s="95"/>
      <c r="X404" s="54"/>
      <c r="Y404" s="54"/>
      <c r="Z404" s="34"/>
      <c r="AA404" s="34"/>
      <c r="AB404" s="34"/>
      <c r="AC404" s="34"/>
      <c r="AD404" s="34"/>
      <c r="AE404" s="34"/>
      <c r="AF404" s="34"/>
      <c r="AG404" s="34"/>
      <c r="AH404" s="52"/>
      <c r="AI404" s="52"/>
      <c r="AK404" s="34"/>
      <c r="AL404" s="34"/>
      <c r="AM404" s="34"/>
      <c r="AN404" s="54"/>
      <c r="AO404" s="34"/>
      <c r="AP404" s="34"/>
      <c r="AQ404" s="54"/>
      <c r="AR404" s="54"/>
      <c r="AS404" s="54"/>
      <c r="AT404" s="54"/>
      <c r="AU404" s="34"/>
      <c r="AV404" s="34"/>
      <c r="AW404" s="34"/>
      <c r="AX404" s="34"/>
      <c r="AY404" s="34"/>
      <c r="AZ404" s="44"/>
      <c r="BA404" s="34"/>
      <c r="BB404" s="34"/>
    </row>
    <row r="405" spans="1:54" x14ac:dyDescent="0.35" ht="15.0" customHeight="true">
      <c r="A405" s="51"/>
      <c r="B405" s="34"/>
      <c r="C405" s="34"/>
      <c r="D405" s="34"/>
      <c r="E405" s="34"/>
      <c r="F405" s="34"/>
      <c r="G405" s="44"/>
      <c r="H405" s="34"/>
      <c r="I405" s="54"/>
      <c r="J405" s="34"/>
      <c r="K405" s="54"/>
      <c r="L405" s="34"/>
      <c r="M405" s="44"/>
      <c r="N405" s="44"/>
      <c r="O405" s="34"/>
      <c r="P405" s="34"/>
      <c r="Q405" s="34"/>
      <c r="R405" s="34"/>
      <c r="U405" s="44"/>
      <c r="W405" s="95"/>
      <c r="X405" s="54"/>
      <c r="Y405" s="54"/>
      <c r="Z405" s="34"/>
      <c r="AA405" s="34"/>
      <c r="AB405" s="34"/>
      <c r="AC405" s="34"/>
      <c r="AD405" s="34"/>
      <c r="AE405" s="34"/>
      <c r="AF405" s="34"/>
      <c r="AG405" s="34"/>
      <c r="AH405" s="52"/>
      <c r="AI405" s="52"/>
      <c r="AK405" s="34"/>
      <c r="AL405" s="34"/>
      <c r="AM405" s="34"/>
      <c r="AN405" s="54"/>
      <c r="AO405" s="34"/>
      <c r="AP405" s="34"/>
      <c r="AQ405" s="54"/>
      <c r="AR405" s="54"/>
      <c r="AS405" s="54"/>
      <c r="AT405" s="54"/>
      <c r="AU405" s="34"/>
      <c r="AV405" s="34"/>
      <c r="AW405" s="34"/>
      <c r="AX405" s="34"/>
      <c r="AY405" s="34"/>
      <c r="AZ405" s="44"/>
      <c r="BA405" s="34"/>
      <c r="BB405" s="34"/>
    </row>
    <row r="406" spans="1:54" x14ac:dyDescent="0.35" ht="15.0" customHeight="true">
      <c r="A406" s="51"/>
      <c r="B406" s="34"/>
      <c r="C406" s="34"/>
      <c r="D406" s="34"/>
      <c r="E406" s="34"/>
      <c r="F406" s="34"/>
      <c r="G406" s="44"/>
      <c r="H406" s="34"/>
      <c r="I406" s="54"/>
      <c r="J406" s="34"/>
      <c r="K406" s="54"/>
      <c r="L406" s="34"/>
      <c r="M406" s="44"/>
      <c r="N406" s="44"/>
      <c r="O406" s="34"/>
      <c r="P406" s="34"/>
      <c r="Q406" s="34"/>
      <c r="R406" s="34"/>
      <c r="U406" s="44"/>
      <c r="W406" s="95"/>
      <c r="X406" s="54"/>
      <c r="Y406" s="54"/>
      <c r="Z406" s="34"/>
      <c r="AA406" s="34"/>
      <c r="AB406" s="34"/>
      <c r="AC406" s="34"/>
      <c r="AD406" s="34"/>
      <c r="AE406" s="34"/>
      <c r="AF406" s="34"/>
      <c r="AG406" s="34"/>
      <c r="AH406" s="52"/>
      <c r="AI406" s="52"/>
      <c r="AK406" s="34"/>
      <c r="AL406" s="34"/>
      <c r="AM406" s="34"/>
      <c r="AN406" s="54"/>
      <c r="AO406" s="34"/>
      <c r="AP406" s="34"/>
      <c r="AQ406" s="54"/>
      <c r="AR406" s="54"/>
      <c r="AS406" s="54"/>
      <c r="AT406" s="54"/>
      <c r="AU406" s="34"/>
      <c r="AV406" s="34"/>
      <c r="AW406" s="34"/>
      <c r="AX406" s="34"/>
      <c r="AY406" s="34"/>
      <c r="AZ406" s="44"/>
      <c r="BA406" s="34"/>
      <c r="BB406" s="34"/>
    </row>
    <row r="407" spans="1:54" x14ac:dyDescent="0.35" ht="15.0" customHeight="true">
      <c r="A407" s="51"/>
      <c r="B407" s="34"/>
      <c r="C407" s="34"/>
      <c r="D407" s="34"/>
      <c r="E407" s="34"/>
      <c r="F407" s="34"/>
      <c r="G407" s="44"/>
      <c r="H407" s="34"/>
      <c r="I407" s="54"/>
      <c r="J407" s="34"/>
      <c r="K407" s="54"/>
      <c r="L407" s="34"/>
      <c r="M407" s="44"/>
      <c r="N407" s="44"/>
      <c r="O407" s="34"/>
      <c r="P407" s="34"/>
      <c r="Q407" s="34"/>
      <c r="R407" s="34"/>
      <c r="U407" s="44"/>
      <c r="W407" s="95"/>
      <c r="X407" s="54"/>
      <c r="Y407" s="54"/>
      <c r="Z407" s="34"/>
      <c r="AA407" s="34"/>
      <c r="AB407" s="34"/>
      <c r="AC407" s="34"/>
      <c r="AD407" s="34"/>
      <c r="AE407" s="34"/>
      <c r="AF407" s="34"/>
      <c r="AG407" s="34"/>
      <c r="AH407" s="52"/>
      <c r="AI407" s="52"/>
      <c r="AK407" s="34"/>
      <c r="AL407" s="34"/>
      <c r="AM407" s="34"/>
      <c r="AN407" s="54"/>
      <c r="AO407" s="34"/>
      <c r="AP407" s="34"/>
      <c r="AQ407" s="54"/>
      <c r="AR407" s="54"/>
      <c r="AS407" s="54"/>
      <c r="AT407" s="54"/>
      <c r="AU407" s="34"/>
      <c r="AV407" s="34"/>
      <c r="AW407" s="34"/>
      <c r="AX407" s="34"/>
      <c r="AY407" s="34"/>
      <c r="AZ407" s="44"/>
      <c r="BA407" s="34"/>
      <c r="BB407" s="34"/>
    </row>
    <row r="408" spans="1:54" x14ac:dyDescent="0.35" ht="15.0" customHeight="true">
      <c r="A408" s="51"/>
      <c r="B408" s="34"/>
      <c r="C408" s="34"/>
      <c r="D408" s="34"/>
      <c r="E408" s="34"/>
      <c r="F408" s="34"/>
      <c r="G408" s="44"/>
      <c r="H408" s="34"/>
      <c r="I408" s="54"/>
      <c r="J408" s="34"/>
      <c r="K408" s="54"/>
      <c r="L408" s="34"/>
      <c r="M408" s="44"/>
      <c r="N408" s="44"/>
      <c r="O408" s="34"/>
      <c r="P408" s="34"/>
      <c r="Q408" s="34"/>
      <c r="R408" s="34"/>
      <c r="U408" s="44"/>
      <c r="W408" s="95"/>
      <c r="X408" s="54"/>
      <c r="Y408" s="54"/>
      <c r="Z408" s="34"/>
      <c r="AA408" s="34"/>
      <c r="AB408" s="34"/>
      <c r="AC408" s="34"/>
      <c r="AD408" s="34"/>
      <c r="AE408" s="34"/>
      <c r="AF408" s="34"/>
      <c r="AG408" s="34"/>
      <c r="AH408" s="52"/>
      <c r="AI408" s="52"/>
      <c r="AK408" s="34"/>
      <c r="AL408" s="34"/>
      <c r="AM408" s="34"/>
      <c r="AN408" s="54"/>
      <c r="AO408" s="34"/>
      <c r="AP408" s="34"/>
      <c r="AQ408" s="54"/>
      <c r="AR408" s="54"/>
      <c r="AS408" s="54"/>
      <c r="AT408" s="54"/>
      <c r="AU408" s="34"/>
      <c r="AV408" s="34"/>
      <c r="AW408" s="34"/>
      <c r="AX408" s="34"/>
      <c r="AY408" s="34"/>
      <c r="AZ408" s="44"/>
      <c r="BA408" s="34"/>
      <c r="BB408" s="34"/>
    </row>
    <row r="409" spans="1:54" x14ac:dyDescent="0.35" ht="15.0" customHeight="true">
      <c r="A409" s="51"/>
      <c r="B409" s="34"/>
      <c r="C409" s="34"/>
      <c r="D409" s="34"/>
      <c r="E409" s="34"/>
      <c r="F409" s="34"/>
      <c r="G409" s="44"/>
      <c r="H409" s="34"/>
      <c r="I409" s="54"/>
      <c r="J409" s="34"/>
      <c r="K409" s="54"/>
      <c r="L409" s="34"/>
      <c r="M409" s="44"/>
      <c r="N409" s="44"/>
      <c r="O409" s="34"/>
      <c r="P409" s="34"/>
      <c r="Q409" s="34"/>
      <c r="R409" s="34"/>
      <c r="U409" s="44"/>
      <c r="W409" s="95"/>
      <c r="X409" s="54"/>
      <c r="Y409" s="54"/>
      <c r="Z409" s="34"/>
      <c r="AA409" s="34"/>
      <c r="AB409" s="34"/>
      <c r="AC409" s="34"/>
      <c r="AD409" s="34"/>
      <c r="AE409" s="34"/>
      <c r="AF409" s="34"/>
      <c r="AG409" s="34"/>
      <c r="AH409" s="52"/>
      <c r="AI409" s="52"/>
      <c r="AK409" s="34"/>
      <c r="AL409" s="34"/>
      <c r="AM409" s="34"/>
      <c r="AN409" s="54"/>
      <c r="AO409" s="34"/>
      <c r="AP409" s="34"/>
      <c r="AQ409" s="54"/>
      <c r="AR409" s="54"/>
      <c r="AS409" s="54"/>
      <c r="AT409" s="54"/>
      <c r="AU409" s="34"/>
      <c r="AV409" s="34"/>
      <c r="AW409" s="34"/>
      <c r="AX409" s="34"/>
      <c r="AY409" s="34"/>
      <c r="AZ409" s="44"/>
      <c r="BA409" s="34"/>
      <c r="BB409" s="34"/>
    </row>
    <row r="410" spans="1:54" x14ac:dyDescent="0.35" ht="15.0" customHeight="true">
      <c r="A410" s="51"/>
      <c r="B410" s="34"/>
      <c r="C410" s="34"/>
      <c r="D410" s="34"/>
      <c r="E410" s="34"/>
      <c r="F410" s="34"/>
      <c r="G410" s="44"/>
      <c r="H410" s="34"/>
      <c r="I410" s="54"/>
      <c r="J410" s="34"/>
      <c r="K410" s="54"/>
      <c r="L410" s="34"/>
      <c r="M410" s="44"/>
      <c r="N410" s="44"/>
      <c r="O410" s="34"/>
      <c r="P410" s="34"/>
      <c r="Q410" s="34"/>
      <c r="R410" s="34"/>
      <c r="U410" s="44"/>
      <c r="W410" s="95"/>
      <c r="X410" s="54"/>
      <c r="Y410" s="54"/>
      <c r="Z410" s="34"/>
      <c r="AA410" s="34"/>
      <c r="AB410" s="34"/>
      <c r="AC410" s="34"/>
      <c r="AD410" s="34"/>
      <c r="AE410" s="34"/>
      <c r="AF410" s="34"/>
      <c r="AG410" s="34"/>
      <c r="AH410" s="52"/>
      <c r="AI410" s="52"/>
      <c r="AK410" s="34"/>
      <c r="AL410" s="34"/>
      <c r="AM410" s="34"/>
      <c r="AN410" s="54"/>
      <c r="AO410" s="34"/>
      <c r="AP410" s="34"/>
      <c r="AQ410" s="54"/>
      <c r="AR410" s="54"/>
      <c r="AS410" s="54"/>
      <c r="AT410" s="54"/>
      <c r="AU410" s="34"/>
      <c r="AV410" s="34"/>
      <c r="AW410" s="34"/>
      <c r="AX410" s="34"/>
      <c r="AY410" s="34"/>
      <c r="AZ410" s="44"/>
      <c r="BA410" s="34"/>
      <c r="BB410" s="34"/>
    </row>
    <row r="411" spans="1:54" x14ac:dyDescent="0.35" ht="15.0" customHeight="true">
      <c r="A411" s="51"/>
      <c r="B411" s="34"/>
      <c r="C411" s="34"/>
      <c r="D411" s="34"/>
      <c r="E411" s="34"/>
      <c r="F411" s="34"/>
      <c r="G411" s="44"/>
      <c r="H411" s="34"/>
      <c r="I411" s="54"/>
      <c r="J411" s="34"/>
      <c r="K411" s="54"/>
      <c r="L411" s="34"/>
      <c r="M411" s="44"/>
      <c r="N411" s="44"/>
      <c r="O411" s="34"/>
      <c r="P411" s="34"/>
      <c r="Q411" s="34"/>
      <c r="R411" s="34"/>
      <c r="U411" s="44"/>
      <c r="W411" s="95"/>
      <c r="X411" s="54"/>
      <c r="Y411" s="54"/>
      <c r="Z411" s="34"/>
      <c r="AA411" s="34"/>
      <c r="AB411" s="34"/>
      <c r="AC411" s="34"/>
      <c r="AD411" s="34"/>
      <c r="AE411" s="34"/>
      <c r="AF411" s="34"/>
      <c r="AG411" s="34"/>
      <c r="AH411" s="52"/>
      <c r="AI411" s="52"/>
      <c r="AK411" s="34"/>
      <c r="AL411" s="34"/>
      <c r="AM411" s="34"/>
      <c r="AN411" s="54"/>
      <c r="AO411" s="34"/>
      <c r="AP411" s="34"/>
      <c r="AQ411" s="54"/>
      <c r="AR411" s="54"/>
      <c r="AS411" s="54"/>
      <c r="AT411" s="54"/>
      <c r="AU411" s="34"/>
      <c r="AV411" s="34"/>
      <c r="AW411" s="34"/>
      <c r="AX411" s="34"/>
      <c r="AY411" s="34"/>
      <c r="AZ411" s="44"/>
      <c r="BA411" s="34"/>
      <c r="BB411" s="34"/>
    </row>
    <row r="412" spans="1:54" x14ac:dyDescent="0.35" ht="15.0" customHeight="true">
      <c r="A412" s="51"/>
      <c r="B412" s="34"/>
      <c r="C412" s="34"/>
      <c r="D412" s="34"/>
      <c r="E412" s="34"/>
      <c r="F412" s="34"/>
      <c r="G412" s="44"/>
      <c r="H412" s="34"/>
      <c r="I412" s="54"/>
      <c r="J412" s="34"/>
      <c r="K412" s="54"/>
      <c r="L412" s="34"/>
      <c r="M412" s="44"/>
      <c r="N412" s="44"/>
      <c r="O412" s="34"/>
      <c r="P412" s="34"/>
      <c r="Q412" s="34"/>
      <c r="R412" s="34"/>
      <c r="U412" s="44"/>
      <c r="W412" s="95"/>
      <c r="X412" s="54"/>
      <c r="Y412" s="54"/>
      <c r="Z412" s="34"/>
      <c r="AA412" s="34"/>
      <c r="AB412" s="34"/>
      <c r="AC412" s="34"/>
      <c r="AD412" s="34"/>
      <c r="AE412" s="34"/>
      <c r="AF412" s="34"/>
      <c r="AG412" s="34"/>
      <c r="AH412" s="52"/>
      <c r="AI412" s="52"/>
      <c r="AK412" s="34"/>
      <c r="AL412" s="34"/>
      <c r="AM412" s="34"/>
      <c r="AN412" s="54"/>
      <c r="AO412" s="34"/>
      <c r="AP412" s="34"/>
      <c r="AQ412" s="54"/>
      <c r="AR412" s="54"/>
      <c r="AS412" s="54"/>
      <c r="AT412" s="54"/>
      <c r="AU412" s="34"/>
      <c r="AV412" s="34"/>
      <c r="AW412" s="34"/>
      <c r="AX412" s="34"/>
      <c r="AY412" s="34"/>
      <c r="AZ412" s="44"/>
      <c r="BA412" s="34"/>
      <c r="BB412" s="34"/>
    </row>
    <row r="413" spans="1:54" x14ac:dyDescent="0.35" ht="15.0" customHeight="true">
      <c r="A413" s="51"/>
      <c r="B413" s="34"/>
      <c r="C413" s="34"/>
      <c r="D413" s="34"/>
      <c r="E413" s="34"/>
      <c r="F413" s="34"/>
      <c r="G413" s="44"/>
      <c r="H413" s="34"/>
      <c r="I413" s="54"/>
      <c r="J413" s="34"/>
      <c r="K413" s="54"/>
      <c r="L413" s="34"/>
      <c r="M413" s="44"/>
      <c r="N413" s="44"/>
      <c r="O413" s="34"/>
      <c r="P413" s="34"/>
      <c r="Q413" s="34"/>
      <c r="R413" s="34"/>
      <c r="U413" s="44"/>
      <c r="W413" s="95"/>
      <c r="X413" s="54"/>
      <c r="Y413" s="54"/>
      <c r="Z413" s="34"/>
      <c r="AA413" s="34"/>
      <c r="AB413" s="34"/>
      <c r="AC413" s="34"/>
      <c r="AD413" s="34"/>
      <c r="AE413" s="34"/>
      <c r="AF413" s="34"/>
      <c r="AG413" s="34"/>
      <c r="AH413" s="52"/>
      <c r="AI413" s="52"/>
      <c r="AK413" s="34"/>
      <c r="AL413" s="34"/>
      <c r="AM413" s="34"/>
      <c r="AN413" s="54"/>
      <c r="AO413" s="34"/>
      <c r="AP413" s="34"/>
      <c r="AQ413" s="54"/>
      <c r="AR413" s="54"/>
      <c r="AS413" s="54"/>
      <c r="AT413" s="54"/>
      <c r="AU413" s="34"/>
      <c r="AV413" s="34"/>
      <c r="AW413" s="34"/>
      <c r="AX413" s="34"/>
      <c r="AY413" s="34"/>
      <c r="AZ413" s="44"/>
      <c r="BA413" s="34"/>
      <c r="BB413" s="34"/>
    </row>
    <row r="414" spans="1:54" x14ac:dyDescent="0.35" ht="15.0" customHeight="true">
      <c r="A414" s="51"/>
      <c r="B414" s="34"/>
      <c r="C414" s="34"/>
      <c r="D414" s="34"/>
      <c r="E414" s="34"/>
      <c r="F414" s="34"/>
      <c r="G414" s="44"/>
      <c r="H414" s="34"/>
      <c r="I414" s="54"/>
      <c r="J414" s="34"/>
      <c r="K414" s="54"/>
      <c r="L414" s="34"/>
      <c r="M414" s="44"/>
      <c r="N414" s="44"/>
      <c r="O414" s="34"/>
      <c r="P414" s="34"/>
      <c r="Q414" s="34"/>
      <c r="R414" s="34"/>
      <c r="U414" s="44"/>
      <c r="W414" s="95"/>
      <c r="X414" s="54"/>
      <c r="Y414" s="54"/>
      <c r="Z414" s="34"/>
      <c r="AA414" s="34"/>
      <c r="AB414" s="34"/>
      <c r="AC414" s="34"/>
      <c r="AD414" s="34"/>
      <c r="AE414" s="34"/>
      <c r="AF414" s="34"/>
      <c r="AG414" s="34"/>
      <c r="AH414" s="52"/>
      <c r="AI414" s="52"/>
      <c r="AK414" s="34"/>
      <c r="AL414" s="34"/>
      <c r="AM414" s="34"/>
      <c r="AN414" s="54"/>
      <c r="AO414" s="34"/>
      <c r="AP414" s="34"/>
      <c r="AQ414" s="54"/>
      <c r="AR414" s="54"/>
      <c r="AS414" s="54"/>
      <c r="AT414" s="54"/>
      <c r="AU414" s="34"/>
      <c r="AV414" s="34"/>
      <c r="AW414" s="34"/>
      <c r="AX414" s="34"/>
      <c r="AY414" s="34"/>
      <c r="AZ414" s="44"/>
      <c r="BA414" s="34"/>
      <c r="BB414" s="34"/>
    </row>
    <row r="415" spans="1:54" x14ac:dyDescent="0.35" ht="15.0" customHeight="true">
      <c r="A415" s="51"/>
      <c r="B415" s="34"/>
      <c r="C415" s="34"/>
      <c r="D415" s="34"/>
      <c r="E415" s="34"/>
      <c r="F415" s="34"/>
      <c r="G415" s="44"/>
      <c r="H415" s="34"/>
      <c r="I415" s="54"/>
      <c r="J415" s="34"/>
      <c r="K415" s="54"/>
      <c r="L415" s="34"/>
      <c r="M415" s="44"/>
      <c r="N415" s="44"/>
      <c r="O415" s="34"/>
      <c r="P415" s="34"/>
      <c r="Q415" s="34"/>
      <c r="R415" s="34"/>
      <c r="U415" s="44"/>
      <c r="W415" s="95"/>
      <c r="X415" s="54"/>
      <c r="Y415" s="54"/>
      <c r="Z415" s="34"/>
      <c r="AA415" s="34"/>
      <c r="AB415" s="34"/>
      <c r="AC415" s="34"/>
      <c r="AD415" s="34"/>
      <c r="AE415" s="34"/>
      <c r="AF415" s="34"/>
      <c r="AG415" s="34"/>
      <c r="AH415" s="52"/>
      <c r="AI415" s="52"/>
      <c r="AK415" s="34"/>
      <c r="AL415" s="34"/>
      <c r="AM415" s="34"/>
      <c r="AN415" s="54"/>
      <c r="AO415" s="34"/>
      <c r="AP415" s="34"/>
      <c r="AQ415" s="54"/>
      <c r="AR415" s="54"/>
      <c r="AS415" s="54"/>
      <c r="AT415" s="54"/>
      <c r="AU415" s="34"/>
      <c r="AV415" s="34"/>
      <c r="AW415" s="34"/>
      <c r="AX415" s="34"/>
      <c r="AY415" s="34"/>
      <c r="AZ415" s="44"/>
      <c r="BA415" s="34"/>
      <c r="BB415" s="34"/>
    </row>
    <row r="416" spans="1:54" x14ac:dyDescent="0.35" ht="15.0" customHeight="true">
      <c r="A416" s="51"/>
      <c r="B416" s="34"/>
      <c r="C416" s="34"/>
      <c r="D416" s="34"/>
      <c r="E416" s="34"/>
      <c r="F416" s="34"/>
      <c r="G416" s="44"/>
      <c r="H416" s="34"/>
      <c r="I416" s="54"/>
      <c r="J416" s="34"/>
      <c r="K416" s="54"/>
      <c r="L416" s="34"/>
      <c r="M416" s="44"/>
      <c r="N416" s="44"/>
      <c r="O416" s="34"/>
      <c r="P416" s="34"/>
      <c r="Q416" s="34"/>
      <c r="R416" s="34"/>
      <c r="U416" s="44"/>
      <c r="W416" s="95"/>
      <c r="X416" s="54"/>
      <c r="Y416" s="54"/>
      <c r="Z416" s="34"/>
      <c r="AA416" s="34"/>
      <c r="AB416" s="34"/>
      <c r="AC416" s="34"/>
      <c r="AD416" s="34"/>
      <c r="AE416" s="34"/>
      <c r="AF416" s="34"/>
      <c r="AG416" s="34"/>
      <c r="AH416" s="52"/>
      <c r="AI416" s="52"/>
      <c r="AK416" s="34"/>
      <c r="AL416" s="34"/>
      <c r="AM416" s="34"/>
      <c r="AN416" s="54"/>
      <c r="AO416" s="34"/>
      <c r="AP416" s="34"/>
      <c r="AQ416" s="54"/>
      <c r="AR416" s="54"/>
      <c r="AS416" s="54"/>
      <c r="AT416" s="54"/>
      <c r="AU416" s="34"/>
      <c r="AV416" s="34"/>
      <c r="AW416" s="34"/>
      <c r="AX416" s="34"/>
      <c r="AY416" s="34"/>
      <c r="AZ416" s="44"/>
      <c r="BA416" s="34"/>
      <c r="BB416" s="34"/>
    </row>
    <row r="417" spans="1:54" x14ac:dyDescent="0.35" ht="15.0" customHeight="true">
      <c r="A417" s="51"/>
      <c r="B417" s="34"/>
      <c r="C417" s="34"/>
      <c r="D417" s="34"/>
      <c r="E417" s="34"/>
      <c r="F417" s="34"/>
      <c r="G417" s="44"/>
      <c r="H417" s="34"/>
      <c r="I417" s="54"/>
      <c r="J417" s="34"/>
      <c r="K417" s="54"/>
      <c r="L417" s="34"/>
      <c r="M417" s="44"/>
      <c r="N417" s="44"/>
      <c r="O417" s="34"/>
      <c r="P417" s="34"/>
      <c r="Q417" s="34"/>
      <c r="R417" s="34"/>
      <c r="U417" s="44"/>
      <c r="W417" s="95"/>
      <c r="X417" s="54"/>
      <c r="Y417" s="54"/>
      <c r="Z417" s="34"/>
      <c r="AA417" s="34"/>
      <c r="AB417" s="34"/>
      <c r="AC417" s="34"/>
      <c r="AD417" s="34"/>
      <c r="AE417" s="34"/>
      <c r="AF417" s="34"/>
      <c r="AG417" s="34"/>
      <c r="AH417" s="52"/>
      <c r="AI417" s="52"/>
      <c r="AK417" s="34"/>
      <c r="AL417" s="34"/>
      <c r="AM417" s="34"/>
      <c r="AN417" s="54"/>
      <c r="AO417" s="34"/>
      <c r="AP417" s="34"/>
      <c r="AQ417" s="54"/>
      <c r="AR417" s="54"/>
      <c r="AS417" s="54"/>
      <c r="AT417" s="54"/>
      <c r="AU417" s="34"/>
      <c r="AV417" s="34"/>
      <c r="AW417" s="34"/>
      <c r="AX417" s="34"/>
      <c r="AY417" s="34"/>
      <c r="AZ417" s="44"/>
      <c r="BA417" s="34"/>
      <c r="BB417" s="34"/>
    </row>
    <row r="418" spans="1:54" x14ac:dyDescent="0.35" ht="15.0" customHeight="true">
      <c r="A418" s="51"/>
      <c r="B418" s="34"/>
      <c r="C418" s="34"/>
      <c r="D418" s="34"/>
      <c r="E418" s="34"/>
      <c r="F418" s="34"/>
      <c r="G418" s="44"/>
      <c r="H418" s="34"/>
      <c r="I418" s="54"/>
      <c r="J418" s="34"/>
      <c r="K418" s="54"/>
      <c r="L418" s="34"/>
      <c r="M418" s="44"/>
      <c r="N418" s="44"/>
      <c r="O418" s="34"/>
      <c r="P418" s="34"/>
      <c r="Q418" s="34"/>
      <c r="R418" s="34"/>
      <c r="U418" s="44"/>
      <c r="W418" s="95"/>
      <c r="X418" s="54"/>
      <c r="Y418" s="54"/>
      <c r="Z418" s="34"/>
      <c r="AA418" s="34"/>
      <c r="AB418" s="34"/>
      <c r="AC418" s="34"/>
      <c r="AD418" s="34"/>
      <c r="AE418" s="34"/>
      <c r="AF418" s="34"/>
      <c r="AG418" s="34"/>
      <c r="AH418" s="52"/>
      <c r="AI418" s="52"/>
      <c r="AK418" s="34"/>
      <c r="AL418" s="34"/>
      <c r="AM418" s="34"/>
      <c r="AN418" s="54"/>
      <c r="AO418" s="34"/>
      <c r="AP418" s="34"/>
      <c r="AQ418" s="54"/>
      <c r="AR418" s="54"/>
      <c r="AS418" s="54"/>
      <c r="AT418" s="54"/>
      <c r="AU418" s="34"/>
      <c r="AV418" s="34"/>
      <c r="AW418" s="34"/>
      <c r="AX418" s="34"/>
      <c r="AY418" s="34"/>
      <c r="AZ418" s="44"/>
      <c r="BA418" s="34"/>
      <c r="BB418" s="34"/>
    </row>
    <row r="419" spans="1:54" x14ac:dyDescent="0.35" ht="15.0" customHeight="true">
      <c r="A419" s="51"/>
      <c r="B419" s="34"/>
      <c r="C419" s="34"/>
      <c r="D419" s="34"/>
      <c r="E419" s="34"/>
      <c r="F419" s="34"/>
      <c r="G419" s="44"/>
      <c r="H419" s="34"/>
      <c r="I419" s="54"/>
      <c r="J419" s="34"/>
      <c r="K419" s="54"/>
      <c r="L419" s="34"/>
      <c r="M419" s="44"/>
      <c r="N419" s="44"/>
      <c r="O419" s="34"/>
      <c r="P419" s="34"/>
      <c r="Q419" s="34"/>
      <c r="R419" s="34"/>
      <c r="U419" s="44"/>
      <c r="W419" s="95"/>
      <c r="X419" s="54"/>
      <c r="Y419" s="54"/>
      <c r="Z419" s="34"/>
      <c r="AA419" s="34"/>
      <c r="AB419" s="34"/>
      <c r="AC419" s="34"/>
      <c r="AD419" s="34"/>
      <c r="AE419" s="34"/>
      <c r="AF419" s="34"/>
      <c r="AG419" s="34"/>
      <c r="AH419" s="52"/>
      <c r="AI419" s="52"/>
      <c r="AK419" s="34"/>
      <c r="AL419" s="34"/>
      <c r="AM419" s="34"/>
      <c r="AN419" s="54"/>
      <c r="AO419" s="34"/>
      <c r="AP419" s="34"/>
      <c r="AQ419" s="54"/>
      <c r="AR419" s="54"/>
      <c r="AS419" s="54"/>
      <c r="AT419" s="54"/>
      <c r="AU419" s="34"/>
      <c r="AV419" s="34"/>
      <c r="AW419" s="34"/>
      <c r="AX419" s="34"/>
      <c r="AY419" s="34"/>
      <c r="AZ419" s="44"/>
      <c r="BA419" s="34"/>
      <c r="BB419" s="34"/>
    </row>
    <row r="420" spans="1:54" x14ac:dyDescent="0.35" ht="15.0" customHeight="true">
      <c r="A420" s="51"/>
      <c r="B420" s="34"/>
      <c r="C420" s="34"/>
      <c r="D420" s="34"/>
      <c r="E420" s="34"/>
      <c r="F420" s="34"/>
      <c r="G420" s="44"/>
      <c r="H420" s="34"/>
      <c r="I420" s="54"/>
      <c r="J420" s="34"/>
      <c r="K420" s="54"/>
      <c r="L420" s="34"/>
      <c r="M420" s="44"/>
      <c r="N420" s="44"/>
      <c r="O420" s="34"/>
      <c r="P420" s="34"/>
      <c r="Q420" s="34"/>
      <c r="R420" s="34"/>
      <c r="U420" s="44"/>
      <c r="W420" s="95"/>
      <c r="X420" s="54"/>
      <c r="Y420" s="54"/>
      <c r="Z420" s="34"/>
      <c r="AA420" s="34"/>
      <c r="AB420" s="34"/>
      <c r="AC420" s="34"/>
      <c r="AD420" s="34"/>
      <c r="AE420" s="34"/>
      <c r="AF420" s="34"/>
      <c r="AG420" s="34"/>
      <c r="AH420" s="52"/>
      <c r="AI420" s="52"/>
      <c r="AK420" s="34"/>
      <c r="AL420" s="34"/>
      <c r="AM420" s="34"/>
      <c r="AN420" s="54"/>
      <c r="AO420" s="34"/>
      <c r="AP420" s="34"/>
      <c r="AQ420" s="54"/>
      <c r="AR420" s="54"/>
      <c r="AS420" s="54"/>
      <c r="AT420" s="54"/>
      <c r="AU420" s="34"/>
      <c r="AV420" s="34"/>
      <c r="AW420" s="34"/>
      <c r="AX420" s="34"/>
      <c r="AY420" s="34"/>
      <c r="AZ420" s="44"/>
      <c r="BA420" s="34"/>
      <c r="BB420" s="34"/>
    </row>
    <row r="421" spans="1:54" x14ac:dyDescent="0.35" ht="15.0" customHeight="true">
      <c r="A421" s="51"/>
      <c r="B421" s="34"/>
      <c r="C421" s="34"/>
      <c r="D421" s="34"/>
      <c r="E421" s="34"/>
      <c r="F421" s="34"/>
      <c r="G421" s="44"/>
      <c r="H421" s="34"/>
      <c r="I421" s="54"/>
      <c r="J421" s="34"/>
      <c r="K421" s="54"/>
      <c r="L421" s="34"/>
      <c r="M421" s="44"/>
      <c r="N421" s="44"/>
      <c r="O421" s="34"/>
      <c r="P421" s="34"/>
      <c r="Q421" s="34"/>
      <c r="R421" s="34"/>
      <c r="U421" s="44"/>
      <c r="W421" s="95"/>
      <c r="X421" s="54"/>
      <c r="Y421" s="54"/>
      <c r="Z421" s="34"/>
      <c r="AA421" s="34"/>
      <c r="AB421" s="34"/>
      <c r="AC421" s="34"/>
      <c r="AD421" s="34"/>
      <c r="AE421" s="34"/>
      <c r="AF421" s="34"/>
      <c r="AG421" s="34"/>
      <c r="AH421" s="52"/>
      <c r="AI421" s="52"/>
      <c r="AK421" s="34"/>
      <c r="AL421" s="34"/>
      <c r="AM421" s="34"/>
      <c r="AN421" s="54"/>
      <c r="AO421" s="34"/>
      <c r="AP421" s="34"/>
      <c r="AQ421" s="54"/>
      <c r="AR421" s="54"/>
      <c r="AS421" s="54"/>
      <c r="AT421" s="54"/>
      <c r="AU421" s="34"/>
      <c r="AV421" s="34"/>
      <c r="AW421" s="34"/>
      <c r="AX421" s="34"/>
      <c r="AY421" s="34"/>
      <c r="AZ421" s="44"/>
      <c r="BA421" s="34"/>
      <c r="BB421" s="34"/>
    </row>
    <row r="422" spans="1:54" x14ac:dyDescent="0.35" ht="15.0" customHeight="true">
      <c r="A422" s="51"/>
      <c r="B422" s="34"/>
      <c r="C422" s="34"/>
      <c r="D422" s="34"/>
      <c r="E422" s="34"/>
      <c r="F422" s="34"/>
      <c r="G422" s="44"/>
      <c r="H422" s="34"/>
      <c r="I422" s="54"/>
      <c r="J422" s="34"/>
      <c r="K422" s="54"/>
      <c r="L422" s="34"/>
      <c r="M422" s="44"/>
      <c r="N422" s="44"/>
      <c r="O422" s="34"/>
      <c r="P422" s="34"/>
      <c r="Q422" s="34"/>
      <c r="R422" s="34"/>
      <c r="U422" s="44"/>
      <c r="W422" s="95"/>
      <c r="X422" s="54"/>
      <c r="Y422" s="54"/>
      <c r="Z422" s="34"/>
      <c r="AA422" s="34"/>
      <c r="AB422" s="34"/>
      <c r="AC422" s="34"/>
      <c r="AD422" s="34"/>
      <c r="AE422" s="34"/>
      <c r="AF422" s="34"/>
      <c r="AG422" s="34"/>
      <c r="AH422" s="52"/>
      <c r="AI422" s="52"/>
      <c r="AK422" s="34"/>
      <c r="AL422" s="34"/>
      <c r="AM422" s="34"/>
      <c r="AN422" s="54"/>
      <c r="AO422" s="34"/>
      <c r="AP422" s="34"/>
      <c r="AQ422" s="54"/>
      <c r="AR422" s="54"/>
      <c r="AS422" s="54"/>
      <c r="AT422" s="54"/>
      <c r="AU422" s="34"/>
      <c r="AV422" s="34"/>
      <c r="AW422" s="34"/>
      <c r="AX422" s="34"/>
      <c r="AY422" s="34"/>
      <c r="AZ422" s="44"/>
      <c r="BA422" s="34"/>
      <c r="BB422" s="34"/>
    </row>
    <row r="423" spans="1:54" x14ac:dyDescent="0.35" ht="15.0" customHeight="true">
      <c r="A423" s="51"/>
      <c r="B423" s="34"/>
      <c r="C423" s="34"/>
      <c r="D423" s="34"/>
      <c r="E423" s="34"/>
      <c r="F423" s="34"/>
      <c r="G423" s="44"/>
      <c r="H423" s="34"/>
      <c r="I423" s="54"/>
      <c r="J423" s="34"/>
      <c r="K423" s="54"/>
      <c r="L423" s="34"/>
      <c r="M423" s="44"/>
      <c r="N423" s="44"/>
      <c r="O423" s="34"/>
      <c r="P423" s="34"/>
      <c r="Q423" s="34"/>
      <c r="R423" s="34"/>
      <c r="U423" s="44"/>
      <c r="W423" s="95"/>
      <c r="X423" s="54"/>
      <c r="Y423" s="54"/>
      <c r="Z423" s="34"/>
      <c r="AA423" s="34"/>
      <c r="AB423" s="34"/>
      <c r="AC423" s="34"/>
      <c r="AD423" s="34"/>
      <c r="AE423" s="34"/>
      <c r="AF423" s="34"/>
      <c r="AG423" s="34"/>
      <c r="AH423" s="52"/>
      <c r="AI423" s="52"/>
      <c r="AK423" s="34"/>
      <c r="AL423" s="34"/>
      <c r="AM423" s="34"/>
      <c r="AN423" s="54"/>
      <c r="AO423" s="34"/>
      <c r="AP423" s="34"/>
      <c r="AQ423" s="54"/>
      <c r="AR423" s="54"/>
      <c r="AS423" s="54"/>
      <c r="AT423" s="54"/>
      <c r="AU423" s="34"/>
      <c r="AV423" s="34"/>
      <c r="AW423" s="34"/>
      <c r="AX423" s="34"/>
      <c r="AY423" s="34"/>
      <c r="AZ423" s="44"/>
      <c r="BA423" s="34"/>
      <c r="BB423" s="34"/>
    </row>
    <row r="424" spans="1:54" x14ac:dyDescent="0.35" ht="15.0" customHeight="true">
      <c r="A424" s="51"/>
      <c r="B424" s="34"/>
      <c r="C424" s="34"/>
      <c r="D424" s="34"/>
      <c r="E424" s="34"/>
      <c r="F424" s="34"/>
      <c r="G424" s="44"/>
      <c r="H424" s="34"/>
      <c r="I424" s="54"/>
      <c r="J424" s="34"/>
      <c r="K424" s="54"/>
      <c r="L424" s="34"/>
      <c r="M424" s="44"/>
      <c r="N424" s="44"/>
      <c r="O424" s="34"/>
      <c r="P424" s="34"/>
      <c r="Q424" s="34"/>
      <c r="R424" s="34"/>
      <c r="U424" s="44"/>
      <c r="W424" s="95"/>
      <c r="X424" s="54"/>
      <c r="Y424" s="54"/>
      <c r="Z424" s="34"/>
      <c r="AA424" s="34"/>
      <c r="AB424" s="34"/>
      <c r="AC424" s="34"/>
      <c r="AD424" s="34"/>
      <c r="AE424" s="34"/>
      <c r="AF424" s="34"/>
      <c r="AG424" s="34"/>
      <c r="AH424" s="52"/>
      <c r="AI424" s="52"/>
      <c r="AK424" s="34"/>
      <c r="AL424" s="34"/>
      <c r="AM424" s="34"/>
      <c r="AN424" s="54"/>
      <c r="AO424" s="34"/>
      <c r="AP424" s="34"/>
      <c r="AQ424" s="54"/>
      <c r="AR424" s="54"/>
      <c r="AS424" s="54"/>
      <c r="AT424" s="54"/>
      <c r="AU424" s="34"/>
      <c r="AV424" s="34"/>
      <c r="AW424" s="34"/>
      <c r="AX424" s="34"/>
      <c r="AY424" s="34"/>
      <c r="AZ424" s="44"/>
      <c r="BA424" s="34"/>
      <c r="BB424" s="34"/>
    </row>
    <row r="425" spans="1:54" x14ac:dyDescent="0.35" ht="15.0" customHeight="true">
      <c r="A425" s="51"/>
      <c r="B425" s="34"/>
      <c r="C425" s="34"/>
      <c r="D425" s="34"/>
      <c r="E425" s="34"/>
      <c r="F425" s="34"/>
      <c r="G425" s="44"/>
      <c r="H425" s="34"/>
      <c r="I425" s="54"/>
      <c r="J425" s="34"/>
      <c r="K425" s="54"/>
      <c r="L425" s="34"/>
      <c r="M425" s="44"/>
      <c r="N425" s="44"/>
      <c r="O425" s="34"/>
      <c r="P425" s="34"/>
      <c r="Q425" s="34"/>
      <c r="R425" s="34"/>
      <c r="U425" s="44"/>
      <c r="W425" s="95"/>
      <c r="X425" s="54"/>
      <c r="Y425" s="54"/>
      <c r="Z425" s="34"/>
      <c r="AA425" s="34"/>
      <c r="AB425" s="34"/>
      <c r="AC425" s="34"/>
      <c r="AD425" s="34"/>
      <c r="AE425" s="34"/>
      <c r="AF425" s="34"/>
      <c r="AG425" s="34"/>
      <c r="AH425" s="52"/>
      <c r="AI425" s="52"/>
      <c r="AK425" s="34"/>
      <c r="AL425" s="34"/>
      <c r="AM425" s="34"/>
      <c r="AN425" s="54"/>
      <c r="AO425" s="34"/>
      <c r="AP425" s="34"/>
      <c r="AQ425" s="54"/>
      <c r="AR425" s="54"/>
      <c r="AS425" s="54"/>
      <c r="AT425" s="54"/>
      <c r="AU425" s="34"/>
      <c r="AV425" s="34"/>
      <c r="AW425" s="34"/>
      <c r="AX425" s="34"/>
      <c r="AY425" s="34"/>
      <c r="AZ425" s="44"/>
      <c r="BA425" s="34"/>
      <c r="BB425" s="34"/>
    </row>
    <row r="426" spans="1:54" x14ac:dyDescent="0.35" ht="15.0" customHeight="true">
      <c r="A426" s="51"/>
      <c r="B426" s="34"/>
      <c r="C426" s="34"/>
      <c r="D426" s="34"/>
      <c r="E426" s="34"/>
      <c r="F426" s="34"/>
      <c r="G426" s="44"/>
      <c r="H426" s="34"/>
      <c r="I426" s="54"/>
      <c r="J426" s="34"/>
      <c r="K426" s="54"/>
      <c r="L426" s="34"/>
      <c r="M426" s="44"/>
      <c r="N426" s="44"/>
      <c r="O426" s="34"/>
      <c r="P426" s="34"/>
      <c r="Q426" s="34"/>
      <c r="R426" s="34"/>
      <c r="U426" s="44"/>
      <c r="W426" s="95"/>
      <c r="X426" s="54"/>
      <c r="Y426" s="54"/>
      <c r="Z426" s="34"/>
      <c r="AA426" s="34"/>
      <c r="AB426" s="34"/>
      <c r="AC426" s="34"/>
      <c r="AD426" s="34"/>
      <c r="AE426" s="34"/>
      <c r="AF426" s="34"/>
      <c r="AG426" s="34"/>
      <c r="AH426" s="52"/>
      <c r="AI426" s="52"/>
      <c r="AK426" s="34"/>
      <c r="AL426" s="34"/>
      <c r="AM426" s="34"/>
      <c r="AN426" s="54"/>
      <c r="AO426" s="34"/>
      <c r="AP426" s="34"/>
      <c r="AQ426" s="54"/>
      <c r="AR426" s="54"/>
      <c r="AS426" s="54"/>
      <c r="AT426" s="54"/>
      <c r="AU426" s="34"/>
      <c r="AV426" s="34"/>
      <c r="AW426" s="34"/>
      <c r="AX426" s="34"/>
      <c r="AY426" s="34"/>
      <c r="AZ426" s="44"/>
      <c r="BA426" s="34"/>
      <c r="BB426" s="34"/>
    </row>
    <row r="427" spans="1:54" x14ac:dyDescent="0.35" ht="15.0" customHeight="true">
      <c r="A427" s="51"/>
      <c r="B427" s="34"/>
      <c r="C427" s="34"/>
      <c r="D427" s="34"/>
      <c r="E427" s="34"/>
      <c r="F427" s="34"/>
      <c r="G427" s="44"/>
      <c r="H427" s="34"/>
      <c r="I427" s="54"/>
      <c r="J427" s="34"/>
      <c r="K427" s="54"/>
      <c r="L427" s="34"/>
      <c r="M427" s="44"/>
      <c r="N427" s="44"/>
      <c r="O427" s="34"/>
      <c r="P427" s="34"/>
      <c r="Q427" s="34"/>
      <c r="R427" s="34"/>
      <c r="U427" s="44"/>
      <c r="W427" s="95"/>
      <c r="X427" s="54"/>
      <c r="Y427" s="54"/>
      <c r="Z427" s="34"/>
      <c r="AA427" s="34"/>
      <c r="AB427" s="34"/>
      <c r="AC427" s="34"/>
      <c r="AD427" s="34"/>
      <c r="AE427" s="34"/>
      <c r="AF427" s="34"/>
      <c r="AG427" s="34"/>
      <c r="AH427" s="52"/>
      <c r="AI427" s="52"/>
      <c r="AK427" s="34"/>
      <c r="AL427" s="34"/>
      <c r="AM427" s="34"/>
      <c r="AN427" s="54"/>
      <c r="AO427" s="34"/>
      <c r="AP427" s="34"/>
      <c r="AQ427" s="54"/>
      <c r="AR427" s="54"/>
      <c r="AS427" s="54"/>
      <c r="AT427" s="54"/>
      <c r="AU427" s="34"/>
      <c r="AV427" s="34"/>
      <c r="AW427" s="34"/>
      <c r="AX427" s="34"/>
      <c r="AY427" s="34"/>
      <c r="AZ427" s="44"/>
      <c r="BA427" s="34"/>
      <c r="BB427" s="34"/>
    </row>
    <row r="428" spans="1:54" x14ac:dyDescent="0.35" ht="15.0" customHeight="true">
      <c r="A428" s="51"/>
      <c r="B428" s="34"/>
      <c r="C428" s="34"/>
      <c r="D428" s="34"/>
      <c r="E428" s="34"/>
      <c r="F428" s="34"/>
      <c r="G428" s="44"/>
      <c r="H428" s="34"/>
      <c r="I428" s="54"/>
      <c r="J428" s="34"/>
      <c r="K428" s="54"/>
      <c r="L428" s="34"/>
      <c r="M428" s="44"/>
      <c r="N428" s="44"/>
      <c r="O428" s="34"/>
      <c r="P428" s="34"/>
      <c r="Q428" s="34"/>
      <c r="R428" s="34"/>
      <c r="U428" s="44"/>
      <c r="W428" s="95"/>
      <c r="X428" s="54"/>
      <c r="Y428" s="54"/>
      <c r="Z428" s="34"/>
      <c r="AA428" s="34"/>
      <c r="AB428" s="34"/>
      <c r="AC428" s="34"/>
      <c r="AD428" s="34"/>
      <c r="AE428" s="34"/>
      <c r="AF428" s="34"/>
      <c r="AG428" s="34"/>
      <c r="AH428" s="52"/>
      <c r="AI428" s="52"/>
      <c r="AK428" s="34"/>
      <c r="AL428" s="34"/>
      <c r="AM428" s="34"/>
      <c r="AN428" s="54"/>
      <c r="AO428" s="34"/>
      <c r="AP428" s="34"/>
      <c r="AQ428" s="54"/>
      <c r="AR428" s="54"/>
      <c r="AS428" s="54"/>
      <c r="AT428" s="54"/>
      <c r="AU428" s="34"/>
      <c r="AV428" s="34"/>
      <c r="AW428" s="34"/>
      <c r="AX428" s="34"/>
      <c r="AY428" s="34"/>
      <c r="AZ428" s="44"/>
      <c r="BA428" s="34"/>
      <c r="BB428" s="34"/>
    </row>
    <row r="429" spans="1:54" x14ac:dyDescent="0.35" ht="15.0" customHeight="true">
      <c r="A429" s="51"/>
      <c r="B429" s="34"/>
      <c r="C429" s="34"/>
      <c r="D429" s="34"/>
      <c r="E429" s="34"/>
      <c r="F429" s="34"/>
      <c r="G429" s="44"/>
      <c r="H429" s="34"/>
      <c r="I429" s="54"/>
      <c r="J429" s="34"/>
      <c r="K429" s="54"/>
      <c r="L429" s="34"/>
      <c r="M429" s="44"/>
      <c r="N429" s="44"/>
      <c r="O429" s="34"/>
      <c r="P429" s="34"/>
      <c r="Q429" s="34"/>
      <c r="R429" s="34"/>
      <c r="U429" s="44"/>
      <c r="W429" s="95"/>
      <c r="X429" s="54"/>
      <c r="Y429" s="54"/>
      <c r="Z429" s="34"/>
      <c r="AA429" s="34"/>
      <c r="AB429" s="34"/>
      <c r="AC429" s="34"/>
      <c r="AD429" s="34"/>
      <c r="AE429" s="34"/>
      <c r="AF429" s="34"/>
      <c r="AG429" s="34"/>
      <c r="AH429" s="52"/>
      <c r="AI429" s="52"/>
      <c r="AK429" s="34"/>
      <c r="AL429" s="34"/>
      <c r="AM429" s="34"/>
      <c r="AN429" s="54"/>
      <c r="AO429" s="34"/>
      <c r="AP429" s="34"/>
      <c r="AQ429" s="54"/>
      <c r="AR429" s="54"/>
      <c r="AS429" s="54"/>
      <c r="AT429" s="54"/>
      <c r="AU429" s="34"/>
      <c r="AV429" s="34"/>
      <c r="AW429" s="34"/>
      <c r="AX429" s="34"/>
      <c r="AY429" s="34"/>
      <c r="AZ429" s="44"/>
      <c r="BA429" s="34"/>
      <c r="BB429" s="34"/>
    </row>
    <row r="430" spans="1:54" x14ac:dyDescent="0.35" ht="15.0" customHeight="true">
      <c r="A430" s="51"/>
      <c r="B430" s="34"/>
      <c r="C430" s="34"/>
      <c r="D430" s="34"/>
      <c r="E430" s="34"/>
      <c r="F430" s="34"/>
      <c r="G430" s="44"/>
      <c r="H430" s="34"/>
      <c r="I430" s="54"/>
      <c r="J430" s="34"/>
      <c r="K430" s="54"/>
      <c r="L430" s="34"/>
      <c r="M430" s="44"/>
      <c r="N430" s="44"/>
      <c r="O430" s="34"/>
      <c r="P430" s="34"/>
      <c r="Q430" s="34"/>
      <c r="R430" s="34"/>
      <c r="U430" s="44"/>
      <c r="W430" s="95"/>
      <c r="X430" s="54"/>
      <c r="Y430" s="54"/>
      <c r="Z430" s="34"/>
      <c r="AA430" s="34"/>
      <c r="AB430" s="34"/>
      <c r="AC430" s="34"/>
      <c r="AD430" s="34"/>
      <c r="AE430" s="34"/>
      <c r="AF430" s="34"/>
      <c r="AG430" s="34"/>
      <c r="AH430" s="52"/>
      <c r="AI430" s="52"/>
      <c r="AK430" s="34"/>
      <c r="AL430" s="34"/>
      <c r="AM430" s="34"/>
      <c r="AN430" s="54"/>
      <c r="AO430" s="34"/>
      <c r="AP430" s="34"/>
      <c r="AQ430" s="54"/>
      <c r="AR430" s="54"/>
      <c r="AS430" s="54"/>
      <c r="AT430" s="54"/>
      <c r="AU430" s="34"/>
      <c r="AV430" s="34"/>
      <c r="AW430" s="34"/>
      <c r="AX430" s="34"/>
      <c r="AY430" s="34"/>
      <c r="AZ430" s="44"/>
      <c r="BA430" s="34"/>
      <c r="BB430" s="34"/>
    </row>
    <row r="431" spans="1:54" x14ac:dyDescent="0.35" ht="15.0" customHeight="true">
      <c r="A431" s="51"/>
      <c r="B431" s="34"/>
      <c r="C431" s="34"/>
      <c r="D431" s="34"/>
      <c r="E431" s="34"/>
      <c r="F431" s="34"/>
      <c r="G431" s="44"/>
      <c r="H431" s="34"/>
      <c r="I431" s="54"/>
      <c r="J431" s="34"/>
      <c r="K431" s="54"/>
      <c r="L431" s="34"/>
      <c r="M431" s="44"/>
      <c r="N431" s="44"/>
      <c r="O431" s="34"/>
      <c r="P431" s="34"/>
      <c r="Q431" s="34"/>
      <c r="R431" s="34"/>
      <c r="U431" s="44"/>
      <c r="W431" s="95"/>
      <c r="X431" s="54"/>
      <c r="Y431" s="54"/>
      <c r="Z431" s="34"/>
      <c r="AA431" s="34"/>
      <c r="AB431" s="34"/>
      <c r="AC431" s="34"/>
      <c r="AD431" s="34"/>
      <c r="AE431" s="34"/>
      <c r="AF431" s="34"/>
      <c r="AG431" s="34"/>
      <c r="AH431" s="52"/>
      <c r="AI431" s="52"/>
      <c r="AK431" s="34"/>
      <c r="AL431" s="34"/>
      <c r="AM431" s="34"/>
      <c r="AN431" s="54"/>
      <c r="AO431" s="34"/>
      <c r="AP431" s="34"/>
      <c r="AQ431" s="54"/>
      <c r="AR431" s="54"/>
      <c r="AS431" s="54"/>
      <c r="AT431" s="54"/>
      <c r="AU431" s="34"/>
      <c r="AV431" s="34"/>
      <c r="AW431" s="34"/>
      <c r="AX431" s="34"/>
      <c r="AY431" s="34"/>
      <c r="AZ431" s="44"/>
      <c r="BA431" s="34"/>
      <c r="BB431" s="34"/>
    </row>
    <row r="432" spans="1:54" x14ac:dyDescent="0.35" ht="15.0" customHeight="true">
      <c r="A432" s="51"/>
      <c r="B432" s="34"/>
      <c r="C432" s="34"/>
      <c r="D432" s="34"/>
      <c r="E432" s="34"/>
      <c r="F432" s="34"/>
      <c r="G432" s="44"/>
      <c r="H432" s="34"/>
      <c r="I432" s="54"/>
      <c r="J432" s="34"/>
      <c r="K432" s="54"/>
      <c r="L432" s="34"/>
      <c r="M432" s="44"/>
      <c r="N432" s="44"/>
      <c r="O432" s="34"/>
      <c r="P432" s="34"/>
      <c r="Q432" s="34"/>
      <c r="R432" s="34"/>
      <c r="U432" s="44"/>
      <c r="W432" s="95"/>
      <c r="X432" s="54"/>
      <c r="Y432" s="54"/>
      <c r="Z432" s="34"/>
      <c r="AA432" s="34"/>
      <c r="AB432" s="34"/>
      <c r="AC432" s="34"/>
      <c r="AD432" s="34"/>
      <c r="AE432" s="34"/>
      <c r="AF432" s="34"/>
      <c r="AG432" s="34"/>
      <c r="AH432" s="52"/>
      <c r="AI432" s="52"/>
      <c r="AK432" s="34"/>
      <c r="AL432" s="34"/>
      <c r="AM432" s="34"/>
      <c r="AN432" s="54"/>
      <c r="AO432" s="34"/>
      <c r="AP432" s="34"/>
      <c r="AQ432" s="54"/>
      <c r="AR432" s="54"/>
      <c r="AS432" s="54"/>
      <c r="AT432" s="54"/>
      <c r="AU432" s="34"/>
      <c r="AV432" s="34"/>
      <c r="AW432" s="34"/>
      <c r="AX432" s="34"/>
      <c r="AY432" s="34"/>
      <c r="AZ432" s="44"/>
      <c r="BA432" s="34"/>
      <c r="BB432" s="34"/>
    </row>
    <row r="433" spans="1:54" x14ac:dyDescent="0.35" ht="15.0" customHeight="true">
      <c r="A433" s="51"/>
      <c r="B433" s="34"/>
      <c r="C433" s="34"/>
      <c r="D433" s="34"/>
      <c r="E433" s="34"/>
      <c r="F433" s="34"/>
      <c r="G433" s="44"/>
      <c r="H433" s="34"/>
      <c r="I433" s="54"/>
      <c r="J433" s="34"/>
      <c r="K433" s="54"/>
      <c r="L433" s="34"/>
      <c r="M433" s="44"/>
      <c r="N433" s="44"/>
      <c r="O433" s="34"/>
      <c r="P433" s="34"/>
      <c r="Q433" s="34"/>
      <c r="R433" s="34"/>
      <c r="U433" s="44"/>
      <c r="W433" s="95"/>
      <c r="X433" s="54"/>
      <c r="Y433" s="54"/>
      <c r="Z433" s="34"/>
      <c r="AA433" s="34"/>
      <c r="AB433" s="34"/>
      <c r="AC433" s="34"/>
      <c r="AD433" s="34"/>
      <c r="AE433" s="34"/>
      <c r="AF433" s="34"/>
      <c r="AG433" s="34"/>
      <c r="AH433" s="52"/>
      <c r="AI433" s="52"/>
      <c r="AK433" s="34"/>
      <c r="AL433" s="34"/>
      <c r="AM433" s="34"/>
      <c r="AN433" s="54"/>
      <c r="AO433" s="34"/>
      <c r="AP433" s="34"/>
      <c r="AQ433" s="54"/>
      <c r="AR433" s="54"/>
      <c r="AS433" s="54"/>
      <c r="AT433" s="54"/>
      <c r="AU433" s="34"/>
      <c r="AV433" s="34"/>
      <c r="AW433" s="34"/>
      <c r="AX433" s="34"/>
      <c r="AY433" s="34"/>
      <c r="AZ433" s="44"/>
      <c r="BA433" s="34"/>
      <c r="BB433" s="34"/>
    </row>
    <row r="434" spans="1:54" x14ac:dyDescent="0.35" ht="15.0" customHeight="true">
      <c r="A434" s="51"/>
      <c r="B434" s="34"/>
      <c r="C434" s="34"/>
      <c r="D434" s="34"/>
      <c r="E434" s="34"/>
      <c r="F434" s="34"/>
      <c r="G434" s="44"/>
      <c r="H434" s="34"/>
      <c r="I434" s="54"/>
      <c r="J434" s="34"/>
      <c r="K434" s="54"/>
      <c r="L434" s="34"/>
      <c r="M434" s="44"/>
      <c r="N434" s="44"/>
      <c r="O434" s="34"/>
      <c r="P434" s="34"/>
      <c r="Q434" s="34"/>
      <c r="R434" s="34"/>
      <c r="U434" s="44"/>
      <c r="W434" s="95"/>
      <c r="X434" s="54"/>
      <c r="Y434" s="54"/>
      <c r="Z434" s="34"/>
      <c r="AA434" s="34"/>
      <c r="AB434" s="34"/>
      <c r="AC434" s="34"/>
      <c r="AD434" s="34"/>
      <c r="AE434" s="34"/>
      <c r="AF434" s="34"/>
      <c r="AG434" s="34"/>
      <c r="AH434" s="52"/>
      <c r="AI434" s="52"/>
      <c r="AK434" s="34"/>
      <c r="AL434" s="34"/>
      <c r="AM434" s="34"/>
      <c r="AN434" s="54"/>
      <c r="AO434" s="34"/>
      <c r="AP434" s="34"/>
      <c r="AQ434" s="54"/>
      <c r="AR434" s="54"/>
      <c r="AS434" s="54"/>
      <c r="AT434" s="54"/>
      <c r="AU434" s="34"/>
      <c r="AV434" s="34"/>
      <c r="AW434" s="34"/>
      <c r="AX434" s="34"/>
      <c r="AY434" s="34"/>
      <c r="AZ434" s="44"/>
      <c r="BA434" s="34"/>
      <c r="BB434" s="34"/>
    </row>
    <row r="435" spans="1:54" x14ac:dyDescent="0.35" ht="15.0" customHeight="true">
      <c r="A435" s="51"/>
      <c r="B435" s="34"/>
      <c r="C435" s="34"/>
      <c r="D435" s="34"/>
      <c r="E435" s="34"/>
      <c r="F435" s="34"/>
      <c r="G435" s="44"/>
      <c r="H435" s="34"/>
      <c r="I435" s="54"/>
      <c r="J435" s="34"/>
      <c r="K435" s="54"/>
      <c r="L435" s="34"/>
      <c r="M435" s="44"/>
      <c r="N435" s="44"/>
      <c r="O435" s="34"/>
      <c r="P435" s="34"/>
      <c r="Q435" s="34"/>
      <c r="R435" s="34"/>
      <c r="U435" s="44"/>
      <c r="W435" s="95"/>
      <c r="X435" s="54"/>
      <c r="Y435" s="54"/>
      <c r="Z435" s="34"/>
      <c r="AA435" s="34"/>
      <c r="AB435" s="34"/>
      <c r="AC435" s="34"/>
      <c r="AD435" s="34"/>
      <c r="AE435" s="34"/>
      <c r="AF435" s="34"/>
      <c r="AG435" s="34"/>
      <c r="AH435" s="52"/>
      <c r="AI435" s="52"/>
      <c r="AK435" s="34"/>
      <c r="AL435" s="34"/>
      <c r="AM435" s="34"/>
      <c r="AN435" s="54"/>
      <c r="AO435" s="34"/>
      <c r="AP435" s="34"/>
      <c r="AQ435" s="54"/>
      <c r="AR435" s="54"/>
      <c r="AS435" s="54"/>
      <c r="AT435" s="54"/>
      <c r="AU435" s="34"/>
      <c r="AV435" s="34"/>
      <c r="AW435" s="34"/>
      <c r="AX435" s="34"/>
      <c r="AY435" s="34"/>
      <c r="AZ435" s="44"/>
      <c r="BA435" s="34"/>
      <c r="BB435" s="34"/>
    </row>
    <row r="436" spans="1:54" x14ac:dyDescent="0.35" ht="15.0" customHeight="true">
      <c r="A436" s="51"/>
      <c r="B436" s="34"/>
      <c r="C436" s="34"/>
      <c r="D436" s="34"/>
      <c r="E436" s="34"/>
      <c r="F436" s="34"/>
      <c r="G436" s="44"/>
      <c r="H436" s="34"/>
      <c r="I436" s="54"/>
      <c r="J436" s="34"/>
      <c r="K436" s="54"/>
      <c r="L436" s="34"/>
      <c r="M436" s="44"/>
      <c r="N436" s="44"/>
      <c r="O436" s="34"/>
      <c r="P436" s="34"/>
      <c r="Q436" s="34"/>
      <c r="R436" s="34"/>
      <c r="U436" s="44"/>
      <c r="W436" s="95"/>
      <c r="X436" s="54"/>
      <c r="Y436" s="54"/>
      <c r="Z436" s="34"/>
      <c r="AA436" s="34"/>
      <c r="AB436" s="34"/>
      <c r="AC436" s="34"/>
      <c r="AD436" s="34"/>
      <c r="AE436" s="34"/>
      <c r="AF436" s="34"/>
      <c r="AG436" s="34"/>
      <c r="AH436" s="52"/>
      <c r="AI436" s="52"/>
      <c r="AK436" s="34"/>
      <c r="AL436" s="34"/>
      <c r="AM436" s="34"/>
      <c r="AN436" s="54"/>
      <c r="AO436" s="34"/>
      <c r="AP436" s="34"/>
      <c r="AQ436" s="54"/>
      <c r="AR436" s="54"/>
      <c r="AS436" s="54"/>
      <c r="AT436" s="54"/>
      <c r="AU436" s="34"/>
      <c r="AV436" s="34"/>
      <c r="AW436" s="34"/>
      <c r="AX436" s="34"/>
      <c r="AY436" s="34"/>
      <c r="AZ436" s="44"/>
      <c r="BA436" s="34"/>
      <c r="BB436" s="34"/>
    </row>
    <row r="437" spans="1:54" x14ac:dyDescent="0.35" ht="15.0" customHeight="true">
      <c r="A437" s="51"/>
      <c r="B437" s="34"/>
      <c r="C437" s="34"/>
      <c r="D437" s="34"/>
      <c r="E437" s="34"/>
      <c r="F437" s="34"/>
      <c r="G437" s="44"/>
      <c r="H437" s="34"/>
      <c r="I437" s="54"/>
      <c r="J437" s="34"/>
      <c r="K437" s="54"/>
      <c r="L437" s="34"/>
      <c r="M437" s="44"/>
      <c r="N437" s="44"/>
      <c r="O437" s="34"/>
      <c r="P437" s="34"/>
      <c r="Q437" s="34"/>
      <c r="R437" s="34"/>
      <c r="U437" s="44"/>
      <c r="W437" s="95"/>
      <c r="X437" s="54"/>
      <c r="Y437" s="54"/>
      <c r="Z437" s="34"/>
      <c r="AA437" s="34"/>
      <c r="AB437" s="34"/>
      <c r="AC437" s="34"/>
      <c r="AD437" s="34"/>
      <c r="AE437" s="34"/>
      <c r="AF437" s="34"/>
      <c r="AG437" s="34"/>
      <c r="AH437" s="52"/>
      <c r="AI437" s="52"/>
      <c r="AK437" s="34"/>
      <c r="AL437" s="34"/>
      <c r="AM437" s="34"/>
      <c r="AN437" s="54"/>
      <c r="AO437" s="34"/>
      <c r="AP437" s="34"/>
      <c r="AQ437" s="54"/>
      <c r="AR437" s="54"/>
      <c r="AS437" s="54"/>
      <c r="AT437" s="54"/>
      <c r="AU437" s="34"/>
      <c r="AV437" s="34"/>
      <c r="AW437" s="34"/>
      <c r="AX437" s="34"/>
      <c r="AY437" s="34"/>
      <c r="AZ437" s="44"/>
      <c r="BA437" s="34"/>
      <c r="BB437" s="34"/>
    </row>
    <row r="438" spans="1:54" x14ac:dyDescent="0.35" ht="15.0" customHeight="true">
      <c r="A438" s="51"/>
      <c r="B438" s="34"/>
      <c r="C438" s="34"/>
      <c r="D438" s="34"/>
      <c r="E438" s="34"/>
      <c r="F438" s="34"/>
      <c r="G438" s="44"/>
      <c r="H438" s="34"/>
      <c r="I438" s="54"/>
      <c r="J438" s="34"/>
      <c r="K438" s="54"/>
      <c r="L438" s="34"/>
      <c r="M438" s="44"/>
      <c r="N438" s="44"/>
      <c r="O438" s="34"/>
      <c r="P438" s="34"/>
      <c r="Q438" s="34"/>
      <c r="R438" s="34"/>
      <c r="U438" s="44"/>
      <c r="W438" s="95"/>
      <c r="X438" s="54"/>
      <c r="Y438" s="54"/>
      <c r="Z438" s="34"/>
      <c r="AA438" s="34"/>
      <c r="AB438" s="34"/>
      <c r="AC438" s="34"/>
      <c r="AD438" s="34"/>
      <c r="AE438" s="34"/>
      <c r="AF438" s="34"/>
      <c r="AG438" s="34"/>
      <c r="AH438" s="52"/>
      <c r="AI438" s="52"/>
      <c r="AK438" s="34"/>
      <c r="AL438" s="34"/>
      <c r="AM438" s="34"/>
      <c r="AN438" s="54"/>
      <c r="AO438" s="34"/>
      <c r="AP438" s="34"/>
      <c r="AQ438" s="54"/>
      <c r="AR438" s="54"/>
      <c r="AS438" s="54"/>
      <c r="AT438" s="54"/>
      <c r="AU438" s="34"/>
      <c r="AV438" s="34"/>
      <c r="AW438" s="34"/>
      <c r="AX438" s="34"/>
      <c r="AY438" s="34"/>
      <c r="AZ438" s="44"/>
      <c r="BA438" s="34"/>
      <c r="BB438" s="34"/>
    </row>
    <row r="439" spans="1:54" x14ac:dyDescent="0.35" ht="15.0" customHeight="true">
      <c r="A439" s="51"/>
      <c r="B439" s="34"/>
      <c r="C439" s="34"/>
      <c r="D439" s="34"/>
      <c r="E439" s="34"/>
      <c r="F439" s="34"/>
      <c r="G439" s="44"/>
      <c r="H439" s="34"/>
      <c r="I439" s="54"/>
      <c r="J439" s="34"/>
      <c r="K439" s="54"/>
      <c r="L439" s="34"/>
      <c r="M439" s="44"/>
      <c r="N439" s="44"/>
      <c r="O439" s="34"/>
      <c r="P439" s="34"/>
      <c r="Q439" s="34"/>
      <c r="R439" s="34"/>
      <c r="U439" s="44"/>
      <c r="W439" s="95"/>
      <c r="X439" s="54"/>
      <c r="Y439" s="54"/>
      <c r="Z439" s="34"/>
      <c r="AA439" s="34"/>
      <c r="AB439" s="34"/>
      <c r="AC439" s="34"/>
      <c r="AD439" s="34"/>
      <c r="AE439" s="34"/>
      <c r="AF439" s="34"/>
      <c r="AG439" s="34"/>
      <c r="AH439" s="52"/>
      <c r="AI439" s="52"/>
      <c r="AK439" s="34"/>
      <c r="AL439" s="34"/>
      <c r="AM439" s="34"/>
      <c r="AN439" s="54"/>
      <c r="AO439" s="34"/>
      <c r="AP439" s="34"/>
      <c r="AQ439" s="54"/>
      <c r="AR439" s="54"/>
      <c r="AS439" s="54"/>
      <c r="AT439" s="54"/>
      <c r="AU439" s="34"/>
      <c r="AV439" s="34"/>
      <c r="AW439" s="34"/>
      <c r="AX439" s="34"/>
      <c r="AY439" s="34"/>
      <c r="AZ439" s="44"/>
      <c r="BA439" s="34"/>
      <c r="BB439" s="34"/>
    </row>
    <row r="440" spans="1:54" x14ac:dyDescent="0.35" ht="15.0" customHeight="true">
      <c r="A440" s="51"/>
      <c r="B440" s="34"/>
      <c r="C440" s="34"/>
      <c r="D440" s="34"/>
      <c r="E440" s="34"/>
      <c r="F440" s="34"/>
      <c r="G440" s="44"/>
      <c r="H440" s="34"/>
      <c r="I440" s="54"/>
      <c r="J440" s="34"/>
      <c r="K440" s="54"/>
      <c r="L440" s="34"/>
      <c r="M440" s="44"/>
      <c r="N440" s="44"/>
      <c r="O440" s="34"/>
      <c r="P440" s="34"/>
      <c r="Q440" s="34"/>
      <c r="R440" s="34"/>
      <c r="U440" s="44"/>
      <c r="W440" s="95"/>
      <c r="X440" s="54"/>
      <c r="Y440" s="54"/>
      <c r="Z440" s="34"/>
      <c r="AA440" s="34"/>
      <c r="AB440" s="34"/>
      <c r="AC440" s="34"/>
      <c r="AD440" s="34"/>
      <c r="AE440" s="34"/>
      <c r="AF440" s="34"/>
      <c r="AG440" s="34"/>
      <c r="AH440" s="52"/>
      <c r="AI440" s="52"/>
      <c r="AK440" s="34"/>
      <c r="AL440" s="34"/>
      <c r="AM440" s="34"/>
      <c r="AN440" s="54"/>
      <c r="AO440" s="34"/>
      <c r="AP440" s="34"/>
      <c r="AQ440" s="54"/>
      <c r="AR440" s="54"/>
      <c r="AS440" s="54"/>
      <c r="AT440" s="54"/>
      <c r="AU440" s="34"/>
      <c r="AV440" s="34"/>
      <c r="AW440" s="34"/>
      <c r="AX440" s="34"/>
      <c r="AY440" s="34"/>
      <c r="AZ440" s="44"/>
      <c r="BA440" s="34"/>
      <c r="BB440" s="34"/>
    </row>
    <row r="441" spans="1:54" x14ac:dyDescent="0.35" ht="15.0" customHeight="true">
      <c r="A441" s="51"/>
      <c r="B441" s="34"/>
      <c r="C441" s="34"/>
      <c r="D441" s="34"/>
      <c r="E441" s="34"/>
      <c r="F441" s="34"/>
      <c r="G441" s="44"/>
      <c r="H441" s="34"/>
      <c r="I441" s="54"/>
      <c r="J441" s="34"/>
      <c r="K441" s="54"/>
      <c r="L441" s="34"/>
      <c r="M441" s="44"/>
      <c r="N441" s="44"/>
      <c r="O441" s="34"/>
      <c r="P441" s="34"/>
      <c r="Q441" s="34"/>
      <c r="R441" s="34"/>
      <c r="U441" s="44"/>
      <c r="W441" s="95"/>
      <c r="X441" s="54"/>
      <c r="Y441" s="54"/>
      <c r="Z441" s="34"/>
      <c r="AA441" s="34"/>
      <c r="AB441" s="34"/>
      <c r="AC441" s="34"/>
      <c r="AD441" s="34"/>
      <c r="AE441" s="34"/>
      <c r="AF441" s="34"/>
      <c r="AG441" s="34"/>
      <c r="AH441" s="52"/>
      <c r="AI441" s="52"/>
      <c r="AK441" s="34"/>
      <c r="AL441" s="34"/>
      <c r="AM441" s="34"/>
      <c r="AN441" s="54"/>
      <c r="AO441" s="34"/>
      <c r="AP441" s="34"/>
      <c r="AQ441" s="54"/>
      <c r="AR441" s="54"/>
      <c r="AS441" s="54"/>
      <c r="AT441" s="54"/>
      <c r="AU441" s="34"/>
      <c r="AV441" s="34"/>
      <c r="AW441" s="34"/>
      <c r="AX441" s="34"/>
      <c r="AY441" s="34"/>
      <c r="AZ441" s="44"/>
      <c r="BA441" s="34"/>
      <c r="BB441" s="34"/>
    </row>
    <row r="442" spans="1:54" x14ac:dyDescent="0.35" ht="15.0" customHeight="true">
      <c r="A442" s="51"/>
      <c r="B442" s="34"/>
      <c r="C442" s="34"/>
      <c r="D442" s="34"/>
      <c r="E442" s="34"/>
      <c r="F442" s="34"/>
      <c r="G442" s="44"/>
      <c r="H442" s="34"/>
      <c r="I442" s="54"/>
      <c r="J442" s="34"/>
      <c r="K442" s="54"/>
      <c r="L442" s="34"/>
      <c r="M442" s="44"/>
      <c r="N442" s="44"/>
      <c r="O442" s="34"/>
      <c r="P442" s="34"/>
      <c r="Q442" s="34"/>
      <c r="R442" s="34"/>
      <c r="U442" s="44"/>
      <c r="W442" s="95"/>
      <c r="X442" s="54"/>
      <c r="Y442" s="54"/>
      <c r="Z442" s="34"/>
      <c r="AA442" s="34"/>
      <c r="AB442" s="34"/>
      <c r="AC442" s="34"/>
      <c r="AD442" s="34"/>
      <c r="AE442" s="34"/>
      <c r="AF442" s="34"/>
      <c r="AG442" s="34"/>
      <c r="AH442" s="52"/>
      <c r="AI442" s="52"/>
      <c r="AK442" s="34"/>
      <c r="AL442" s="34"/>
      <c r="AM442" s="34"/>
      <c r="AN442" s="54"/>
      <c r="AO442" s="34"/>
      <c r="AP442" s="34"/>
      <c r="AQ442" s="54"/>
      <c r="AR442" s="54"/>
      <c r="AS442" s="54"/>
      <c r="AT442" s="54"/>
      <c r="AU442" s="34"/>
      <c r="AV442" s="34"/>
      <c r="AW442" s="34"/>
      <c r="AX442" s="34"/>
      <c r="AY442" s="34"/>
      <c r="AZ442" s="44"/>
      <c r="BA442" s="34"/>
      <c r="BB442" s="34"/>
    </row>
    <row r="443" spans="1:54" x14ac:dyDescent="0.35" ht="15.0" customHeight="true">
      <c r="A443" s="51"/>
      <c r="B443" s="34"/>
      <c r="C443" s="34"/>
      <c r="D443" s="34"/>
      <c r="E443" s="34"/>
      <c r="F443" s="34"/>
      <c r="G443" s="44"/>
      <c r="H443" s="34"/>
      <c r="I443" s="54"/>
      <c r="J443" s="34"/>
      <c r="K443" s="54"/>
      <c r="L443" s="34"/>
      <c r="M443" s="44"/>
      <c r="N443" s="44"/>
      <c r="O443" s="34"/>
      <c r="P443" s="34"/>
      <c r="Q443" s="34"/>
      <c r="R443" s="34"/>
      <c r="U443" s="44"/>
      <c r="W443" s="95"/>
      <c r="X443" s="54"/>
      <c r="Y443" s="54"/>
      <c r="Z443" s="34"/>
      <c r="AA443" s="34"/>
      <c r="AB443" s="34"/>
      <c r="AC443" s="34"/>
      <c r="AD443" s="34"/>
      <c r="AE443" s="34"/>
      <c r="AF443" s="34"/>
      <c r="AG443" s="34"/>
      <c r="AH443" s="52"/>
      <c r="AI443" s="52"/>
      <c r="AK443" s="34"/>
      <c r="AL443" s="34"/>
      <c r="AM443" s="34"/>
      <c r="AN443" s="54"/>
      <c r="AO443" s="34"/>
      <c r="AP443" s="34"/>
      <c r="AQ443" s="54"/>
      <c r="AR443" s="54"/>
      <c r="AS443" s="54"/>
      <c r="AT443" s="54"/>
      <c r="AU443" s="34"/>
      <c r="AV443" s="34"/>
      <c r="AW443" s="34"/>
      <c r="AX443" s="34"/>
      <c r="AY443" s="34"/>
      <c r="AZ443" s="44"/>
      <c r="BA443" s="34"/>
      <c r="BB443" s="34"/>
    </row>
    <row r="444" spans="1:54" x14ac:dyDescent="0.35" ht="15.0" customHeight="true">
      <c r="A444" s="51"/>
      <c r="B444" s="34"/>
      <c r="C444" s="34"/>
      <c r="D444" s="34"/>
      <c r="E444" s="34"/>
      <c r="F444" s="34"/>
      <c r="G444" s="44"/>
      <c r="H444" s="34"/>
      <c r="I444" s="54"/>
      <c r="J444" s="34"/>
      <c r="K444" s="54"/>
      <c r="L444" s="34"/>
      <c r="M444" s="44"/>
      <c r="N444" s="44"/>
      <c r="O444" s="34"/>
      <c r="P444" s="34"/>
      <c r="Q444" s="34"/>
      <c r="R444" s="34"/>
      <c r="U444" s="44"/>
      <c r="W444" s="95"/>
      <c r="X444" s="54"/>
      <c r="Y444" s="54"/>
      <c r="Z444" s="34"/>
      <c r="AA444" s="34"/>
      <c r="AB444" s="34"/>
      <c r="AC444" s="34"/>
      <c r="AD444" s="34"/>
      <c r="AE444" s="34"/>
      <c r="AF444" s="34"/>
      <c r="AG444" s="34"/>
      <c r="AH444" s="52"/>
      <c r="AI444" s="52"/>
      <c r="AK444" s="34"/>
      <c r="AL444" s="34"/>
      <c r="AM444" s="34"/>
      <c r="AN444" s="54"/>
      <c r="AO444" s="34"/>
      <c r="AP444" s="34"/>
      <c r="AQ444" s="54"/>
      <c r="AR444" s="54"/>
      <c r="AS444" s="54"/>
      <c r="AT444" s="54"/>
      <c r="AU444" s="34"/>
      <c r="AV444" s="34"/>
      <c r="AW444" s="34"/>
      <c r="AX444" s="34"/>
      <c r="AY444" s="34"/>
      <c r="AZ444" s="44"/>
      <c r="BA444" s="34"/>
      <c r="BB444" s="34"/>
    </row>
    <row r="445" spans="1:54" x14ac:dyDescent="0.35" ht="15.0" customHeight="true">
      <c r="A445" s="51"/>
      <c r="B445" s="34"/>
      <c r="C445" s="34"/>
      <c r="D445" s="34"/>
      <c r="E445" s="34"/>
      <c r="F445" s="34"/>
      <c r="G445" s="44"/>
      <c r="H445" s="34"/>
      <c r="I445" s="54"/>
      <c r="J445" s="34"/>
      <c r="K445" s="54"/>
      <c r="L445" s="34"/>
      <c r="M445" s="44"/>
      <c r="N445" s="44"/>
      <c r="O445" s="34"/>
      <c r="P445" s="34"/>
      <c r="Q445" s="34"/>
      <c r="R445" s="34"/>
      <c r="U445" s="44"/>
      <c r="W445" s="95"/>
      <c r="X445" s="54"/>
      <c r="Y445" s="54"/>
      <c r="Z445" s="34"/>
      <c r="AA445" s="34"/>
      <c r="AB445" s="34"/>
      <c r="AC445" s="34"/>
      <c r="AD445" s="34"/>
      <c r="AE445" s="34"/>
      <c r="AF445" s="34"/>
      <c r="AG445" s="34"/>
      <c r="AH445" s="52"/>
      <c r="AI445" s="52"/>
      <c r="AK445" s="34"/>
      <c r="AL445" s="34"/>
      <c r="AM445" s="34"/>
      <c r="AN445" s="54"/>
      <c r="AO445" s="34"/>
      <c r="AP445" s="34"/>
      <c r="AQ445" s="54"/>
      <c r="AR445" s="54"/>
      <c r="AS445" s="54"/>
      <c r="AT445" s="54"/>
      <c r="AU445" s="34"/>
      <c r="AV445" s="34"/>
      <c r="AW445" s="34"/>
      <c r="AX445" s="34"/>
      <c r="AY445" s="34"/>
      <c r="AZ445" s="44"/>
      <c r="BA445" s="34"/>
      <c r="BB445" s="34"/>
    </row>
    <row r="446" spans="1:54" x14ac:dyDescent="0.35" ht="15.0" customHeight="true">
      <c r="A446" s="51"/>
      <c r="B446" s="34"/>
      <c r="C446" s="34"/>
      <c r="D446" s="34"/>
      <c r="E446" s="34"/>
      <c r="F446" s="34"/>
      <c r="G446" s="44"/>
      <c r="H446" s="34"/>
      <c r="I446" s="54"/>
      <c r="J446" s="34"/>
      <c r="K446" s="54"/>
      <c r="L446" s="34"/>
      <c r="M446" s="44"/>
      <c r="N446" s="44"/>
      <c r="O446" s="34"/>
      <c r="P446" s="34"/>
      <c r="Q446" s="34"/>
      <c r="R446" s="34"/>
      <c r="U446" s="44"/>
      <c r="W446" s="95"/>
      <c r="X446" s="54"/>
      <c r="Y446" s="54"/>
      <c r="Z446" s="34"/>
      <c r="AA446" s="34"/>
      <c r="AB446" s="34"/>
      <c r="AC446" s="34"/>
      <c r="AD446" s="34"/>
      <c r="AE446" s="34"/>
      <c r="AF446" s="34"/>
      <c r="AG446" s="34"/>
      <c r="AH446" s="52"/>
      <c r="AI446" s="52"/>
      <c r="AK446" s="34"/>
      <c r="AL446" s="34"/>
      <c r="AM446" s="34"/>
      <c r="AN446" s="54"/>
      <c r="AO446" s="34"/>
      <c r="AP446" s="34"/>
      <c r="AQ446" s="54"/>
      <c r="AR446" s="54"/>
      <c r="AS446" s="54"/>
      <c r="AT446" s="54"/>
      <c r="AU446" s="34"/>
      <c r="AV446" s="34"/>
      <c r="AW446" s="34"/>
      <c r="AX446" s="34"/>
      <c r="AY446" s="34"/>
      <c r="AZ446" s="44"/>
      <c r="BA446" s="34"/>
      <c r="BB446" s="34"/>
    </row>
    <row r="447" spans="1:54" x14ac:dyDescent="0.35" ht="15.0" customHeight="true">
      <c r="A447" s="51"/>
      <c r="B447" s="34"/>
      <c r="C447" s="34"/>
      <c r="D447" s="34"/>
      <c r="E447" s="34"/>
      <c r="F447" s="34"/>
      <c r="G447" s="44"/>
      <c r="H447" s="34"/>
      <c r="I447" s="54"/>
      <c r="J447" s="34"/>
      <c r="K447" s="54"/>
      <c r="L447" s="34"/>
      <c r="M447" s="44"/>
      <c r="N447" s="44"/>
      <c r="O447" s="34"/>
      <c r="P447" s="34"/>
      <c r="Q447" s="34"/>
      <c r="R447" s="34"/>
      <c r="U447" s="44"/>
      <c r="W447" s="95"/>
      <c r="X447" s="54"/>
      <c r="Y447" s="54"/>
      <c r="Z447" s="34"/>
      <c r="AA447" s="34"/>
      <c r="AB447" s="34"/>
      <c r="AC447" s="34"/>
      <c r="AD447" s="34"/>
      <c r="AE447" s="34"/>
      <c r="AF447" s="34"/>
      <c r="AG447" s="34"/>
      <c r="AH447" s="52"/>
      <c r="AI447" s="52"/>
      <c r="AK447" s="34"/>
      <c r="AL447" s="34"/>
      <c r="AM447" s="34"/>
      <c r="AN447" s="54"/>
      <c r="AO447" s="34"/>
      <c r="AP447" s="34"/>
      <c r="AQ447" s="54"/>
      <c r="AR447" s="54"/>
      <c r="AS447" s="54"/>
      <c r="AT447" s="54"/>
      <c r="AU447" s="34"/>
      <c r="AV447" s="34"/>
      <c r="AW447" s="34"/>
      <c r="AX447" s="34"/>
      <c r="AY447" s="34"/>
      <c r="AZ447" s="44"/>
      <c r="BA447" s="34"/>
      <c r="BB447" s="34"/>
    </row>
    <row r="448" spans="1:54" x14ac:dyDescent="0.35" ht="15.0" customHeight="true">
      <c r="A448" s="51"/>
      <c r="B448" s="34"/>
      <c r="C448" s="34"/>
      <c r="D448" s="34"/>
      <c r="E448" s="34"/>
      <c r="F448" s="34"/>
      <c r="G448" s="44"/>
      <c r="H448" s="34"/>
      <c r="I448" s="54"/>
      <c r="J448" s="34"/>
      <c r="K448" s="54"/>
      <c r="L448" s="34"/>
      <c r="M448" s="44"/>
      <c r="N448" s="44"/>
      <c r="O448" s="34"/>
      <c r="P448" s="34"/>
      <c r="Q448" s="34"/>
      <c r="R448" s="34"/>
      <c r="U448" s="44"/>
      <c r="W448" s="95"/>
      <c r="X448" s="54"/>
      <c r="Y448" s="54"/>
      <c r="Z448" s="34"/>
      <c r="AA448" s="34"/>
      <c r="AB448" s="34"/>
      <c r="AC448" s="34"/>
      <c r="AD448" s="34"/>
      <c r="AE448" s="34"/>
      <c r="AF448" s="34"/>
      <c r="AG448" s="34"/>
      <c r="AH448" s="52"/>
      <c r="AI448" s="52"/>
      <c r="AK448" s="34"/>
      <c r="AL448" s="34"/>
      <c r="AM448" s="34"/>
      <c r="AN448" s="54"/>
      <c r="AO448" s="34"/>
      <c r="AP448" s="34"/>
      <c r="AQ448" s="54"/>
      <c r="AR448" s="54"/>
      <c r="AS448" s="54"/>
      <c r="AT448" s="54"/>
      <c r="AU448" s="34"/>
      <c r="AV448" s="34"/>
      <c r="AW448" s="34"/>
      <c r="AX448" s="34"/>
      <c r="AY448" s="34"/>
      <c r="AZ448" s="44"/>
      <c r="BA448" s="34"/>
      <c r="BB448" s="34"/>
    </row>
    <row r="449" spans="1:54" x14ac:dyDescent="0.35" ht="15.0" customHeight="true">
      <c r="A449" s="51"/>
      <c r="B449" s="34"/>
      <c r="C449" s="34"/>
      <c r="D449" s="34"/>
      <c r="E449" s="34"/>
      <c r="F449" s="34"/>
      <c r="G449" s="44"/>
      <c r="H449" s="34"/>
      <c r="I449" s="54"/>
      <c r="J449" s="34"/>
      <c r="K449" s="54"/>
      <c r="L449" s="34"/>
      <c r="M449" s="44"/>
      <c r="N449" s="44"/>
      <c r="O449" s="34"/>
      <c r="P449" s="34"/>
      <c r="Q449" s="34"/>
      <c r="R449" s="34"/>
      <c r="U449" s="44"/>
      <c r="W449" s="95"/>
      <c r="X449" s="54"/>
      <c r="Y449" s="54"/>
      <c r="Z449" s="34"/>
      <c r="AA449" s="34"/>
      <c r="AB449" s="34"/>
      <c r="AC449" s="34"/>
      <c r="AD449" s="34"/>
      <c r="AE449" s="34"/>
      <c r="AF449" s="34"/>
      <c r="AG449" s="34"/>
      <c r="AH449" s="52"/>
      <c r="AI449" s="52"/>
      <c r="AK449" s="34"/>
      <c r="AL449" s="34"/>
      <c r="AM449" s="34"/>
      <c r="AN449" s="54"/>
      <c r="AO449" s="34"/>
      <c r="AP449" s="34"/>
      <c r="AQ449" s="54"/>
      <c r="AR449" s="54"/>
      <c r="AS449" s="54"/>
      <c r="AT449" s="54"/>
      <c r="AU449" s="34"/>
      <c r="AV449" s="34"/>
      <c r="AW449" s="34"/>
      <c r="AX449" s="34"/>
      <c r="AY449" s="34"/>
      <c r="AZ449" s="44"/>
      <c r="BA449" s="34"/>
      <c r="BB449" s="34"/>
    </row>
    <row r="450" spans="1:54" x14ac:dyDescent="0.35" ht="15.0" customHeight="true">
      <c r="A450" s="51"/>
      <c r="B450" s="34"/>
      <c r="C450" s="34"/>
      <c r="D450" s="34"/>
      <c r="E450" s="34"/>
      <c r="F450" s="34"/>
      <c r="G450" s="44"/>
      <c r="H450" s="34"/>
      <c r="I450" s="54"/>
      <c r="J450" s="34"/>
      <c r="K450" s="54"/>
      <c r="L450" s="34"/>
      <c r="M450" s="44"/>
      <c r="N450" s="44"/>
      <c r="O450" s="34"/>
      <c r="P450" s="34"/>
      <c r="Q450" s="34"/>
      <c r="R450" s="34"/>
      <c r="U450" s="44"/>
      <c r="W450" s="95"/>
      <c r="X450" s="54"/>
      <c r="Y450" s="54"/>
      <c r="Z450" s="34"/>
      <c r="AA450" s="34"/>
      <c r="AB450" s="34"/>
      <c r="AC450" s="34"/>
      <c r="AD450" s="34"/>
      <c r="AE450" s="34"/>
      <c r="AF450" s="34"/>
      <c r="AG450" s="34"/>
      <c r="AH450" s="52"/>
      <c r="AI450" s="52"/>
      <c r="AK450" s="34"/>
      <c r="AL450" s="34"/>
      <c r="AM450" s="34"/>
      <c r="AN450" s="54"/>
      <c r="AO450" s="34"/>
      <c r="AP450" s="34"/>
      <c r="AQ450" s="54"/>
      <c r="AR450" s="54"/>
      <c r="AS450" s="54"/>
      <c r="AT450" s="54"/>
      <c r="AU450" s="34"/>
      <c r="AV450" s="34"/>
      <c r="AW450" s="34"/>
      <c r="AX450" s="34"/>
      <c r="AY450" s="34"/>
      <c r="AZ450" s="44"/>
      <c r="BA450" s="34"/>
      <c r="BB450" s="34"/>
    </row>
    <row r="451" spans="1:54" x14ac:dyDescent="0.35" ht="15.0" customHeight="true">
      <c r="A451" s="51"/>
      <c r="B451" s="34"/>
      <c r="C451" s="34"/>
      <c r="D451" s="34"/>
      <c r="E451" s="34"/>
      <c r="F451" s="34"/>
      <c r="G451" s="44"/>
      <c r="H451" s="34"/>
      <c r="I451" s="54"/>
      <c r="J451" s="34"/>
      <c r="K451" s="54"/>
      <c r="L451" s="34"/>
      <c r="M451" s="44"/>
      <c r="N451" s="44"/>
      <c r="O451" s="34"/>
      <c r="P451" s="34"/>
      <c r="Q451" s="34"/>
      <c r="R451" s="34"/>
      <c r="U451" s="44"/>
      <c r="W451" s="95"/>
      <c r="X451" s="54"/>
      <c r="Y451" s="54"/>
      <c r="Z451" s="34"/>
      <c r="AA451" s="34"/>
      <c r="AB451" s="34"/>
      <c r="AC451" s="34"/>
      <c r="AD451" s="34"/>
      <c r="AE451" s="34"/>
      <c r="AF451" s="34"/>
      <c r="AG451" s="34"/>
      <c r="AH451" s="52"/>
      <c r="AI451" s="52"/>
      <c r="AK451" s="34"/>
      <c r="AL451" s="34"/>
      <c r="AM451" s="34"/>
      <c r="AN451" s="54"/>
      <c r="AO451" s="34"/>
      <c r="AP451" s="34"/>
      <c r="AQ451" s="54"/>
      <c r="AR451" s="54"/>
      <c r="AS451" s="54"/>
      <c r="AT451" s="54"/>
      <c r="AU451" s="34"/>
      <c r="AV451" s="34"/>
      <c r="AW451" s="34"/>
      <c r="AX451" s="34"/>
      <c r="AY451" s="34"/>
      <c r="AZ451" s="44"/>
      <c r="BA451" s="34"/>
      <c r="BB451" s="34"/>
    </row>
    <row r="452" spans="1:54" x14ac:dyDescent="0.35" ht="15.0" customHeight="true">
      <c r="A452" s="51"/>
      <c r="B452" s="34"/>
      <c r="C452" s="34"/>
      <c r="D452" s="34"/>
      <c r="E452" s="34"/>
      <c r="F452" s="34"/>
      <c r="G452" s="44"/>
      <c r="H452" s="34"/>
      <c r="I452" s="54"/>
      <c r="J452" s="34"/>
      <c r="K452" s="54"/>
      <c r="L452" s="34"/>
      <c r="M452" s="44"/>
      <c r="N452" s="44"/>
      <c r="O452" s="34"/>
      <c r="P452" s="34"/>
      <c r="Q452" s="34"/>
      <c r="R452" s="34"/>
      <c r="U452" s="44"/>
      <c r="W452" s="95"/>
      <c r="X452" s="54"/>
      <c r="Y452" s="54"/>
      <c r="Z452" s="34"/>
      <c r="AA452" s="34"/>
      <c r="AB452" s="34"/>
      <c r="AC452" s="34"/>
      <c r="AD452" s="34"/>
      <c r="AE452" s="34"/>
      <c r="AF452" s="34"/>
      <c r="AG452" s="34"/>
      <c r="AH452" s="52"/>
      <c r="AI452" s="52"/>
      <c r="AK452" s="34"/>
      <c r="AL452" s="34"/>
      <c r="AM452" s="34"/>
      <c r="AN452" s="54"/>
      <c r="AO452" s="34"/>
      <c r="AP452" s="34"/>
      <c r="AQ452" s="54"/>
      <c r="AR452" s="54"/>
      <c r="AS452" s="54"/>
      <c r="AT452" s="54"/>
      <c r="AU452" s="34"/>
      <c r="AV452" s="34"/>
      <c r="AW452" s="34"/>
      <c r="AX452" s="34"/>
      <c r="AY452" s="34"/>
      <c r="AZ452" s="44"/>
      <c r="BA452" s="34"/>
      <c r="BB452" s="34"/>
    </row>
    <row r="453" spans="1:54" x14ac:dyDescent="0.35" ht="15.0" customHeight="true">
      <c r="A453" s="51"/>
      <c r="B453" s="34"/>
      <c r="C453" s="34"/>
      <c r="D453" s="34"/>
      <c r="E453" s="34"/>
      <c r="F453" s="34"/>
      <c r="G453" s="44"/>
      <c r="H453" s="34"/>
      <c r="I453" s="54"/>
      <c r="J453" s="34"/>
      <c r="K453" s="54"/>
      <c r="L453" s="34"/>
      <c r="M453" s="44"/>
      <c r="N453" s="44"/>
      <c r="O453" s="34"/>
      <c r="P453" s="34"/>
      <c r="Q453" s="34"/>
      <c r="R453" s="34"/>
      <c r="U453" s="44"/>
      <c r="W453" s="95"/>
      <c r="X453" s="54"/>
      <c r="Y453" s="54"/>
      <c r="Z453" s="34"/>
      <c r="AA453" s="34"/>
      <c r="AB453" s="34"/>
      <c r="AC453" s="34"/>
      <c r="AD453" s="34"/>
      <c r="AE453" s="34"/>
      <c r="AF453" s="34"/>
      <c r="AG453" s="34"/>
      <c r="AH453" s="52"/>
      <c r="AI453" s="52"/>
      <c r="AK453" s="34"/>
      <c r="AL453" s="34"/>
      <c r="AM453" s="34"/>
      <c r="AN453" s="54"/>
      <c r="AO453" s="34"/>
      <c r="AP453" s="34"/>
      <c r="AQ453" s="54"/>
      <c r="AR453" s="54"/>
      <c r="AS453" s="54"/>
      <c r="AT453" s="54"/>
      <c r="AU453" s="34"/>
      <c r="AV453" s="34"/>
      <c r="AW453" s="34"/>
      <c r="AX453" s="34"/>
      <c r="AY453" s="34"/>
      <c r="AZ453" s="44"/>
      <c r="BA453" s="34"/>
      <c r="BB453" s="34"/>
    </row>
    <row r="454" spans="1:54" x14ac:dyDescent="0.35" ht="15.0" customHeight="true">
      <c r="A454" s="51"/>
      <c r="B454" s="34"/>
      <c r="C454" s="34"/>
      <c r="D454" s="34"/>
      <c r="E454" s="34"/>
      <c r="F454" s="34"/>
      <c r="G454" s="44"/>
      <c r="H454" s="34"/>
      <c r="I454" s="54"/>
      <c r="J454" s="34"/>
      <c r="K454" s="54"/>
      <c r="L454" s="34"/>
      <c r="M454" s="44"/>
      <c r="N454" s="44"/>
      <c r="O454" s="34"/>
      <c r="P454" s="34"/>
      <c r="Q454" s="34"/>
      <c r="R454" s="34"/>
      <c r="U454" s="44"/>
      <c r="W454" s="95"/>
      <c r="X454" s="54"/>
      <c r="Y454" s="54"/>
      <c r="Z454" s="34"/>
      <c r="AA454" s="34"/>
      <c r="AB454" s="34"/>
      <c r="AC454" s="34"/>
      <c r="AD454" s="34"/>
      <c r="AE454" s="34"/>
      <c r="AF454" s="34"/>
      <c r="AG454" s="34"/>
      <c r="AH454" s="52"/>
      <c r="AI454" s="52"/>
      <c r="AK454" s="34"/>
      <c r="AL454" s="34"/>
      <c r="AM454" s="34"/>
      <c r="AN454" s="54"/>
      <c r="AO454" s="34"/>
      <c r="AP454" s="34"/>
      <c r="AQ454" s="54"/>
      <c r="AR454" s="54"/>
      <c r="AS454" s="54"/>
      <c r="AT454" s="54"/>
      <c r="AU454" s="34"/>
      <c r="AV454" s="34"/>
      <c r="AW454" s="34"/>
      <c r="AX454" s="34"/>
      <c r="AY454" s="34"/>
      <c r="AZ454" s="44"/>
      <c r="BA454" s="34"/>
      <c r="BB454" s="34"/>
    </row>
    <row r="455" spans="1:54" x14ac:dyDescent="0.35" ht="15.0" customHeight="true">
      <c r="A455" s="51"/>
      <c r="B455" s="34"/>
      <c r="C455" s="34"/>
      <c r="D455" s="34"/>
      <c r="E455" s="34"/>
      <c r="F455" s="34"/>
      <c r="G455" s="44"/>
      <c r="H455" s="34"/>
      <c r="I455" s="54"/>
      <c r="J455" s="34"/>
      <c r="K455" s="54"/>
      <c r="L455" s="34"/>
      <c r="M455" s="44"/>
      <c r="N455" s="44"/>
      <c r="O455" s="34"/>
      <c r="P455" s="34"/>
      <c r="Q455" s="34"/>
      <c r="R455" s="34"/>
      <c r="U455" s="44"/>
      <c r="W455" s="95"/>
      <c r="X455" s="54"/>
      <c r="Y455" s="54"/>
      <c r="Z455" s="34"/>
      <c r="AA455" s="34"/>
      <c r="AB455" s="34"/>
      <c r="AC455" s="34"/>
      <c r="AD455" s="34"/>
      <c r="AE455" s="34"/>
      <c r="AF455" s="34"/>
      <c r="AG455" s="34"/>
      <c r="AH455" s="52"/>
      <c r="AI455" s="52"/>
      <c r="AK455" s="34"/>
      <c r="AL455" s="34"/>
      <c r="AM455" s="34"/>
      <c r="AN455" s="54"/>
      <c r="AO455" s="34"/>
      <c r="AP455" s="34"/>
      <c r="AQ455" s="54"/>
      <c r="AR455" s="54"/>
      <c r="AS455" s="54"/>
      <c r="AT455" s="54"/>
      <c r="AU455" s="34"/>
      <c r="AV455" s="34"/>
      <c r="AW455" s="34"/>
      <c r="AX455" s="34"/>
      <c r="AY455" s="34"/>
      <c r="AZ455" s="44"/>
      <c r="BA455" s="34"/>
      <c r="BB455" s="34"/>
    </row>
    <row r="456" spans="1:54" x14ac:dyDescent="0.35" ht="15.0" customHeight="true">
      <c r="A456" s="51"/>
      <c r="B456" s="34"/>
      <c r="C456" s="34"/>
      <c r="D456" s="34"/>
      <c r="E456" s="34"/>
      <c r="F456" s="34"/>
      <c r="G456" s="44"/>
      <c r="H456" s="34"/>
      <c r="I456" s="54"/>
      <c r="J456" s="34"/>
      <c r="K456" s="54"/>
      <c r="L456" s="34"/>
      <c r="M456" s="44"/>
      <c r="N456" s="44"/>
      <c r="O456" s="34"/>
      <c r="P456" s="34"/>
      <c r="Q456" s="34"/>
      <c r="R456" s="34"/>
      <c r="U456" s="44"/>
      <c r="W456" s="95"/>
      <c r="X456" s="54"/>
      <c r="Y456" s="54"/>
      <c r="Z456" s="34"/>
      <c r="AA456" s="34"/>
      <c r="AB456" s="34"/>
      <c r="AC456" s="34"/>
      <c r="AD456" s="34"/>
      <c r="AE456" s="34"/>
      <c r="AF456" s="34"/>
      <c r="AG456" s="34"/>
      <c r="AH456" s="52"/>
      <c r="AI456" s="52"/>
      <c r="AK456" s="34"/>
      <c r="AL456" s="34"/>
      <c r="AM456" s="34"/>
      <c r="AN456" s="54"/>
      <c r="AO456" s="34"/>
      <c r="AP456" s="34"/>
      <c r="AQ456" s="54"/>
      <c r="AR456" s="54"/>
      <c r="AS456" s="54"/>
      <c r="AT456" s="54"/>
      <c r="AU456" s="34"/>
      <c r="AV456" s="34"/>
      <c r="AW456" s="34"/>
      <c r="AX456" s="34"/>
      <c r="AY456" s="34"/>
      <c r="AZ456" s="44"/>
      <c r="BA456" s="34"/>
      <c r="BB456" s="34"/>
    </row>
    <row r="457" spans="1:54" x14ac:dyDescent="0.35" ht="15.0" customHeight="true">
      <c r="A457" s="51"/>
      <c r="B457" s="34"/>
      <c r="C457" s="34"/>
      <c r="D457" s="34"/>
      <c r="E457" s="34"/>
      <c r="F457" s="34"/>
      <c r="G457" s="44"/>
      <c r="H457" s="34"/>
      <c r="I457" s="54"/>
      <c r="J457" s="34"/>
      <c r="K457" s="54"/>
      <c r="L457" s="34"/>
      <c r="M457" s="44"/>
      <c r="N457" s="44"/>
      <c r="O457" s="34"/>
      <c r="P457" s="34"/>
      <c r="Q457" s="34"/>
      <c r="R457" s="34"/>
      <c r="U457" s="44"/>
      <c r="W457" s="95"/>
      <c r="X457" s="54"/>
      <c r="Y457" s="54"/>
      <c r="Z457" s="34"/>
      <c r="AA457" s="34"/>
      <c r="AB457" s="34"/>
      <c r="AC457" s="34"/>
      <c r="AD457" s="34"/>
      <c r="AE457" s="34"/>
      <c r="AF457" s="34"/>
      <c r="AG457" s="34"/>
      <c r="AH457" s="52"/>
      <c r="AI457" s="52"/>
      <c r="AK457" s="34"/>
      <c r="AL457" s="34"/>
      <c r="AM457" s="34"/>
      <c r="AN457" s="54"/>
      <c r="AO457" s="34"/>
      <c r="AP457" s="34"/>
      <c r="AQ457" s="54"/>
      <c r="AR457" s="54"/>
      <c r="AS457" s="54"/>
      <c r="AT457" s="54"/>
      <c r="AU457" s="34"/>
      <c r="AV457" s="34"/>
      <c r="AW457" s="34"/>
      <c r="AX457" s="34"/>
      <c r="AY457" s="34"/>
      <c r="AZ457" s="44"/>
      <c r="BA457" s="34"/>
      <c r="BB457" s="34"/>
    </row>
    <row r="458" spans="1:54" x14ac:dyDescent="0.35" ht="15.0" customHeight="true">
      <c r="A458" s="51"/>
      <c r="B458" s="34"/>
      <c r="C458" s="34"/>
      <c r="D458" s="34"/>
      <c r="E458" s="34"/>
      <c r="F458" s="34"/>
      <c r="G458" s="44"/>
      <c r="H458" s="34"/>
      <c r="I458" s="54"/>
      <c r="J458" s="34"/>
      <c r="K458" s="54"/>
      <c r="L458" s="34"/>
      <c r="M458" s="44"/>
      <c r="N458" s="44"/>
      <c r="O458" s="34"/>
      <c r="P458" s="34"/>
      <c r="Q458" s="34"/>
      <c r="R458" s="34"/>
      <c r="U458" s="44"/>
      <c r="W458" s="95"/>
      <c r="X458" s="54"/>
      <c r="Y458" s="54"/>
      <c r="Z458" s="34"/>
      <c r="AA458" s="34"/>
      <c r="AB458" s="34"/>
      <c r="AC458" s="34"/>
      <c r="AD458" s="34"/>
      <c r="AE458" s="34"/>
      <c r="AF458" s="34"/>
      <c r="AG458" s="34"/>
      <c r="AH458" s="52"/>
      <c r="AI458" s="52"/>
      <c r="AK458" s="34"/>
      <c r="AL458" s="34"/>
      <c r="AM458" s="34"/>
      <c r="AN458" s="54"/>
      <c r="AO458" s="34"/>
      <c r="AP458" s="34"/>
      <c r="AQ458" s="54"/>
      <c r="AR458" s="54"/>
      <c r="AS458" s="54"/>
      <c r="AT458" s="54"/>
      <c r="AU458" s="34"/>
      <c r="AV458" s="34"/>
      <c r="AW458" s="34"/>
      <c r="AX458" s="34"/>
      <c r="AY458" s="34"/>
      <c r="AZ458" s="44"/>
      <c r="BA458" s="34"/>
      <c r="BB458" s="34"/>
    </row>
    <row r="459" spans="1:54" x14ac:dyDescent="0.35" ht="15.0" customHeight="true">
      <c r="A459" s="51"/>
      <c r="B459" s="34"/>
      <c r="C459" s="34"/>
      <c r="D459" s="34"/>
      <c r="E459" s="34"/>
      <c r="F459" s="34"/>
      <c r="G459" s="44"/>
      <c r="H459" s="34"/>
      <c r="I459" s="54"/>
      <c r="J459" s="34"/>
      <c r="K459" s="54"/>
      <c r="L459" s="34"/>
      <c r="M459" s="44"/>
      <c r="N459" s="44"/>
      <c r="O459" s="34"/>
      <c r="P459" s="34"/>
      <c r="Q459" s="34"/>
      <c r="R459" s="34"/>
      <c r="U459" s="44"/>
      <c r="W459" s="95"/>
      <c r="X459" s="54"/>
      <c r="Y459" s="54"/>
      <c r="Z459" s="34"/>
      <c r="AA459" s="34"/>
      <c r="AB459" s="34"/>
      <c r="AC459" s="34"/>
      <c r="AD459" s="34"/>
      <c r="AE459" s="34"/>
      <c r="AF459" s="34"/>
      <c r="AG459" s="34"/>
      <c r="AH459" s="52"/>
      <c r="AI459" s="52"/>
      <c r="AK459" s="34"/>
      <c r="AL459" s="34"/>
      <c r="AM459" s="34"/>
      <c r="AN459" s="54"/>
      <c r="AO459" s="34"/>
      <c r="AP459" s="34"/>
      <c r="AQ459" s="54"/>
      <c r="AR459" s="54"/>
      <c r="AS459" s="54"/>
      <c r="AT459" s="54"/>
      <c r="AU459" s="34"/>
      <c r="AV459" s="34"/>
      <c r="AW459" s="34"/>
      <c r="AX459" s="34"/>
      <c r="AY459" s="34"/>
      <c r="AZ459" s="44"/>
      <c r="BA459" s="34"/>
      <c r="BB459" s="34"/>
    </row>
    <row r="460" spans="1:54" x14ac:dyDescent="0.35" ht="15.0" customHeight="true">
      <c r="A460" s="51"/>
      <c r="B460" s="34"/>
      <c r="C460" s="34"/>
      <c r="D460" s="34"/>
      <c r="E460" s="34"/>
      <c r="F460" s="34"/>
      <c r="G460" s="44"/>
      <c r="H460" s="34"/>
      <c r="I460" s="54"/>
      <c r="J460" s="34"/>
      <c r="K460" s="54"/>
      <c r="L460" s="34"/>
      <c r="M460" s="44"/>
      <c r="N460" s="44"/>
      <c r="O460" s="34"/>
      <c r="P460" s="34"/>
      <c r="Q460" s="34"/>
      <c r="R460" s="34"/>
      <c r="U460" s="44"/>
      <c r="W460" s="95"/>
      <c r="X460" s="54"/>
      <c r="Y460" s="54"/>
      <c r="Z460" s="34"/>
      <c r="AA460" s="34"/>
      <c r="AB460" s="34"/>
      <c r="AC460" s="34"/>
      <c r="AD460" s="34"/>
      <c r="AE460" s="34"/>
      <c r="AF460" s="34"/>
      <c r="AG460" s="34"/>
      <c r="AH460" s="52"/>
      <c r="AI460" s="52"/>
      <c r="AK460" s="34"/>
      <c r="AL460" s="34"/>
      <c r="AM460" s="34"/>
      <c r="AN460" s="54"/>
      <c r="AO460" s="34"/>
      <c r="AP460" s="34"/>
      <c r="AQ460" s="54"/>
      <c r="AR460" s="54"/>
      <c r="AS460" s="54"/>
      <c r="AT460" s="54"/>
      <c r="AU460" s="34"/>
      <c r="AV460" s="34"/>
      <c r="AW460" s="34"/>
      <c r="AX460" s="34"/>
      <c r="AY460" s="34"/>
      <c r="AZ460" s="44"/>
      <c r="BA460" s="34"/>
      <c r="BB460" s="34"/>
    </row>
    <row r="461" spans="1:54" x14ac:dyDescent="0.35" ht="15.0" customHeight="true">
      <c r="A461" s="51"/>
      <c r="B461" s="34"/>
      <c r="C461" s="34"/>
      <c r="D461" s="34"/>
      <c r="E461" s="34"/>
      <c r="F461" s="34"/>
      <c r="G461" s="44"/>
      <c r="H461" s="34"/>
      <c r="I461" s="54"/>
      <c r="J461" s="34"/>
      <c r="K461" s="54"/>
      <c r="L461" s="34"/>
      <c r="M461" s="44"/>
      <c r="N461" s="44"/>
      <c r="O461" s="34"/>
      <c r="P461" s="34"/>
      <c r="Q461" s="34"/>
      <c r="R461" s="34"/>
      <c r="U461" s="44"/>
      <c r="W461" s="95"/>
      <c r="X461" s="54"/>
      <c r="Y461" s="54"/>
      <c r="Z461" s="34"/>
      <c r="AA461" s="34"/>
      <c r="AB461" s="34"/>
      <c r="AC461" s="34"/>
      <c r="AD461" s="34"/>
      <c r="AE461" s="34"/>
      <c r="AF461" s="34"/>
      <c r="AG461" s="34"/>
      <c r="AH461" s="52"/>
      <c r="AI461" s="52"/>
      <c r="AK461" s="34"/>
      <c r="AL461" s="34"/>
      <c r="AM461" s="34"/>
      <c r="AN461" s="54"/>
      <c r="AO461" s="34"/>
      <c r="AP461" s="34"/>
      <c r="AQ461" s="54"/>
      <c r="AR461" s="54"/>
      <c r="AS461" s="54"/>
      <c r="AT461" s="54"/>
      <c r="AU461" s="34"/>
      <c r="AV461" s="34"/>
      <c r="AW461" s="34"/>
      <c r="AX461" s="34"/>
      <c r="AY461" s="34"/>
      <c r="AZ461" s="44"/>
      <c r="BA461" s="34"/>
      <c r="BB461" s="34"/>
    </row>
    <row r="462" spans="1:54" x14ac:dyDescent="0.35" ht="15.0" customHeight="true">
      <c r="A462" s="51"/>
      <c r="B462" s="34"/>
      <c r="C462" s="34"/>
      <c r="D462" s="34"/>
      <c r="E462" s="34"/>
      <c r="F462" s="34"/>
      <c r="G462" s="44"/>
      <c r="H462" s="34"/>
      <c r="I462" s="54"/>
      <c r="J462" s="34"/>
      <c r="K462" s="54"/>
      <c r="L462" s="34"/>
      <c r="M462" s="44"/>
      <c r="N462" s="44"/>
      <c r="O462" s="34"/>
      <c r="P462" s="34"/>
      <c r="Q462" s="34"/>
      <c r="R462" s="34"/>
      <c r="U462" s="44"/>
      <c r="W462" s="95"/>
      <c r="X462" s="54"/>
      <c r="Y462" s="54"/>
      <c r="Z462" s="34"/>
      <c r="AA462" s="34"/>
      <c r="AB462" s="34"/>
      <c r="AC462" s="34"/>
      <c r="AD462" s="34"/>
      <c r="AE462" s="34"/>
      <c r="AF462" s="34"/>
      <c r="AG462" s="34"/>
      <c r="AH462" s="52"/>
      <c r="AI462" s="52"/>
      <c r="AK462" s="34"/>
      <c r="AL462" s="34"/>
      <c r="AM462" s="34"/>
      <c r="AN462" s="54"/>
      <c r="AO462" s="34"/>
      <c r="AP462" s="34"/>
      <c r="AQ462" s="54"/>
      <c r="AR462" s="54"/>
      <c r="AS462" s="54"/>
      <c r="AT462" s="54"/>
      <c r="AU462" s="34"/>
      <c r="AV462" s="34"/>
      <c r="AW462" s="34"/>
      <c r="AX462" s="34"/>
      <c r="AY462" s="34"/>
      <c r="AZ462" s="44"/>
      <c r="BA462" s="34"/>
      <c r="BB462" s="34"/>
    </row>
    <row r="463" spans="1:54" x14ac:dyDescent="0.35" ht="15.0" customHeight="true">
      <c r="A463" s="51"/>
      <c r="B463" s="34"/>
      <c r="C463" s="34"/>
      <c r="D463" s="34"/>
      <c r="E463" s="34"/>
      <c r="F463" s="34"/>
      <c r="G463" s="44"/>
      <c r="H463" s="34"/>
      <c r="I463" s="54"/>
      <c r="J463" s="34"/>
      <c r="K463" s="54"/>
      <c r="L463" s="34"/>
      <c r="M463" s="44"/>
      <c r="N463" s="44"/>
      <c r="O463" s="34"/>
      <c r="P463" s="34"/>
      <c r="Q463" s="34"/>
      <c r="R463" s="34"/>
      <c r="U463" s="44"/>
      <c r="W463" s="95"/>
      <c r="X463" s="54"/>
      <c r="Y463" s="54"/>
      <c r="Z463" s="34"/>
      <c r="AA463" s="34"/>
      <c r="AB463" s="34"/>
      <c r="AC463" s="34"/>
      <c r="AD463" s="34"/>
      <c r="AE463" s="34"/>
      <c r="AF463" s="34"/>
      <c r="AG463" s="34"/>
      <c r="AH463" s="52"/>
      <c r="AI463" s="52"/>
      <c r="AK463" s="34"/>
      <c r="AL463" s="34"/>
      <c r="AM463" s="34"/>
      <c r="AN463" s="54"/>
      <c r="AO463" s="34"/>
      <c r="AP463" s="34"/>
      <c r="AQ463" s="54"/>
      <c r="AR463" s="54"/>
      <c r="AS463" s="54"/>
      <c r="AT463" s="54"/>
      <c r="AU463" s="34"/>
      <c r="AV463" s="34"/>
      <c r="AW463" s="34"/>
      <c r="AX463" s="34"/>
      <c r="AY463" s="34"/>
      <c r="AZ463" s="44"/>
      <c r="BA463" s="34"/>
      <c r="BB463" s="34"/>
    </row>
    <row r="464" spans="1:54" x14ac:dyDescent="0.35" ht="15.0" customHeight="true">
      <c r="A464" s="51"/>
      <c r="B464" s="34"/>
      <c r="C464" s="34"/>
      <c r="D464" s="34"/>
      <c r="E464" s="34"/>
      <c r="F464" s="34"/>
      <c r="G464" s="44"/>
      <c r="H464" s="34"/>
      <c r="I464" s="54"/>
      <c r="J464" s="34"/>
      <c r="K464" s="54"/>
      <c r="L464" s="34"/>
      <c r="M464" s="44"/>
      <c r="N464" s="44"/>
      <c r="O464" s="34"/>
      <c r="P464" s="34"/>
      <c r="Q464" s="34"/>
      <c r="R464" s="34"/>
      <c r="U464" s="44"/>
      <c r="W464" s="95"/>
      <c r="X464" s="54"/>
      <c r="Y464" s="54"/>
      <c r="Z464" s="34"/>
      <c r="AA464" s="34"/>
      <c r="AB464" s="34"/>
      <c r="AC464" s="34"/>
      <c r="AD464" s="34"/>
      <c r="AE464" s="34"/>
      <c r="AF464" s="34"/>
      <c r="AG464" s="34"/>
      <c r="AH464" s="52"/>
      <c r="AI464" s="52"/>
      <c r="AK464" s="34"/>
      <c r="AL464" s="34"/>
      <c r="AM464" s="34"/>
      <c r="AN464" s="54"/>
      <c r="AO464" s="34"/>
      <c r="AP464" s="34"/>
      <c r="AQ464" s="54"/>
      <c r="AR464" s="54"/>
      <c r="AS464" s="54"/>
      <c r="AT464" s="54"/>
      <c r="AU464" s="34"/>
      <c r="AV464" s="34"/>
      <c r="AW464" s="34"/>
      <c r="AX464" s="34"/>
      <c r="AY464" s="34"/>
      <c r="AZ464" s="44"/>
      <c r="BA464" s="34"/>
      <c r="BB464" s="34"/>
    </row>
    <row r="465" spans="1:54" x14ac:dyDescent="0.35" ht="15.0" customHeight="true">
      <c r="A465" s="51"/>
      <c r="B465" s="34"/>
      <c r="C465" s="34"/>
      <c r="D465" s="34"/>
      <c r="E465" s="34"/>
      <c r="F465" s="34"/>
      <c r="G465" s="44"/>
      <c r="H465" s="34"/>
      <c r="I465" s="54"/>
      <c r="J465" s="34"/>
      <c r="K465" s="54"/>
      <c r="L465" s="34"/>
      <c r="M465" s="44"/>
      <c r="N465" s="44"/>
      <c r="O465" s="34"/>
      <c r="P465" s="34"/>
      <c r="Q465" s="34"/>
      <c r="R465" s="34"/>
      <c r="U465" s="44"/>
      <c r="W465" s="95"/>
      <c r="X465" s="54"/>
      <c r="Y465" s="54"/>
      <c r="Z465" s="34"/>
      <c r="AA465" s="34"/>
      <c r="AB465" s="34"/>
      <c r="AC465" s="34"/>
      <c r="AD465" s="34"/>
      <c r="AE465" s="34"/>
      <c r="AF465" s="34"/>
      <c r="AG465" s="34"/>
      <c r="AH465" s="52"/>
      <c r="AI465" s="52"/>
      <c r="AK465" s="34"/>
      <c r="AL465" s="34"/>
      <c r="AM465" s="34"/>
      <c r="AN465" s="54"/>
      <c r="AO465" s="34"/>
      <c r="AP465" s="34"/>
      <c r="AQ465" s="54"/>
      <c r="AR465" s="54"/>
      <c r="AS465" s="54"/>
      <c r="AT465" s="54"/>
      <c r="AU465" s="34"/>
      <c r="AV465" s="34"/>
      <c r="AW465" s="34"/>
      <c r="AX465" s="34"/>
      <c r="AY465" s="34"/>
      <c r="AZ465" s="44"/>
      <c r="BA465" s="34"/>
      <c r="BB465" s="34"/>
    </row>
    <row r="466" spans="1:54" x14ac:dyDescent="0.35" ht="15.0" customHeight="true">
      <c r="A466" s="51"/>
      <c r="B466" s="34"/>
      <c r="C466" s="34"/>
      <c r="D466" s="34"/>
      <c r="E466" s="34"/>
      <c r="F466" s="34"/>
      <c r="G466" s="44"/>
      <c r="H466" s="34"/>
      <c r="I466" s="54"/>
      <c r="J466" s="34"/>
      <c r="K466" s="54"/>
      <c r="L466" s="34"/>
      <c r="M466" s="44"/>
      <c r="N466" s="44"/>
      <c r="O466" s="34"/>
      <c r="P466" s="34"/>
      <c r="Q466" s="34"/>
      <c r="R466" s="34"/>
      <c r="U466" s="44"/>
      <c r="W466" s="95"/>
      <c r="X466" s="54"/>
      <c r="Y466" s="54"/>
      <c r="Z466" s="34"/>
      <c r="AA466" s="34"/>
      <c r="AB466" s="34"/>
      <c r="AC466" s="34"/>
      <c r="AD466" s="34"/>
      <c r="AE466" s="34"/>
      <c r="AF466" s="34"/>
      <c r="AG466" s="34"/>
      <c r="AH466" s="52"/>
      <c r="AI466" s="52"/>
      <c r="AK466" s="34"/>
      <c r="AL466" s="34"/>
      <c r="AM466" s="34"/>
      <c r="AN466" s="54"/>
      <c r="AO466" s="34"/>
      <c r="AP466" s="34"/>
      <c r="AQ466" s="54"/>
      <c r="AR466" s="54"/>
      <c r="AS466" s="54"/>
      <c r="AT466" s="54"/>
      <c r="AU466" s="34"/>
      <c r="AV466" s="34"/>
      <c r="AW466" s="34"/>
      <c r="AX466" s="34"/>
      <c r="AY466" s="34"/>
      <c r="AZ466" s="44"/>
      <c r="BA466" s="34"/>
      <c r="BB466" s="34"/>
    </row>
    <row r="467" spans="1:54" x14ac:dyDescent="0.35" ht="15.0" customHeight="true">
      <c r="A467" s="51"/>
      <c r="B467" s="34"/>
      <c r="C467" s="34"/>
      <c r="D467" s="34"/>
      <c r="E467" s="34"/>
      <c r="F467" s="34"/>
      <c r="G467" s="44"/>
      <c r="H467" s="34"/>
      <c r="I467" s="54"/>
      <c r="J467" s="34"/>
      <c r="K467" s="54"/>
      <c r="L467" s="34"/>
      <c r="M467" s="44"/>
      <c r="N467" s="44"/>
      <c r="O467" s="34"/>
      <c r="P467" s="34"/>
      <c r="Q467" s="34"/>
      <c r="R467" s="34"/>
      <c r="U467" s="44"/>
      <c r="W467" s="95"/>
      <c r="X467" s="54"/>
      <c r="Y467" s="54"/>
      <c r="Z467" s="34"/>
      <c r="AA467" s="34"/>
      <c r="AB467" s="34"/>
      <c r="AC467" s="34"/>
      <c r="AD467" s="34"/>
      <c r="AE467" s="34"/>
      <c r="AF467" s="34"/>
      <c r="AG467" s="34"/>
      <c r="AH467" s="52"/>
      <c r="AI467" s="52"/>
      <c r="AK467" s="34"/>
      <c r="AL467" s="34"/>
      <c r="AM467" s="34"/>
      <c r="AN467" s="54"/>
      <c r="AO467" s="34"/>
      <c r="AP467" s="34"/>
      <c r="AQ467" s="54"/>
      <c r="AR467" s="54"/>
      <c r="AS467" s="54"/>
      <c r="AT467" s="54"/>
      <c r="AU467" s="34"/>
      <c r="AV467" s="34"/>
      <c r="AW467" s="34"/>
      <c r="AX467" s="34"/>
      <c r="AY467" s="34"/>
      <c r="AZ467" s="44"/>
      <c r="BA467" s="34"/>
      <c r="BB467" s="34"/>
    </row>
    <row r="468" spans="1:54" x14ac:dyDescent="0.35" ht="15.0" customHeight="true">
      <c r="A468" s="51"/>
      <c r="B468" s="34"/>
      <c r="C468" s="34"/>
      <c r="D468" s="34"/>
      <c r="E468" s="34"/>
      <c r="F468" s="34"/>
      <c r="G468" s="44"/>
      <c r="H468" s="34"/>
      <c r="I468" s="54"/>
      <c r="J468" s="34"/>
      <c r="K468" s="54"/>
      <c r="L468" s="34"/>
      <c r="M468" s="44"/>
      <c r="N468" s="44"/>
      <c r="O468" s="34"/>
      <c r="P468" s="34"/>
      <c r="Q468" s="34"/>
      <c r="R468" s="34"/>
      <c r="U468" s="44"/>
      <c r="W468" s="95"/>
      <c r="X468" s="54"/>
      <c r="Y468" s="54"/>
      <c r="Z468" s="34"/>
      <c r="AA468" s="34"/>
      <c r="AB468" s="34"/>
      <c r="AC468" s="34"/>
      <c r="AD468" s="34"/>
      <c r="AE468" s="34"/>
      <c r="AF468" s="34"/>
      <c r="AG468" s="34"/>
      <c r="AH468" s="52"/>
      <c r="AI468" s="52"/>
      <c r="AK468" s="34"/>
      <c r="AL468" s="34"/>
      <c r="AM468" s="34"/>
      <c r="AN468" s="54"/>
      <c r="AO468" s="34"/>
      <c r="AP468" s="34"/>
      <c r="AQ468" s="54"/>
      <c r="AR468" s="54"/>
      <c r="AS468" s="54"/>
      <c r="AT468" s="54"/>
      <c r="AU468" s="34"/>
      <c r="AV468" s="34"/>
      <c r="AW468" s="34"/>
      <c r="AX468" s="34"/>
      <c r="AY468" s="34"/>
      <c r="AZ468" s="44"/>
      <c r="BA468" s="34"/>
      <c r="BB468" s="34"/>
    </row>
    <row r="469" spans="1:54" x14ac:dyDescent="0.35" ht="15.0" customHeight="true">
      <c r="A469" s="51"/>
      <c r="B469" s="34"/>
      <c r="C469" s="34"/>
      <c r="D469" s="34"/>
      <c r="E469" s="34"/>
      <c r="F469" s="34"/>
      <c r="G469" s="44"/>
      <c r="H469" s="34"/>
      <c r="I469" s="54"/>
      <c r="J469" s="34"/>
      <c r="K469" s="54"/>
      <c r="L469" s="34"/>
      <c r="M469" s="44"/>
      <c r="N469" s="44"/>
      <c r="O469" s="34"/>
      <c r="P469" s="34"/>
      <c r="Q469" s="34"/>
      <c r="R469" s="34"/>
      <c r="U469" s="44"/>
      <c r="W469" s="95"/>
      <c r="X469" s="54"/>
      <c r="Y469" s="54"/>
      <c r="Z469" s="34"/>
      <c r="AA469" s="34"/>
      <c r="AB469" s="34"/>
      <c r="AC469" s="34"/>
      <c r="AD469" s="34"/>
      <c r="AE469" s="34"/>
      <c r="AF469" s="34"/>
      <c r="AG469" s="34"/>
      <c r="AH469" s="52"/>
      <c r="AI469" s="52"/>
      <c r="AK469" s="34"/>
      <c r="AL469" s="34"/>
      <c r="AM469" s="34"/>
      <c r="AN469" s="54"/>
      <c r="AO469" s="34"/>
      <c r="AP469" s="34"/>
      <c r="AQ469" s="54"/>
      <c r="AR469" s="54"/>
      <c r="AS469" s="54"/>
      <c r="AT469" s="54"/>
      <c r="AU469" s="34"/>
      <c r="AV469" s="34"/>
      <c r="AW469" s="34"/>
      <c r="AX469" s="34"/>
      <c r="AY469" s="34"/>
      <c r="AZ469" s="44"/>
      <c r="BA469" s="34"/>
      <c r="BB469" s="34"/>
    </row>
    <row r="470" spans="1:54" x14ac:dyDescent="0.35" ht="15.0" customHeight="true">
      <c r="A470" s="51"/>
      <c r="B470" s="34"/>
      <c r="C470" s="34"/>
      <c r="D470" s="34"/>
      <c r="E470" s="34"/>
      <c r="F470" s="34"/>
      <c r="G470" s="44"/>
      <c r="H470" s="34"/>
      <c r="I470" s="54"/>
      <c r="J470" s="34"/>
      <c r="K470" s="54"/>
      <c r="L470" s="34"/>
      <c r="M470" s="44"/>
      <c r="N470" s="44"/>
      <c r="O470" s="34"/>
      <c r="P470" s="34"/>
      <c r="Q470" s="34"/>
      <c r="R470" s="34"/>
      <c r="U470" s="44"/>
      <c r="W470" s="95"/>
      <c r="X470" s="54"/>
      <c r="Y470" s="54"/>
      <c r="Z470" s="34"/>
      <c r="AA470" s="34"/>
      <c r="AB470" s="34"/>
      <c r="AC470" s="34"/>
      <c r="AD470" s="34"/>
      <c r="AE470" s="34"/>
      <c r="AF470" s="34"/>
      <c r="AG470" s="34"/>
      <c r="AH470" s="52"/>
      <c r="AI470" s="52"/>
      <c r="AK470" s="34"/>
      <c r="AL470" s="34"/>
      <c r="AM470" s="34"/>
      <c r="AN470" s="54"/>
      <c r="AO470" s="34"/>
      <c r="AP470" s="34"/>
      <c r="AQ470" s="54"/>
      <c r="AR470" s="54"/>
      <c r="AS470" s="54"/>
      <c r="AT470" s="54"/>
      <c r="AU470" s="34"/>
      <c r="AV470" s="34"/>
      <c r="AW470" s="34"/>
      <c r="AX470" s="34"/>
      <c r="AY470" s="34"/>
      <c r="AZ470" s="44"/>
      <c r="BA470" s="34"/>
      <c r="BB470" s="34"/>
    </row>
    <row r="471" spans="1:54" x14ac:dyDescent="0.35" ht="15.0" customHeight="true">
      <c r="A471" s="51"/>
      <c r="B471" s="34"/>
      <c r="C471" s="34"/>
      <c r="D471" s="34"/>
      <c r="E471" s="34"/>
      <c r="F471" s="34"/>
      <c r="G471" s="44"/>
      <c r="H471" s="34"/>
      <c r="I471" s="54"/>
      <c r="J471" s="34"/>
      <c r="K471" s="54"/>
      <c r="L471" s="34"/>
      <c r="M471" s="44"/>
      <c r="N471" s="44"/>
      <c r="O471" s="34"/>
      <c r="P471" s="34"/>
      <c r="Q471" s="34"/>
      <c r="R471" s="34"/>
      <c r="U471" s="44"/>
      <c r="W471" s="95"/>
      <c r="X471" s="54"/>
      <c r="Y471" s="54"/>
      <c r="Z471" s="34"/>
      <c r="AA471" s="34"/>
      <c r="AB471" s="34"/>
      <c r="AC471" s="34"/>
      <c r="AD471" s="34"/>
      <c r="AE471" s="34"/>
      <c r="AF471" s="34"/>
      <c r="AG471" s="34"/>
      <c r="AH471" s="52"/>
      <c r="AI471" s="52"/>
      <c r="AK471" s="34"/>
      <c r="AL471" s="34"/>
      <c r="AM471" s="34"/>
      <c r="AN471" s="54"/>
      <c r="AO471" s="34"/>
      <c r="AP471" s="34"/>
      <c r="AQ471" s="54"/>
      <c r="AR471" s="54"/>
      <c r="AS471" s="54"/>
      <c r="AT471" s="54"/>
      <c r="AU471" s="34"/>
      <c r="AV471" s="34"/>
      <c r="AW471" s="34"/>
      <c r="AX471" s="34"/>
      <c r="AY471" s="34"/>
      <c r="AZ471" s="44"/>
      <c r="BA471" s="34"/>
      <c r="BB471" s="34"/>
    </row>
    <row r="472" spans="1:54" x14ac:dyDescent="0.35" ht="15.0" customHeight="true">
      <c r="A472" s="51"/>
      <c r="B472" s="34"/>
      <c r="C472" s="34"/>
      <c r="D472" s="34"/>
      <c r="E472" s="34"/>
      <c r="F472" s="34"/>
      <c r="G472" s="44"/>
      <c r="H472" s="34"/>
      <c r="I472" s="54"/>
      <c r="J472" s="34"/>
      <c r="K472" s="54"/>
      <c r="L472" s="34"/>
      <c r="M472" s="44"/>
      <c r="N472" s="44"/>
      <c r="O472" s="34"/>
      <c r="P472" s="34"/>
      <c r="Q472" s="34"/>
      <c r="R472" s="34"/>
      <c r="U472" s="44"/>
      <c r="W472" s="95"/>
      <c r="X472" s="54"/>
      <c r="Y472" s="54"/>
      <c r="Z472" s="34"/>
      <c r="AA472" s="34"/>
      <c r="AB472" s="34"/>
      <c r="AC472" s="34"/>
      <c r="AD472" s="34"/>
      <c r="AE472" s="34"/>
      <c r="AF472" s="34"/>
      <c r="AG472" s="34"/>
      <c r="AH472" s="52"/>
      <c r="AI472" s="52"/>
      <c r="AK472" s="34"/>
      <c r="AL472" s="34"/>
      <c r="AM472" s="34"/>
      <c r="AN472" s="54"/>
      <c r="AO472" s="34"/>
      <c r="AP472" s="34"/>
      <c r="AQ472" s="54"/>
      <c r="AR472" s="54"/>
      <c r="AS472" s="54"/>
      <c r="AT472" s="54"/>
      <c r="AU472" s="34"/>
      <c r="AV472" s="34"/>
      <c r="AW472" s="34"/>
      <c r="AX472" s="34"/>
      <c r="AY472" s="34"/>
      <c r="AZ472" s="44"/>
      <c r="BA472" s="34"/>
      <c r="BB472" s="34"/>
    </row>
    <row r="473" spans="1:54" x14ac:dyDescent="0.35" ht="15.0" customHeight="true">
      <c r="A473" s="51"/>
      <c r="B473" s="34"/>
      <c r="C473" s="34"/>
      <c r="D473" s="34"/>
      <c r="E473" s="34"/>
      <c r="F473" s="34"/>
      <c r="G473" s="44"/>
      <c r="H473" s="34"/>
      <c r="I473" s="54"/>
      <c r="J473" s="34"/>
      <c r="K473" s="54"/>
      <c r="L473" s="34"/>
      <c r="M473" s="44"/>
      <c r="N473" s="44"/>
      <c r="O473" s="34"/>
      <c r="P473" s="34"/>
      <c r="Q473" s="34"/>
      <c r="R473" s="34"/>
      <c r="U473" s="44"/>
      <c r="W473" s="95"/>
      <c r="X473" s="54"/>
      <c r="Y473" s="54"/>
      <c r="Z473" s="34"/>
      <c r="AA473" s="34"/>
      <c r="AB473" s="34"/>
      <c r="AC473" s="34"/>
      <c r="AD473" s="34"/>
      <c r="AE473" s="34"/>
      <c r="AF473" s="34"/>
      <c r="AG473" s="34"/>
      <c r="AH473" s="52"/>
      <c r="AI473" s="52"/>
      <c r="AK473" s="34"/>
      <c r="AL473" s="34"/>
      <c r="AM473" s="34"/>
      <c r="AN473" s="54"/>
      <c r="AO473" s="34"/>
      <c r="AP473" s="34"/>
      <c r="AQ473" s="54"/>
      <c r="AR473" s="54"/>
      <c r="AS473" s="54"/>
      <c r="AT473" s="54"/>
      <c r="AU473" s="34"/>
      <c r="AV473" s="34"/>
      <c r="AW473" s="34"/>
      <c r="AX473" s="34"/>
      <c r="AY473" s="34"/>
      <c r="AZ473" s="44"/>
      <c r="BA473" s="34"/>
      <c r="BB473" s="34"/>
    </row>
    <row r="474" spans="1:54" x14ac:dyDescent="0.35" ht="15.0" customHeight="true">
      <c r="A474" s="51"/>
      <c r="B474" s="34"/>
      <c r="C474" s="34"/>
      <c r="D474" s="34"/>
      <c r="E474" s="34"/>
      <c r="F474" s="34"/>
      <c r="G474" s="44"/>
      <c r="H474" s="34"/>
      <c r="I474" s="54"/>
      <c r="J474" s="34"/>
      <c r="K474" s="54"/>
      <c r="L474" s="34"/>
      <c r="M474" s="44"/>
      <c r="N474" s="44"/>
      <c r="O474" s="34"/>
      <c r="P474" s="34"/>
      <c r="Q474" s="34"/>
      <c r="R474" s="34"/>
      <c r="U474" s="44"/>
      <c r="W474" s="95"/>
      <c r="X474" s="54"/>
      <c r="Y474" s="54"/>
      <c r="Z474" s="34"/>
      <c r="AA474" s="34"/>
      <c r="AB474" s="34"/>
      <c r="AC474" s="34"/>
      <c r="AD474" s="34"/>
      <c r="AE474" s="34"/>
      <c r="AF474" s="34"/>
      <c r="AG474" s="34"/>
      <c r="AH474" s="52"/>
      <c r="AI474" s="52"/>
      <c r="AK474" s="34"/>
      <c r="AL474" s="34"/>
      <c r="AM474" s="34"/>
      <c r="AN474" s="54"/>
      <c r="AO474" s="34"/>
      <c r="AP474" s="34"/>
      <c r="AQ474" s="54"/>
      <c r="AR474" s="54"/>
      <c r="AS474" s="54"/>
      <c r="AT474" s="54"/>
      <c r="AU474" s="34"/>
      <c r="AV474" s="34"/>
      <c r="AW474" s="34"/>
      <c r="AX474" s="34"/>
      <c r="AY474" s="34"/>
      <c r="AZ474" s="44"/>
      <c r="BA474" s="34"/>
      <c r="BB474" s="34"/>
    </row>
    <row r="475" spans="1:54" x14ac:dyDescent="0.35" ht="15.0" customHeight="true">
      <c r="A475" s="51"/>
      <c r="B475" s="34"/>
      <c r="C475" s="34"/>
      <c r="D475" s="34"/>
      <c r="E475" s="34"/>
      <c r="F475" s="34"/>
      <c r="G475" s="44"/>
      <c r="H475" s="34"/>
      <c r="I475" s="54"/>
      <c r="J475" s="34"/>
      <c r="K475" s="54"/>
      <c r="L475" s="34"/>
      <c r="M475" s="44"/>
      <c r="N475" s="44"/>
      <c r="O475" s="34"/>
      <c r="P475" s="34"/>
      <c r="Q475" s="34"/>
      <c r="R475" s="34"/>
      <c r="U475" s="44"/>
      <c r="W475" s="95"/>
      <c r="X475" s="54"/>
      <c r="Y475" s="54"/>
      <c r="Z475" s="34"/>
      <c r="AA475" s="34"/>
      <c r="AB475" s="34"/>
      <c r="AC475" s="34"/>
      <c r="AD475" s="34"/>
      <c r="AE475" s="34"/>
      <c r="AF475" s="34"/>
      <c r="AG475" s="34"/>
      <c r="AH475" s="52"/>
      <c r="AI475" s="52"/>
      <c r="AK475" s="34"/>
      <c r="AL475" s="34"/>
      <c r="AM475" s="34"/>
      <c r="AN475" s="54"/>
      <c r="AO475" s="34"/>
      <c r="AP475" s="34"/>
      <c r="AQ475" s="54"/>
      <c r="AR475" s="54"/>
      <c r="AS475" s="54"/>
      <c r="AT475" s="54"/>
      <c r="AU475" s="34"/>
      <c r="AV475" s="34"/>
      <c r="AW475" s="34"/>
      <c r="AX475" s="34"/>
      <c r="AY475" s="34"/>
      <c r="AZ475" s="44"/>
      <c r="BA475" s="34"/>
      <c r="BB475" s="34"/>
    </row>
    <row r="476" spans="1:54" x14ac:dyDescent="0.35" ht="15.0" customHeight="true">
      <c r="A476" s="51"/>
      <c r="B476" s="34"/>
      <c r="C476" s="34"/>
      <c r="D476" s="34"/>
      <c r="E476" s="34"/>
      <c r="F476" s="34"/>
      <c r="G476" s="44"/>
      <c r="H476" s="34"/>
      <c r="I476" s="54"/>
      <c r="J476" s="34"/>
      <c r="K476" s="54"/>
      <c r="L476" s="34"/>
      <c r="M476" s="44"/>
      <c r="N476" s="44"/>
      <c r="O476" s="34"/>
      <c r="P476" s="34"/>
      <c r="Q476" s="34"/>
      <c r="R476" s="34"/>
      <c r="U476" s="44"/>
      <c r="W476" s="95"/>
      <c r="X476" s="54"/>
      <c r="Y476" s="54"/>
      <c r="Z476" s="34"/>
      <c r="AA476" s="34"/>
      <c r="AB476" s="34"/>
      <c r="AC476" s="34"/>
      <c r="AD476" s="34"/>
      <c r="AE476" s="34"/>
      <c r="AF476" s="34"/>
      <c r="AG476" s="34"/>
      <c r="AH476" s="52"/>
      <c r="AI476" s="52"/>
      <c r="AK476" s="34"/>
      <c r="AL476" s="34"/>
      <c r="AM476" s="34"/>
      <c r="AN476" s="54"/>
      <c r="AO476" s="34"/>
      <c r="AP476" s="34"/>
      <c r="AQ476" s="54"/>
      <c r="AR476" s="54"/>
      <c r="AS476" s="54"/>
      <c r="AT476" s="54"/>
      <c r="AU476" s="34"/>
      <c r="AV476" s="34"/>
      <c r="AW476" s="34"/>
      <c r="AX476" s="34"/>
      <c r="AY476" s="34"/>
      <c r="AZ476" s="44"/>
      <c r="BA476" s="34"/>
      <c r="BB476" s="34"/>
    </row>
    <row r="477" spans="1:54" x14ac:dyDescent="0.35" ht="15.0" customHeight="true">
      <c r="A477" s="51"/>
      <c r="B477" s="34"/>
      <c r="C477" s="34"/>
      <c r="D477" s="34"/>
      <c r="E477" s="34"/>
      <c r="F477" s="34"/>
      <c r="G477" s="44"/>
      <c r="H477" s="34"/>
      <c r="I477" s="54"/>
      <c r="J477" s="34"/>
      <c r="K477" s="54"/>
      <c r="L477" s="34"/>
      <c r="M477" s="44"/>
      <c r="N477" s="44"/>
      <c r="O477" s="34"/>
      <c r="P477" s="34"/>
      <c r="Q477" s="34"/>
      <c r="R477" s="34"/>
      <c r="U477" s="44"/>
      <c r="W477" s="95"/>
      <c r="X477" s="54"/>
      <c r="Y477" s="54"/>
      <c r="Z477" s="34"/>
      <c r="AA477" s="34"/>
      <c r="AB477" s="34"/>
      <c r="AC477" s="34"/>
      <c r="AD477" s="34"/>
      <c r="AE477" s="34"/>
      <c r="AF477" s="34"/>
      <c r="AG477" s="34"/>
      <c r="AH477" s="52"/>
      <c r="AI477" s="52"/>
      <c r="AK477" s="34"/>
      <c r="AL477" s="34"/>
      <c r="AM477" s="34"/>
      <c r="AN477" s="54"/>
      <c r="AO477" s="34"/>
      <c r="AP477" s="34"/>
      <c r="AQ477" s="54"/>
      <c r="AR477" s="54"/>
      <c r="AS477" s="54"/>
      <c r="AT477" s="54"/>
      <c r="AU477" s="34"/>
      <c r="AV477" s="34"/>
      <c r="AW477" s="34"/>
      <c r="AX477" s="34"/>
      <c r="AY477" s="34"/>
      <c r="AZ477" s="44"/>
      <c r="BA477" s="34"/>
      <c r="BB477" s="34"/>
    </row>
    <row r="478" spans="1:54" x14ac:dyDescent="0.35" ht="15.0" customHeight="true">
      <c r="A478" s="51"/>
      <c r="B478" s="34"/>
      <c r="C478" s="34"/>
      <c r="D478" s="34"/>
      <c r="E478" s="34"/>
      <c r="F478" s="34"/>
      <c r="G478" s="44"/>
      <c r="H478" s="34"/>
      <c r="I478" s="54"/>
      <c r="J478" s="34"/>
      <c r="K478" s="54"/>
      <c r="L478" s="34"/>
      <c r="M478" s="44"/>
      <c r="N478" s="44"/>
      <c r="O478" s="34"/>
      <c r="P478" s="34"/>
      <c r="Q478" s="34"/>
      <c r="R478" s="34"/>
      <c r="U478" s="44"/>
      <c r="W478" s="95"/>
      <c r="X478" s="54"/>
      <c r="Y478" s="54"/>
      <c r="Z478" s="34"/>
      <c r="AA478" s="34"/>
      <c r="AB478" s="34"/>
      <c r="AC478" s="34"/>
      <c r="AD478" s="34"/>
      <c r="AE478" s="34"/>
      <c r="AF478" s="34"/>
      <c r="AG478" s="34"/>
      <c r="AH478" s="52"/>
      <c r="AI478" s="52"/>
      <c r="AK478" s="34"/>
      <c r="AL478" s="34"/>
      <c r="AM478" s="34"/>
      <c r="AN478" s="54"/>
      <c r="AO478" s="34"/>
      <c r="AP478" s="34"/>
      <c r="AQ478" s="54"/>
      <c r="AR478" s="54"/>
      <c r="AS478" s="54"/>
      <c r="AT478" s="54"/>
      <c r="AU478" s="34"/>
      <c r="AV478" s="34"/>
      <c r="AW478" s="34"/>
      <c r="AX478" s="34"/>
      <c r="AY478" s="34"/>
      <c r="AZ478" s="44"/>
      <c r="BA478" s="34"/>
      <c r="BB478" s="34"/>
    </row>
    <row r="479" spans="1:54" x14ac:dyDescent="0.35" ht="15.0" customHeight="true">
      <c r="A479" s="51"/>
      <c r="B479" s="34"/>
      <c r="C479" s="34"/>
      <c r="D479" s="34"/>
      <c r="E479" s="34"/>
      <c r="F479" s="34"/>
      <c r="G479" s="44"/>
      <c r="H479" s="34"/>
      <c r="I479" s="54"/>
      <c r="J479" s="34"/>
      <c r="K479" s="54"/>
      <c r="L479" s="34"/>
      <c r="M479" s="44"/>
      <c r="N479" s="44"/>
      <c r="O479" s="34"/>
      <c r="P479" s="34"/>
      <c r="Q479" s="34"/>
      <c r="R479" s="34"/>
      <c r="U479" s="44"/>
      <c r="W479" s="95"/>
      <c r="X479" s="54"/>
      <c r="Y479" s="54"/>
      <c r="Z479" s="34"/>
      <c r="AA479" s="34"/>
      <c r="AB479" s="34"/>
      <c r="AC479" s="34"/>
      <c r="AD479" s="34"/>
      <c r="AE479" s="34"/>
      <c r="AF479" s="34"/>
      <c r="AG479" s="34"/>
      <c r="AH479" s="52"/>
      <c r="AI479" s="52"/>
      <c r="AK479" s="34"/>
      <c r="AL479" s="34"/>
      <c r="AM479" s="34"/>
      <c r="AN479" s="54"/>
      <c r="AO479" s="34"/>
      <c r="AP479" s="34"/>
      <c r="AQ479" s="54"/>
      <c r="AR479" s="54"/>
      <c r="AS479" s="54"/>
      <c r="AT479" s="54"/>
      <c r="AU479" s="34"/>
      <c r="AV479" s="34"/>
      <c r="AW479" s="34"/>
      <c r="AX479" s="34"/>
      <c r="AY479" s="34"/>
      <c r="AZ479" s="44"/>
      <c r="BA479" s="34"/>
      <c r="BB479" s="34"/>
    </row>
    <row r="480" spans="1:54" x14ac:dyDescent="0.35" ht="15.0" customHeight="true">
      <c r="A480" s="51"/>
      <c r="B480" s="34"/>
      <c r="C480" s="34"/>
      <c r="D480" s="34"/>
      <c r="E480" s="34"/>
      <c r="F480" s="34"/>
      <c r="G480" s="44"/>
      <c r="H480" s="34"/>
      <c r="I480" s="54"/>
      <c r="J480" s="34"/>
      <c r="K480" s="54"/>
      <c r="L480" s="34"/>
      <c r="M480" s="44"/>
      <c r="N480" s="44"/>
      <c r="O480" s="34"/>
      <c r="P480" s="34"/>
      <c r="Q480" s="34"/>
      <c r="R480" s="34"/>
      <c r="U480" s="44"/>
      <c r="W480" s="95"/>
      <c r="X480" s="54"/>
      <c r="Y480" s="54"/>
      <c r="Z480" s="34"/>
      <c r="AA480" s="34"/>
      <c r="AB480" s="34"/>
      <c r="AC480" s="34"/>
      <c r="AD480" s="34"/>
      <c r="AE480" s="34"/>
      <c r="AF480" s="34"/>
      <c r="AG480" s="34"/>
      <c r="AH480" s="52"/>
      <c r="AI480" s="52"/>
      <c r="AK480" s="34"/>
      <c r="AL480" s="34"/>
      <c r="AM480" s="34"/>
      <c r="AN480" s="54"/>
      <c r="AO480" s="34"/>
      <c r="AP480" s="34"/>
      <c r="AQ480" s="54"/>
      <c r="AR480" s="54"/>
      <c r="AS480" s="54"/>
      <c r="AT480" s="54"/>
      <c r="AU480" s="34"/>
      <c r="AV480" s="34"/>
      <c r="AW480" s="34"/>
      <c r="AX480" s="34"/>
      <c r="AY480" s="34"/>
      <c r="AZ480" s="44"/>
      <c r="BA480" s="34"/>
      <c r="BB480" s="34"/>
    </row>
    <row r="481" spans="1:54" x14ac:dyDescent="0.35" ht="15.0" customHeight="true">
      <c r="A481" s="51"/>
      <c r="B481" s="34"/>
      <c r="C481" s="34"/>
      <c r="D481" s="34"/>
      <c r="E481" s="34"/>
      <c r="F481" s="34"/>
      <c r="G481" s="44"/>
      <c r="H481" s="34"/>
      <c r="I481" s="54"/>
      <c r="J481" s="34"/>
      <c r="K481" s="54"/>
      <c r="L481" s="34"/>
      <c r="M481" s="44"/>
      <c r="N481" s="44"/>
      <c r="O481" s="34"/>
      <c r="P481" s="34"/>
      <c r="Q481" s="34"/>
      <c r="R481" s="34"/>
      <c r="U481" s="44"/>
      <c r="W481" s="95"/>
      <c r="X481" s="54"/>
      <c r="Y481" s="54"/>
      <c r="Z481" s="34"/>
      <c r="AA481" s="34"/>
      <c r="AB481" s="34"/>
      <c r="AC481" s="34"/>
      <c r="AD481" s="34"/>
      <c r="AE481" s="34"/>
      <c r="AF481" s="34"/>
      <c r="AG481" s="34"/>
      <c r="AH481" s="52"/>
      <c r="AI481" s="52"/>
      <c r="AK481" s="34"/>
      <c r="AL481" s="34"/>
      <c r="AM481" s="34"/>
      <c r="AN481" s="54"/>
      <c r="AO481" s="34"/>
      <c r="AP481" s="34"/>
      <c r="AQ481" s="54"/>
      <c r="AR481" s="54"/>
      <c r="AS481" s="54"/>
      <c r="AT481" s="54"/>
      <c r="AU481" s="34"/>
      <c r="AV481" s="34"/>
      <c r="AW481" s="34"/>
      <c r="AX481" s="34"/>
      <c r="AY481" s="34"/>
      <c r="AZ481" s="44"/>
      <c r="BA481" s="34"/>
      <c r="BB481" s="34"/>
    </row>
    <row r="482" spans="1:54" x14ac:dyDescent="0.35" ht="15.0" customHeight="true">
      <c r="A482" s="51"/>
      <c r="B482" s="34"/>
      <c r="C482" s="34"/>
      <c r="D482" s="34"/>
      <c r="E482" s="34"/>
      <c r="F482" s="34"/>
      <c r="G482" s="44"/>
      <c r="H482" s="34"/>
      <c r="I482" s="54"/>
      <c r="J482" s="34"/>
      <c r="K482" s="54"/>
      <c r="L482" s="34"/>
      <c r="M482" s="44"/>
      <c r="N482" s="44"/>
      <c r="O482" s="34"/>
      <c r="P482" s="34"/>
      <c r="Q482" s="34"/>
      <c r="R482" s="34"/>
      <c r="U482" s="44"/>
      <c r="W482" s="95"/>
      <c r="X482" s="54"/>
      <c r="Y482" s="54"/>
      <c r="Z482" s="34"/>
      <c r="AA482" s="34"/>
      <c r="AB482" s="34"/>
      <c r="AC482" s="34"/>
      <c r="AD482" s="34"/>
      <c r="AE482" s="34"/>
      <c r="AF482" s="34"/>
      <c r="AG482" s="34"/>
      <c r="AH482" s="52"/>
      <c r="AI482" s="52"/>
      <c r="AK482" s="34"/>
      <c r="AL482" s="34"/>
      <c r="AM482" s="34"/>
      <c r="AN482" s="54"/>
      <c r="AO482" s="34"/>
      <c r="AP482" s="34"/>
      <c r="AQ482" s="54"/>
      <c r="AR482" s="54"/>
      <c r="AS482" s="54"/>
      <c r="AT482" s="54"/>
      <c r="AU482" s="34"/>
      <c r="AV482" s="34"/>
      <c r="AW482" s="34"/>
      <c r="AX482" s="34"/>
      <c r="AY482" s="34"/>
      <c r="AZ482" s="44"/>
      <c r="BA482" s="34"/>
      <c r="BB482" s="34"/>
    </row>
    <row r="483" spans="1:54" x14ac:dyDescent="0.35" ht="15.0" customHeight="true">
      <c r="A483" s="51"/>
      <c r="B483" s="34"/>
      <c r="C483" s="34"/>
      <c r="D483" s="34"/>
      <c r="E483" s="34"/>
      <c r="F483" s="34"/>
      <c r="G483" s="44"/>
      <c r="H483" s="34"/>
      <c r="I483" s="54"/>
      <c r="J483" s="34"/>
      <c r="K483" s="54"/>
      <c r="L483" s="34"/>
      <c r="M483" s="44"/>
      <c r="N483" s="44"/>
      <c r="O483" s="34"/>
      <c r="P483" s="34"/>
      <c r="Q483" s="34"/>
      <c r="R483" s="34"/>
      <c r="U483" s="44"/>
      <c r="W483" s="95"/>
      <c r="X483" s="54"/>
      <c r="Y483" s="54"/>
      <c r="Z483" s="34"/>
      <c r="AA483" s="34"/>
      <c r="AB483" s="34"/>
      <c r="AC483" s="34"/>
      <c r="AD483" s="34"/>
      <c r="AE483" s="34"/>
      <c r="AF483" s="34"/>
      <c r="AG483" s="34"/>
      <c r="AH483" s="52"/>
      <c r="AI483" s="52"/>
      <c r="AK483" s="34"/>
      <c r="AL483" s="34"/>
      <c r="AM483" s="34"/>
      <c r="AN483" s="54"/>
      <c r="AO483" s="34"/>
      <c r="AP483" s="34"/>
      <c r="AQ483" s="54"/>
      <c r="AR483" s="54"/>
      <c r="AS483" s="54"/>
      <c r="AT483" s="54"/>
      <c r="AU483" s="34"/>
      <c r="AV483" s="34"/>
      <c r="AW483" s="34"/>
      <c r="AX483" s="34"/>
      <c r="AY483" s="34"/>
      <c r="AZ483" s="44"/>
      <c r="BA483" s="34"/>
      <c r="BB483" s="34"/>
    </row>
    <row r="484" spans="1:54" x14ac:dyDescent="0.35" ht="15.0" customHeight="true">
      <c r="A484" s="51"/>
      <c r="B484" s="34"/>
      <c r="C484" s="34"/>
      <c r="D484" s="34"/>
      <c r="E484" s="34"/>
      <c r="F484" s="34"/>
      <c r="G484" s="44"/>
      <c r="H484" s="34"/>
      <c r="I484" s="54"/>
      <c r="J484" s="34"/>
      <c r="K484" s="54"/>
      <c r="L484" s="34"/>
      <c r="M484" s="44"/>
      <c r="N484" s="44"/>
      <c r="O484" s="34"/>
      <c r="P484" s="34"/>
      <c r="Q484" s="34"/>
      <c r="R484" s="34"/>
      <c r="U484" s="44"/>
      <c r="W484" s="95"/>
      <c r="X484" s="54"/>
      <c r="Y484" s="54"/>
      <c r="Z484" s="34"/>
      <c r="AA484" s="34"/>
      <c r="AB484" s="34"/>
      <c r="AC484" s="34"/>
      <c r="AD484" s="34"/>
      <c r="AE484" s="34"/>
      <c r="AF484" s="34"/>
      <c r="AG484" s="34"/>
      <c r="AH484" s="52"/>
      <c r="AI484" s="52"/>
      <c r="AK484" s="34"/>
      <c r="AL484" s="34"/>
      <c r="AM484" s="34"/>
      <c r="AN484" s="54"/>
      <c r="AO484" s="34"/>
      <c r="AP484" s="34"/>
      <c r="AQ484" s="54"/>
      <c r="AR484" s="54"/>
      <c r="AS484" s="54"/>
      <c r="AT484" s="54"/>
      <c r="AU484" s="34"/>
      <c r="AV484" s="34"/>
      <c r="AW484" s="34"/>
      <c r="AX484" s="34"/>
      <c r="AY484" s="34"/>
      <c r="AZ484" s="44"/>
      <c r="BA484" s="34"/>
      <c r="BB484" s="34"/>
    </row>
    <row r="485" spans="1:54" x14ac:dyDescent="0.35" ht="15.0" customHeight="true">
      <c r="A485" s="51"/>
      <c r="B485" s="34"/>
      <c r="C485" s="34"/>
      <c r="D485" s="34"/>
      <c r="E485" s="34"/>
      <c r="F485" s="34"/>
      <c r="G485" s="44"/>
      <c r="H485" s="34"/>
      <c r="I485" s="54"/>
      <c r="J485" s="34"/>
      <c r="K485" s="54"/>
      <c r="L485" s="34"/>
      <c r="M485" s="44"/>
      <c r="N485" s="44"/>
      <c r="O485" s="34"/>
      <c r="P485" s="34"/>
      <c r="Q485" s="34"/>
      <c r="R485" s="34"/>
      <c r="U485" s="44"/>
      <c r="W485" s="95"/>
      <c r="X485" s="54"/>
      <c r="Y485" s="54"/>
      <c r="Z485" s="34"/>
      <c r="AA485" s="34"/>
      <c r="AB485" s="34"/>
      <c r="AC485" s="34"/>
      <c r="AD485" s="34"/>
      <c r="AE485" s="34"/>
      <c r="AF485" s="34"/>
      <c r="AG485" s="34"/>
      <c r="AH485" s="52"/>
      <c r="AI485" s="52"/>
      <c r="AK485" s="34"/>
      <c r="AL485" s="34"/>
      <c r="AM485" s="34"/>
      <c r="AN485" s="54"/>
      <c r="AO485" s="34"/>
      <c r="AP485" s="34"/>
      <c r="AQ485" s="54"/>
      <c r="AR485" s="54"/>
      <c r="AS485" s="54"/>
      <c r="AT485" s="54"/>
      <c r="AU485" s="34"/>
      <c r="AV485" s="34"/>
      <c r="AW485" s="34"/>
      <c r="AX485" s="34"/>
      <c r="AY485" s="34"/>
      <c r="AZ485" s="44"/>
      <c r="BA485" s="34"/>
      <c r="BB485" s="34"/>
    </row>
    <row r="486" spans="1:54" x14ac:dyDescent="0.35" ht="15.0" customHeight="true">
      <c r="A486" s="51"/>
      <c r="B486" s="34"/>
      <c r="C486" s="34"/>
      <c r="D486" s="34"/>
      <c r="E486" s="34"/>
      <c r="F486" s="34"/>
      <c r="G486" s="44"/>
      <c r="H486" s="34"/>
      <c r="I486" s="54"/>
      <c r="J486" s="34"/>
      <c r="K486" s="54"/>
      <c r="L486" s="34"/>
      <c r="M486" s="44"/>
      <c r="N486" s="44"/>
      <c r="O486" s="34"/>
      <c r="P486" s="34"/>
      <c r="Q486" s="34"/>
      <c r="R486" s="34"/>
      <c r="U486" s="44"/>
      <c r="W486" s="95"/>
      <c r="X486" s="54"/>
      <c r="Y486" s="54"/>
      <c r="Z486" s="34"/>
      <c r="AA486" s="34"/>
      <c r="AB486" s="34"/>
      <c r="AC486" s="34"/>
      <c r="AD486" s="34"/>
      <c r="AE486" s="34"/>
      <c r="AF486" s="34"/>
      <c r="AG486" s="34"/>
      <c r="AH486" s="52"/>
      <c r="AI486" s="52"/>
      <c r="AK486" s="34"/>
      <c r="AL486" s="34"/>
      <c r="AM486" s="34"/>
      <c r="AN486" s="54"/>
      <c r="AO486" s="34"/>
      <c r="AP486" s="34"/>
      <c r="AQ486" s="54"/>
      <c r="AR486" s="54"/>
      <c r="AS486" s="54"/>
      <c r="AT486" s="54"/>
      <c r="AU486" s="34"/>
      <c r="AV486" s="34"/>
      <c r="AW486" s="34"/>
      <c r="AX486" s="34"/>
      <c r="AY486" s="34"/>
      <c r="AZ486" s="44"/>
      <c r="BA486" s="34"/>
      <c r="BB486" s="34"/>
    </row>
    <row r="487" spans="1:54" x14ac:dyDescent="0.35" ht="15.0" customHeight="true">
      <c r="A487" s="51"/>
      <c r="B487" s="34"/>
      <c r="C487" s="34"/>
      <c r="D487" s="34"/>
      <c r="E487" s="34"/>
      <c r="F487" s="34"/>
      <c r="G487" s="44"/>
      <c r="H487" s="34"/>
      <c r="I487" s="54"/>
      <c r="J487" s="34"/>
      <c r="K487" s="54"/>
      <c r="L487" s="34"/>
      <c r="M487" s="44"/>
      <c r="N487" s="44"/>
      <c r="O487" s="34"/>
      <c r="P487" s="34"/>
      <c r="Q487" s="34"/>
      <c r="R487" s="34"/>
      <c r="U487" s="44"/>
      <c r="W487" s="95"/>
      <c r="X487" s="54"/>
      <c r="Y487" s="54"/>
      <c r="Z487" s="34"/>
      <c r="AA487" s="34"/>
      <c r="AB487" s="34"/>
      <c r="AC487" s="34"/>
      <c r="AD487" s="34"/>
      <c r="AE487" s="34"/>
      <c r="AF487" s="34"/>
      <c r="AG487" s="34"/>
      <c r="AH487" s="52"/>
      <c r="AI487" s="52"/>
      <c r="AK487" s="34"/>
      <c r="AL487" s="34"/>
      <c r="AM487" s="34"/>
      <c r="AN487" s="54"/>
      <c r="AO487" s="34"/>
      <c r="AP487" s="34"/>
      <c r="AQ487" s="54"/>
      <c r="AR487" s="54"/>
      <c r="AS487" s="54"/>
      <c r="AT487" s="54"/>
      <c r="AU487" s="34"/>
      <c r="AV487" s="34"/>
      <c r="AW487" s="34"/>
      <c r="AX487" s="34"/>
      <c r="AY487" s="34"/>
      <c r="AZ487" s="44"/>
      <c r="BA487" s="34"/>
      <c r="BB487" s="34"/>
    </row>
    <row r="488" spans="1:54" x14ac:dyDescent="0.35" ht="15.0" customHeight="true">
      <c r="A488" s="51"/>
      <c r="B488" s="34"/>
      <c r="C488" s="34"/>
      <c r="D488" s="34"/>
      <c r="E488" s="34"/>
      <c r="F488" s="34"/>
      <c r="G488" s="44"/>
      <c r="H488" s="34"/>
      <c r="I488" s="54"/>
      <c r="J488" s="34"/>
      <c r="K488" s="54"/>
      <c r="L488" s="34"/>
      <c r="M488" s="44"/>
      <c r="N488" s="44"/>
      <c r="O488" s="34"/>
      <c r="P488" s="34"/>
      <c r="Q488" s="34"/>
      <c r="R488" s="34"/>
      <c r="U488" s="44"/>
      <c r="W488" s="95"/>
      <c r="X488" s="54"/>
      <c r="Y488" s="54"/>
      <c r="Z488" s="34"/>
      <c r="AA488" s="34"/>
      <c r="AB488" s="34"/>
      <c r="AC488" s="34"/>
      <c r="AD488" s="34"/>
      <c r="AE488" s="34"/>
      <c r="AF488" s="34"/>
      <c r="AG488" s="34"/>
      <c r="AH488" s="52"/>
      <c r="AI488" s="52"/>
      <c r="AK488" s="34"/>
      <c r="AL488" s="34"/>
      <c r="AM488" s="34"/>
      <c r="AN488" s="54"/>
      <c r="AO488" s="34"/>
      <c r="AP488" s="34"/>
      <c r="AQ488" s="54"/>
      <c r="AR488" s="54"/>
      <c r="AS488" s="54"/>
      <c r="AT488" s="54"/>
      <c r="AU488" s="34"/>
      <c r="AV488" s="34"/>
      <c r="AW488" s="34"/>
      <c r="AX488" s="34"/>
      <c r="AY488" s="34"/>
      <c r="AZ488" s="44"/>
      <c r="BA488" s="34"/>
      <c r="BB488" s="34"/>
    </row>
    <row r="489" spans="1:54" x14ac:dyDescent="0.35" ht="15.0" customHeight="true">
      <c r="A489" s="51"/>
      <c r="B489" s="34"/>
      <c r="C489" s="34"/>
      <c r="D489" s="34"/>
      <c r="E489" s="34"/>
      <c r="F489" s="34"/>
      <c r="G489" s="44"/>
      <c r="H489" s="34"/>
      <c r="I489" s="54"/>
      <c r="J489" s="34"/>
      <c r="K489" s="54"/>
      <c r="L489" s="34"/>
      <c r="M489" s="44"/>
      <c r="N489" s="44"/>
      <c r="O489" s="34"/>
      <c r="P489" s="34"/>
      <c r="Q489" s="34"/>
      <c r="R489" s="34"/>
      <c r="U489" s="44"/>
      <c r="W489" s="95"/>
      <c r="X489" s="54"/>
      <c r="Y489" s="54"/>
      <c r="Z489" s="34"/>
      <c r="AA489" s="34"/>
      <c r="AB489" s="34"/>
      <c r="AC489" s="34"/>
      <c r="AD489" s="34"/>
      <c r="AE489" s="34"/>
      <c r="AF489" s="34"/>
      <c r="AG489" s="34"/>
      <c r="AH489" s="52"/>
      <c r="AI489" s="52"/>
      <c r="AK489" s="34"/>
      <c r="AL489" s="34"/>
      <c r="AM489" s="34"/>
      <c r="AN489" s="54"/>
      <c r="AO489" s="34"/>
      <c r="AP489" s="34"/>
      <c r="AQ489" s="54"/>
      <c r="AR489" s="54"/>
      <c r="AS489" s="54"/>
      <c r="AT489" s="54"/>
      <c r="AU489" s="34"/>
      <c r="AV489" s="34"/>
      <c r="AW489" s="34"/>
      <c r="AX489" s="34"/>
      <c r="AY489" s="34"/>
      <c r="AZ489" s="44"/>
      <c r="BA489" s="34"/>
      <c r="BB489" s="34"/>
    </row>
    <row r="490" spans="1:54" x14ac:dyDescent="0.35" ht="15.0" customHeight="true">
      <c r="A490" s="51"/>
      <c r="B490" s="34"/>
      <c r="C490" s="34"/>
      <c r="D490" s="34"/>
      <c r="E490" s="34"/>
      <c r="F490" s="34"/>
      <c r="G490" s="44"/>
      <c r="H490" s="34"/>
      <c r="I490" s="54"/>
      <c r="J490" s="34"/>
      <c r="K490" s="54"/>
      <c r="L490" s="34"/>
      <c r="M490" s="44"/>
      <c r="N490" s="44"/>
      <c r="O490" s="34"/>
      <c r="P490" s="34"/>
      <c r="Q490" s="34"/>
      <c r="R490" s="34"/>
      <c r="U490" s="44"/>
      <c r="W490" s="95"/>
      <c r="X490" s="54"/>
      <c r="Y490" s="54"/>
      <c r="Z490" s="34"/>
      <c r="AA490" s="34"/>
      <c r="AB490" s="34"/>
      <c r="AC490" s="34"/>
      <c r="AD490" s="34"/>
      <c r="AE490" s="34"/>
      <c r="AF490" s="34"/>
      <c r="AG490" s="34"/>
      <c r="AH490" s="52"/>
      <c r="AI490" s="52"/>
      <c r="AK490" s="34"/>
      <c r="AL490" s="34"/>
      <c r="AM490" s="34"/>
      <c r="AN490" s="54"/>
      <c r="AO490" s="34"/>
      <c r="AP490" s="34"/>
      <c r="AQ490" s="54"/>
      <c r="AR490" s="54"/>
      <c r="AS490" s="54"/>
      <c r="AT490" s="54"/>
      <c r="AU490" s="34"/>
      <c r="AV490" s="34"/>
      <c r="AW490" s="34"/>
      <c r="AX490" s="34"/>
      <c r="AY490" s="34"/>
      <c r="AZ490" s="44"/>
      <c r="BA490" s="34"/>
      <c r="BB490" s="34"/>
    </row>
    <row r="491" spans="1:54" x14ac:dyDescent="0.35" ht="15.0" customHeight="true">
      <c r="A491" s="51"/>
      <c r="B491" s="34"/>
      <c r="C491" s="34"/>
      <c r="D491" s="34"/>
      <c r="E491" s="34"/>
      <c r="F491" s="34"/>
      <c r="G491" s="44"/>
      <c r="H491" s="34"/>
      <c r="I491" s="54"/>
      <c r="J491" s="34"/>
      <c r="K491" s="54"/>
      <c r="L491" s="34"/>
      <c r="M491" s="44"/>
      <c r="N491" s="44"/>
      <c r="O491" s="34"/>
      <c r="P491" s="34"/>
      <c r="Q491" s="34"/>
      <c r="R491" s="34"/>
      <c r="U491" s="44"/>
      <c r="W491" s="95"/>
      <c r="X491" s="54"/>
      <c r="Y491" s="54"/>
      <c r="Z491" s="34"/>
      <c r="AA491" s="34"/>
      <c r="AB491" s="34"/>
      <c r="AC491" s="34"/>
      <c r="AD491" s="34"/>
      <c r="AE491" s="34"/>
      <c r="AF491" s="34"/>
      <c r="AG491" s="34"/>
      <c r="AH491" s="52"/>
      <c r="AI491" s="52"/>
      <c r="AK491" s="34"/>
      <c r="AL491" s="34"/>
      <c r="AM491" s="34"/>
      <c r="AN491" s="54"/>
      <c r="AO491" s="34"/>
      <c r="AP491" s="34"/>
      <c r="AQ491" s="54"/>
      <c r="AR491" s="54"/>
      <c r="AS491" s="54"/>
      <c r="AT491" s="54"/>
      <c r="AU491" s="34"/>
      <c r="AV491" s="34"/>
      <c r="AW491" s="34"/>
      <c r="AX491" s="34"/>
      <c r="AY491" s="34"/>
      <c r="AZ491" s="44"/>
      <c r="BA491" s="34"/>
      <c r="BB491" s="34"/>
    </row>
    <row r="492" spans="1:54" x14ac:dyDescent="0.35" ht="15.0" customHeight="true">
      <c r="A492" s="51"/>
      <c r="B492" s="34"/>
      <c r="C492" s="34"/>
      <c r="D492" s="34"/>
      <c r="E492" s="34"/>
      <c r="F492" s="34"/>
      <c r="G492" s="44"/>
      <c r="H492" s="34"/>
      <c r="I492" s="54"/>
      <c r="J492" s="34"/>
      <c r="K492" s="54"/>
      <c r="L492" s="34"/>
      <c r="M492" s="44"/>
      <c r="N492" s="44"/>
      <c r="O492" s="34"/>
      <c r="P492" s="34"/>
      <c r="Q492" s="34"/>
      <c r="R492" s="34"/>
      <c r="U492" s="44"/>
      <c r="W492" s="95"/>
      <c r="X492" s="54"/>
      <c r="Y492" s="54"/>
      <c r="Z492" s="34"/>
      <c r="AA492" s="34"/>
      <c r="AB492" s="34"/>
      <c r="AC492" s="34"/>
      <c r="AD492" s="34"/>
      <c r="AE492" s="34"/>
      <c r="AF492" s="34"/>
      <c r="AG492" s="34"/>
      <c r="AH492" s="52"/>
      <c r="AI492" s="52"/>
      <c r="AK492" s="34"/>
      <c r="AL492" s="34"/>
      <c r="AM492" s="34"/>
      <c r="AN492" s="54"/>
      <c r="AO492" s="34"/>
      <c r="AP492" s="34"/>
      <c r="AQ492" s="54"/>
      <c r="AR492" s="54"/>
      <c r="AS492" s="54"/>
      <c r="AT492" s="54"/>
      <c r="AU492" s="34"/>
      <c r="AV492" s="34"/>
      <c r="AW492" s="34"/>
      <c r="AX492" s="34"/>
      <c r="AY492" s="34"/>
      <c r="AZ492" s="44"/>
      <c r="BA492" s="34"/>
      <c r="BB492" s="34"/>
    </row>
    <row r="493" spans="1:54" x14ac:dyDescent="0.35" ht="15.0" customHeight="true">
      <c r="A493" s="51"/>
      <c r="B493" s="34"/>
      <c r="C493" s="34"/>
      <c r="D493" s="34"/>
      <c r="E493" s="34"/>
      <c r="F493" s="34"/>
      <c r="G493" s="44"/>
      <c r="H493" s="34"/>
      <c r="I493" s="54"/>
      <c r="J493" s="34"/>
      <c r="K493" s="54"/>
      <c r="L493" s="34"/>
      <c r="M493" s="44"/>
      <c r="N493" s="44"/>
      <c r="O493" s="34"/>
      <c r="P493" s="34"/>
      <c r="Q493" s="34"/>
      <c r="R493" s="34"/>
      <c r="U493" s="44"/>
      <c r="W493" s="95"/>
      <c r="X493" s="54"/>
      <c r="Y493" s="54"/>
      <c r="Z493" s="34"/>
      <c r="AA493" s="34"/>
      <c r="AB493" s="34"/>
      <c r="AC493" s="34"/>
      <c r="AD493" s="34"/>
      <c r="AE493" s="34"/>
      <c r="AF493" s="34"/>
      <c r="AG493" s="34"/>
      <c r="AH493" s="52"/>
      <c r="AI493" s="52"/>
      <c r="AK493" s="34"/>
      <c r="AL493" s="34"/>
      <c r="AM493" s="34"/>
      <c r="AN493" s="54"/>
      <c r="AO493" s="34"/>
      <c r="AP493" s="34"/>
      <c r="AQ493" s="54"/>
      <c r="AR493" s="54"/>
      <c r="AS493" s="54"/>
      <c r="AT493" s="54"/>
      <c r="AU493" s="34"/>
      <c r="AV493" s="34"/>
      <c r="AW493" s="34"/>
      <c r="AX493" s="34"/>
      <c r="AY493" s="34"/>
      <c r="AZ493" s="44"/>
      <c r="BA493" s="34"/>
      <c r="BB493" s="34"/>
    </row>
    <row r="494" spans="1:54" x14ac:dyDescent="0.35" ht="15.0" customHeight="true">
      <c r="A494" s="51"/>
      <c r="B494" s="34"/>
      <c r="C494" s="34"/>
      <c r="D494" s="34"/>
      <c r="E494" s="34"/>
      <c r="F494" s="34"/>
      <c r="G494" s="44"/>
      <c r="H494" s="34"/>
      <c r="I494" s="54"/>
      <c r="J494" s="34"/>
      <c r="K494" s="54"/>
      <c r="L494" s="34"/>
      <c r="M494" s="44"/>
      <c r="N494" s="44"/>
      <c r="O494" s="34"/>
      <c r="P494" s="34"/>
      <c r="Q494" s="34"/>
      <c r="R494" s="34"/>
      <c r="U494" s="44"/>
      <c r="W494" s="95"/>
      <c r="X494" s="54"/>
      <c r="Y494" s="54"/>
      <c r="Z494" s="34"/>
      <c r="AA494" s="34"/>
      <c r="AB494" s="34"/>
      <c r="AC494" s="34"/>
      <c r="AD494" s="34"/>
      <c r="AE494" s="34"/>
      <c r="AF494" s="34"/>
      <c r="AG494" s="34"/>
      <c r="AH494" s="52"/>
      <c r="AI494" s="52"/>
      <c r="AK494" s="34"/>
      <c r="AL494" s="34"/>
      <c r="AM494" s="34"/>
      <c r="AN494" s="54"/>
      <c r="AO494" s="34"/>
      <c r="AP494" s="34"/>
      <c r="AQ494" s="54"/>
      <c r="AR494" s="54"/>
      <c r="AS494" s="54"/>
      <c r="AT494" s="54"/>
      <c r="AU494" s="34"/>
      <c r="AV494" s="34"/>
      <c r="AW494" s="34"/>
      <c r="AX494" s="34"/>
      <c r="AY494" s="34"/>
      <c r="AZ494" s="44"/>
      <c r="BA494" s="34"/>
      <c r="BB494" s="34"/>
    </row>
    <row r="495" spans="1:54" x14ac:dyDescent="0.35" ht="15.0" customHeight="true">
      <c r="A495" s="51"/>
      <c r="B495" s="34"/>
      <c r="C495" s="34"/>
      <c r="D495" s="34"/>
      <c r="E495" s="34"/>
      <c r="F495" s="34"/>
      <c r="G495" s="44"/>
      <c r="H495" s="34"/>
      <c r="I495" s="54"/>
      <c r="J495" s="34"/>
      <c r="K495" s="54"/>
      <c r="L495" s="34"/>
      <c r="M495" s="44"/>
      <c r="N495" s="44"/>
      <c r="O495" s="34"/>
      <c r="P495" s="34"/>
      <c r="Q495" s="34"/>
      <c r="R495" s="34"/>
      <c r="U495" s="44"/>
      <c r="W495" s="95"/>
      <c r="X495" s="54"/>
      <c r="Y495" s="54"/>
      <c r="Z495" s="34"/>
      <c r="AA495" s="34"/>
      <c r="AB495" s="34"/>
      <c r="AC495" s="34"/>
      <c r="AD495" s="34"/>
      <c r="AE495" s="34"/>
      <c r="AF495" s="34"/>
      <c r="AG495" s="34"/>
      <c r="AH495" s="52"/>
      <c r="AI495" s="52"/>
      <c r="AK495" s="34"/>
      <c r="AL495" s="34"/>
      <c r="AM495" s="34"/>
      <c r="AN495" s="54"/>
      <c r="AO495" s="34"/>
      <c r="AP495" s="34"/>
      <c r="AQ495" s="54"/>
      <c r="AR495" s="54"/>
      <c r="AS495" s="54"/>
      <c r="AT495" s="54"/>
      <c r="AU495" s="34"/>
      <c r="AV495" s="34"/>
      <c r="AW495" s="34"/>
      <c r="AX495" s="34"/>
      <c r="AY495" s="34"/>
      <c r="AZ495" s="44"/>
      <c r="BA495" s="34"/>
      <c r="BB495" s="34"/>
    </row>
    <row r="496" spans="1:54" x14ac:dyDescent="0.35" ht="15.0" customHeight="true">
      <c r="A496" s="51"/>
      <c r="B496" s="34"/>
      <c r="C496" s="34"/>
      <c r="D496" s="34"/>
      <c r="E496" s="34"/>
      <c r="F496" s="34"/>
      <c r="G496" s="44"/>
      <c r="H496" s="34"/>
      <c r="I496" s="54"/>
      <c r="J496" s="34"/>
      <c r="K496" s="54"/>
      <c r="L496" s="34"/>
      <c r="M496" s="44"/>
      <c r="N496" s="44"/>
      <c r="O496" s="34"/>
      <c r="P496" s="34"/>
      <c r="Q496" s="34"/>
      <c r="R496" s="34"/>
      <c r="U496" s="44"/>
      <c r="W496" s="95"/>
      <c r="X496" s="54"/>
      <c r="Y496" s="54"/>
      <c r="Z496" s="34"/>
      <c r="AA496" s="34"/>
      <c r="AB496" s="34"/>
      <c r="AC496" s="34"/>
      <c r="AD496" s="34"/>
      <c r="AE496" s="34"/>
      <c r="AF496" s="34"/>
      <c r="AG496" s="34"/>
      <c r="AH496" s="52"/>
      <c r="AI496" s="52"/>
      <c r="AK496" s="34"/>
      <c r="AL496" s="34"/>
      <c r="AM496" s="34"/>
      <c r="AN496" s="54"/>
      <c r="AO496" s="34"/>
      <c r="AP496" s="34"/>
      <c r="AQ496" s="54"/>
      <c r="AR496" s="54"/>
      <c r="AS496" s="54"/>
      <c r="AT496" s="54"/>
      <c r="AU496" s="34"/>
      <c r="AV496" s="34"/>
      <c r="AW496" s="34"/>
      <c r="AX496" s="34"/>
      <c r="AY496" s="34"/>
      <c r="AZ496" s="44"/>
      <c r="BA496" s="34"/>
      <c r="BB496" s="34"/>
    </row>
    <row r="497" spans="1:54" x14ac:dyDescent="0.35" ht="15.0" customHeight="true">
      <c r="A497" s="51"/>
      <c r="B497" s="34"/>
      <c r="C497" s="34"/>
      <c r="D497" s="34"/>
      <c r="E497" s="34"/>
      <c r="F497" s="34"/>
      <c r="G497" s="44"/>
      <c r="H497" s="34"/>
      <c r="I497" s="54"/>
      <c r="J497" s="34"/>
      <c r="K497" s="54"/>
      <c r="L497" s="34"/>
      <c r="M497" s="44"/>
      <c r="N497" s="44"/>
      <c r="O497" s="34"/>
      <c r="P497" s="34"/>
      <c r="Q497" s="34"/>
      <c r="R497" s="34"/>
      <c r="U497" s="44"/>
      <c r="W497" s="95"/>
      <c r="X497" s="54"/>
      <c r="Y497" s="54"/>
      <c r="Z497" s="34"/>
      <c r="AA497" s="34"/>
      <c r="AB497" s="34"/>
      <c r="AC497" s="34"/>
      <c r="AD497" s="34"/>
      <c r="AE497" s="34"/>
      <c r="AF497" s="34"/>
      <c r="AG497" s="34"/>
      <c r="AH497" s="52"/>
      <c r="AI497" s="52"/>
      <c r="AK497" s="34"/>
      <c r="AL497" s="34"/>
      <c r="AM497" s="34"/>
      <c r="AN497" s="54"/>
      <c r="AO497" s="34"/>
      <c r="AP497" s="34"/>
      <c r="AQ497" s="54"/>
      <c r="AR497" s="54"/>
      <c r="AS497" s="54"/>
      <c r="AT497" s="54"/>
      <c r="AU497" s="34"/>
      <c r="AV497" s="34"/>
      <c r="AW497" s="34"/>
      <c r="AX497" s="34"/>
      <c r="AY497" s="34"/>
      <c r="AZ497" s="44"/>
      <c r="BA497" s="34"/>
      <c r="BB497" s="34"/>
    </row>
    <row r="498" spans="1:54" x14ac:dyDescent="0.35" ht="15.0" customHeight="true">
      <c r="A498" s="51"/>
      <c r="B498" s="34"/>
      <c r="C498" s="34"/>
      <c r="D498" s="34"/>
      <c r="E498" s="34"/>
      <c r="F498" s="34"/>
      <c r="G498" s="44"/>
      <c r="H498" s="34"/>
      <c r="I498" s="54"/>
      <c r="J498" s="34"/>
      <c r="K498" s="54"/>
      <c r="L498" s="34"/>
      <c r="M498" s="44"/>
      <c r="N498" s="44"/>
      <c r="O498" s="34"/>
      <c r="P498" s="34"/>
      <c r="Q498" s="34"/>
      <c r="R498" s="34"/>
      <c r="U498" s="44"/>
      <c r="W498" s="95"/>
      <c r="X498" s="54"/>
      <c r="Y498" s="54"/>
      <c r="Z498" s="34"/>
      <c r="AA498" s="34"/>
      <c r="AB498" s="34"/>
      <c r="AC498" s="34"/>
      <c r="AD498" s="34"/>
      <c r="AE498" s="34"/>
      <c r="AF498" s="34"/>
      <c r="AG498" s="34"/>
      <c r="AH498" s="52"/>
      <c r="AI498" s="52"/>
      <c r="AK498" s="34"/>
      <c r="AL498" s="34"/>
      <c r="AM498" s="34"/>
      <c r="AN498" s="54"/>
      <c r="AO498" s="34"/>
      <c r="AP498" s="34"/>
      <c r="AQ498" s="54"/>
      <c r="AR498" s="54"/>
      <c r="AS498" s="54"/>
      <c r="AT498" s="54"/>
      <c r="AU498" s="34"/>
      <c r="AV498" s="34"/>
      <c r="AW498" s="34"/>
      <c r="AX498" s="34"/>
      <c r="AY498" s="34"/>
      <c r="AZ498" s="44"/>
      <c r="BA498" s="34"/>
      <c r="BB498" s="34"/>
    </row>
    <row r="499" spans="1:54" x14ac:dyDescent="0.35" ht="15.0" customHeight="true">
      <c r="A499" s="51"/>
      <c r="B499" s="34"/>
      <c r="C499" s="34"/>
      <c r="D499" s="34"/>
      <c r="E499" s="34"/>
      <c r="F499" s="34"/>
      <c r="G499" s="44"/>
      <c r="H499" s="34"/>
      <c r="I499" s="54"/>
      <c r="J499" s="34"/>
      <c r="K499" s="54"/>
      <c r="L499" s="34"/>
      <c r="M499" s="44"/>
      <c r="N499" s="44"/>
      <c r="O499" s="34"/>
      <c r="P499" s="34"/>
      <c r="Q499" s="34"/>
      <c r="R499" s="34"/>
      <c r="U499" s="44"/>
      <c r="W499" s="95"/>
      <c r="X499" s="54"/>
      <c r="Y499" s="54"/>
      <c r="Z499" s="34"/>
      <c r="AA499" s="34"/>
      <c r="AB499" s="34"/>
      <c r="AC499" s="34"/>
      <c r="AD499" s="34"/>
      <c r="AE499" s="34"/>
      <c r="AF499" s="34"/>
      <c r="AG499" s="34"/>
      <c r="AH499" s="52"/>
      <c r="AI499" s="52"/>
      <c r="AK499" s="34"/>
      <c r="AL499" s="34"/>
      <c r="AM499" s="34"/>
      <c r="AN499" s="54"/>
      <c r="AO499" s="34"/>
      <c r="AP499" s="34"/>
      <c r="AQ499" s="54"/>
      <c r="AR499" s="54"/>
      <c r="AS499" s="54"/>
      <c r="AT499" s="54"/>
      <c r="AU499" s="34"/>
      <c r="AV499" s="34"/>
      <c r="AW499" s="34"/>
      <c r="AX499" s="34"/>
      <c r="AY499" s="34"/>
      <c r="AZ499" s="44"/>
      <c r="BA499" s="34"/>
      <c r="BB499" s="34"/>
    </row>
    <row r="500" spans="1:54" x14ac:dyDescent="0.35" ht="15.0" customHeight="true">
      <c r="A500" s="51"/>
      <c r="B500" s="34"/>
      <c r="C500" s="34"/>
      <c r="D500" s="34"/>
      <c r="E500" s="34"/>
      <c r="F500" s="34"/>
      <c r="G500" s="44"/>
      <c r="H500" s="34"/>
      <c r="I500" s="54"/>
      <c r="J500" s="34"/>
      <c r="K500" s="54"/>
      <c r="L500" s="34"/>
      <c r="M500" s="44"/>
      <c r="N500" s="44"/>
      <c r="O500" s="34"/>
      <c r="P500" s="34"/>
      <c r="Q500" s="34"/>
      <c r="R500" s="34"/>
      <c r="U500" s="44"/>
      <c r="W500" s="95"/>
      <c r="X500" s="54"/>
      <c r="Y500" s="54"/>
      <c r="Z500" s="34"/>
      <c r="AA500" s="34"/>
      <c r="AB500" s="34"/>
      <c r="AC500" s="34"/>
      <c r="AD500" s="34"/>
      <c r="AE500" s="34"/>
      <c r="AF500" s="34"/>
      <c r="AG500" s="34"/>
      <c r="AH500" s="52"/>
      <c r="AI500" s="52"/>
      <c r="AK500" s="34"/>
      <c r="AL500" s="34"/>
      <c r="AM500" s="34"/>
      <c r="AN500" s="54"/>
      <c r="AO500" s="34"/>
      <c r="AP500" s="34"/>
      <c r="AQ500" s="54"/>
      <c r="AR500" s="54"/>
      <c r="AS500" s="54"/>
      <c r="AT500" s="54"/>
      <c r="AU500" s="34"/>
      <c r="AV500" s="34"/>
      <c r="AW500" s="34"/>
      <c r="AX500" s="34"/>
      <c r="AY500" s="34"/>
      <c r="AZ500" s="44"/>
      <c r="BA500" s="34"/>
      <c r="BB500" s="34"/>
    </row>
    <row r="501" spans="1:54" x14ac:dyDescent="0.35" ht="15.0" customHeight="true">
      <c r="A501" s="51"/>
      <c r="B501" s="34"/>
      <c r="C501" s="34"/>
      <c r="D501" s="34"/>
      <c r="E501" s="34"/>
      <c r="F501" s="34"/>
      <c r="G501" s="44"/>
      <c r="H501" s="34"/>
      <c r="I501" s="54"/>
      <c r="J501" s="34"/>
      <c r="K501" s="54"/>
      <c r="L501" s="34"/>
      <c r="M501" s="44"/>
      <c r="N501" s="44"/>
      <c r="O501" s="34"/>
      <c r="P501" s="34"/>
      <c r="Q501" s="34"/>
      <c r="R501" s="34"/>
      <c r="U501" s="44"/>
      <c r="W501" s="95"/>
      <c r="X501" s="54"/>
      <c r="Y501" s="54"/>
      <c r="Z501" s="34"/>
      <c r="AA501" s="34"/>
      <c r="AB501" s="34"/>
      <c r="AC501" s="34"/>
      <c r="AD501" s="34"/>
      <c r="AE501" s="34"/>
      <c r="AF501" s="34"/>
      <c r="AG501" s="34"/>
      <c r="AH501" s="52"/>
      <c r="AI501" s="52"/>
      <c r="AK501" s="34"/>
      <c r="AL501" s="34"/>
      <c r="AM501" s="34"/>
      <c r="AN501" s="54"/>
      <c r="AO501" s="34"/>
      <c r="AP501" s="34"/>
      <c r="AQ501" s="54"/>
      <c r="AR501" s="54"/>
      <c r="AS501" s="54"/>
      <c r="AT501" s="54"/>
      <c r="AU501" s="34"/>
      <c r="AV501" s="34"/>
      <c r="AW501" s="34"/>
      <c r="AX501" s="34"/>
      <c r="AY501" s="34"/>
      <c r="AZ501" s="44"/>
      <c r="BA501" s="34"/>
      <c r="BB501" s="34"/>
    </row>
    <row r="502" spans="1:54" x14ac:dyDescent="0.35" ht="15.0" customHeight="true">
      <c r="A502" s="51"/>
      <c r="B502" s="34"/>
      <c r="C502" s="34"/>
      <c r="D502" s="34"/>
      <c r="E502" s="34"/>
      <c r="F502" s="34"/>
      <c r="G502" s="44"/>
      <c r="H502" s="34"/>
      <c r="I502" s="54"/>
      <c r="J502" s="34"/>
      <c r="K502" s="54"/>
      <c r="L502" s="34"/>
      <c r="M502" s="44"/>
      <c r="N502" s="44"/>
      <c r="O502" s="34"/>
      <c r="P502" s="34"/>
      <c r="Q502" s="34"/>
      <c r="R502" s="34"/>
      <c r="U502" s="44"/>
      <c r="W502" s="95"/>
      <c r="X502" s="54"/>
      <c r="Y502" s="54"/>
      <c r="Z502" s="34"/>
      <c r="AA502" s="34"/>
      <c r="AB502" s="34"/>
      <c r="AC502" s="34"/>
      <c r="AD502" s="34"/>
      <c r="AE502" s="34"/>
      <c r="AF502" s="34"/>
      <c r="AG502" s="34"/>
      <c r="AH502" s="52"/>
      <c r="AI502" s="52"/>
      <c r="AK502" s="34"/>
      <c r="AL502" s="34"/>
      <c r="AM502" s="34"/>
      <c r="AN502" s="54"/>
      <c r="AO502" s="34"/>
      <c r="AP502" s="34"/>
      <c r="AQ502" s="54"/>
      <c r="AR502" s="54"/>
      <c r="AS502" s="54"/>
      <c r="AT502" s="54"/>
      <c r="AU502" s="34"/>
      <c r="AV502" s="34"/>
      <c r="AW502" s="34"/>
      <c r="AX502" s="34"/>
      <c r="AY502" s="34"/>
      <c r="AZ502" s="44"/>
      <c r="BA502" s="34"/>
      <c r="BB502" s="34"/>
    </row>
    <row r="503" spans="1:54" x14ac:dyDescent="0.35" ht="15.0" customHeight="true">
      <c r="A503" s="51"/>
      <c r="B503" s="34"/>
      <c r="C503" s="34"/>
      <c r="D503" s="34"/>
      <c r="E503" s="34"/>
      <c r="F503" s="34"/>
      <c r="G503" s="44"/>
      <c r="H503" s="34"/>
      <c r="I503" s="54"/>
      <c r="J503" s="34"/>
      <c r="K503" s="54"/>
      <c r="L503" s="34"/>
      <c r="M503" s="44"/>
      <c r="N503" s="44"/>
      <c r="O503" s="34"/>
      <c r="P503" s="34"/>
      <c r="Q503" s="34"/>
      <c r="R503" s="34"/>
      <c r="U503" s="44"/>
      <c r="W503" s="95"/>
      <c r="X503" s="54"/>
      <c r="Y503" s="54"/>
      <c r="Z503" s="34"/>
      <c r="AA503" s="34"/>
      <c r="AB503" s="34"/>
      <c r="AC503" s="34"/>
      <c r="AD503" s="34"/>
      <c r="AE503" s="34"/>
      <c r="AF503" s="34"/>
      <c r="AG503" s="34"/>
      <c r="AH503" s="52"/>
      <c r="AI503" s="52"/>
      <c r="AK503" s="34"/>
      <c r="AL503" s="34"/>
      <c r="AM503" s="34"/>
      <c r="AN503" s="54"/>
      <c r="AO503" s="34"/>
      <c r="AP503" s="34"/>
      <c r="AQ503" s="54"/>
      <c r="AR503" s="54"/>
      <c r="AS503" s="54"/>
      <c r="AT503" s="54"/>
      <c r="AU503" s="34"/>
      <c r="AV503" s="34"/>
      <c r="AW503" s="34"/>
      <c r="AX503" s="34"/>
      <c r="AY503" s="34"/>
      <c r="AZ503" s="44"/>
      <c r="BA503" s="34"/>
      <c r="BB503" s="34"/>
    </row>
    <row r="504" spans="1:54" x14ac:dyDescent="0.35" ht="15.0" customHeight="true">
      <c r="A504" s="51"/>
      <c r="B504" s="34"/>
      <c r="C504" s="34"/>
      <c r="D504" s="34"/>
      <c r="E504" s="34"/>
      <c r="F504" s="34"/>
      <c r="G504" s="44"/>
      <c r="H504" s="34"/>
      <c r="I504" s="54"/>
      <c r="J504" s="34"/>
      <c r="K504" s="54"/>
      <c r="L504" s="34"/>
      <c r="M504" s="44"/>
      <c r="N504" s="44"/>
      <c r="O504" s="34"/>
      <c r="P504" s="34"/>
      <c r="Q504" s="34"/>
      <c r="R504" s="34"/>
      <c r="U504" s="44"/>
      <c r="W504" s="95"/>
      <c r="X504" s="54"/>
      <c r="Y504" s="54"/>
      <c r="Z504" s="34"/>
      <c r="AA504" s="34"/>
      <c r="AB504" s="34"/>
      <c r="AC504" s="34"/>
      <c r="AD504" s="34"/>
      <c r="AE504" s="34"/>
      <c r="AF504" s="34"/>
      <c r="AG504" s="34"/>
      <c r="AH504" s="52"/>
      <c r="AI504" s="52"/>
      <c r="AK504" s="34"/>
      <c r="AL504" s="34"/>
      <c r="AM504" s="34"/>
      <c r="AN504" s="54"/>
      <c r="AO504" s="34"/>
      <c r="AP504" s="34"/>
      <c r="AQ504" s="54"/>
      <c r="AR504" s="54"/>
      <c r="AS504" s="54"/>
      <c r="AT504" s="54"/>
      <c r="AU504" s="34"/>
      <c r="AV504" s="34"/>
      <c r="AW504" s="34"/>
      <c r="AX504" s="34"/>
      <c r="AY504" s="34"/>
      <c r="AZ504" s="44"/>
      <c r="BA504" s="34"/>
      <c r="BB504" s="34"/>
    </row>
    <row r="505" spans="1:54" x14ac:dyDescent="0.35" ht="15.0" customHeight="true">
      <c r="A505" s="51"/>
      <c r="B505" s="34"/>
      <c r="C505" s="34"/>
      <c r="D505" s="34"/>
      <c r="E505" s="34"/>
      <c r="F505" s="34"/>
      <c r="G505" s="44"/>
      <c r="H505" s="34"/>
      <c r="I505" s="54"/>
      <c r="J505" s="34"/>
      <c r="K505" s="54"/>
      <c r="L505" s="34"/>
      <c r="M505" s="44"/>
      <c r="N505" s="44"/>
      <c r="O505" s="34"/>
      <c r="P505" s="34"/>
      <c r="Q505" s="34"/>
      <c r="R505" s="34"/>
      <c r="U505" s="44"/>
      <c r="W505" s="95"/>
      <c r="X505" s="54"/>
      <c r="Y505" s="54"/>
      <c r="Z505" s="34"/>
      <c r="AA505" s="34"/>
      <c r="AB505" s="34"/>
      <c r="AC505" s="34"/>
      <c r="AD505" s="34"/>
      <c r="AE505" s="34"/>
      <c r="AF505" s="34"/>
      <c r="AG505" s="34"/>
      <c r="AH505" s="52"/>
      <c r="AI505" s="52"/>
      <c r="AK505" s="34"/>
      <c r="AL505" s="34"/>
      <c r="AM505" s="34"/>
      <c r="AN505" s="54"/>
      <c r="AO505" s="34"/>
      <c r="AP505" s="34"/>
      <c r="AQ505" s="54"/>
      <c r="AR505" s="54"/>
      <c r="AS505" s="54"/>
      <c r="AT505" s="54"/>
      <c r="AU505" s="34"/>
      <c r="AV505" s="34"/>
      <c r="AW505" s="34"/>
      <c r="AX505" s="34"/>
      <c r="AY505" s="34"/>
      <c r="AZ505" s="44"/>
      <c r="BA505" s="34"/>
      <c r="BB505" s="34"/>
    </row>
    <row r="506" spans="1:54" x14ac:dyDescent="0.35" ht="15.0" customHeight="true">
      <c r="A506" s="51"/>
      <c r="B506" s="34"/>
      <c r="C506" s="34"/>
      <c r="D506" s="34"/>
      <c r="E506" s="34"/>
      <c r="F506" s="34"/>
      <c r="G506" s="44"/>
      <c r="H506" s="34"/>
      <c r="I506" s="54"/>
      <c r="J506" s="34"/>
      <c r="K506" s="54"/>
      <c r="L506" s="34"/>
      <c r="M506" s="44"/>
      <c r="N506" s="44"/>
      <c r="O506" s="34"/>
      <c r="P506" s="34"/>
      <c r="Q506" s="34"/>
      <c r="R506" s="34"/>
      <c r="U506" s="44"/>
      <c r="W506" s="95"/>
      <c r="X506" s="54"/>
      <c r="Y506" s="54"/>
      <c r="Z506" s="34"/>
      <c r="AA506" s="34"/>
      <c r="AB506" s="34"/>
      <c r="AC506" s="34"/>
      <c r="AD506" s="34"/>
      <c r="AE506" s="34"/>
      <c r="AF506" s="34"/>
      <c r="AG506" s="34"/>
      <c r="AH506" s="52"/>
      <c r="AI506" s="52"/>
      <c r="AK506" s="34"/>
      <c r="AL506" s="34"/>
      <c r="AM506" s="34"/>
      <c r="AN506" s="54"/>
      <c r="AO506" s="34"/>
      <c r="AP506" s="34"/>
      <c r="AQ506" s="54"/>
      <c r="AR506" s="54"/>
      <c r="AS506" s="54"/>
      <c r="AT506" s="54"/>
      <c r="AU506" s="34"/>
      <c r="AV506" s="34"/>
      <c r="AW506" s="34"/>
      <c r="AX506" s="34"/>
      <c r="AY506" s="34"/>
      <c r="AZ506" s="44"/>
      <c r="BA506" s="34"/>
      <c r="BB506" s="34"/>
    </row>
    <row r="507" spans="1:54" x14ac:dyDescent="0.35" ht="15.0" customHeight="true">
      <c r="A507" s="51"/>
      <c r="B507" s="34"/>
      <c r="C507" s="34"/>
      <c r="D507" s="34"/>
      <c r="E507" s="34"/>
      <c r="F507" s="34"/>
      <c r="G507" s="44"/>
      <c r="H507" s="34"/>
      <c r="I507" s="54"/>
      <c r="J507" s="34"/>
      <c r="K507" s="54"/>
      <c r="L507" s="34"/>
      <c r="M507" s="44"/>
      <c r="N507" s="44"/>
      <c r="O507" s="34"/>
      <c r="P507" s="34"/>
      <c r="Q507" s="34"/>
      <c r="R507" s="34"/>
      <c r="U507" s="44"/>
      <c r="W507" s="95"/>
      <c r="X507" s="54"/>
      <c r="Y507" s="54"/>
      <c r="Z507" s="34"/>
      <c r="AA507" s="34"/>
      <c r="AB507" s="34"/>
      <c r="AC507" s="34"/>
      <c r="AD507" s="34"/>
      <c r="AE507" s="34"/>
      <c r="AF507" s="34"/>
      <c r="AG507" s="34"/>
      <c r="AH507" s="52"/>
      <c r="AI507" s="52"/>
      <c r="AK507" s="34"/>
      <c r="AL507" s="34"/>
      <c r="AM507" s="34"/>
      <c r="AN507" s="54"/>
      <c r="AO507" s="34"/>
      <c r="AP507" s="34"/>
      <c r="AQ507" s="54"/>
      <c r="AR507" s="54"/>
      <c r="AS507" s="54"/>
      <c r="AT507" s="54"/>
      <c r="AU507" s="34"/>
      <c r="AV507" s="34"/>
      <c r="AW507" s="34"/>
      <c r="AX507" s="34"/>
      <c r="AY507" s="34"/>
      <c r="AZ507" s="44"/>
      <c r="BA507" s="34"/>
      <c r="BB507" s="34"/>
    </row>
    <row r="508" spans="1:54" x14ac:dyDescent="0.35" ht="15.0" customHeight="true">
      <c r="A508" s="51"/>
      <c r="B508" s="34"/>
      <c r="C508" s="34"/>
      <c r="D508" s="34"/>
      <c r="E508" s="34"/>
      <c r="F508" s="34"/>
      <c r="G508" s="44"/>
      <c r="H508" s="34"/>
      <c r="I508" s="54"/>
      <c r="J508" s="34"/>
      <c r="K508" s="54"/>
      <c r="L508" s="34"/>
      <c r="M508" s="44"/>
      <c r="N508" s="44"/>
      <c r="O508" s="34"/>
      <c r="P508" s="34"/>
      <c r="Q508" s="34"/>
      <c r="R508" s="34"/>
      <c r="U508" s="44"/>
      <c r="W508" s="95"/>
      <c r="X508" s="54"/>
      <c r="Y508" s="54"/>
      <c r="Z508" s="34"/>
      <c r="AA508" s="34"/>
      <c r="AB508" s="34"/>
      <c r="AC508" s="34"/>
      <c r="AD508" s="34"/>
      <c r="AE508" s="34"/>
      <c r="AF508" s="34"/>
      <c r="AG508" s="34"/>
      <c r="AH508" s="52"/>
      <c r="AI508" s="52"/>
      <c r="AK508" s="34"/>
      <c r="AL508" s="34"/>
      <c r="AM508" s="34"/>
      <c r="AN508" s="54"/>
      <c r="AO508" s="34"/>
      <c r="AP508" s="34"/>
      <c r="AQ508" s="54"/>
      <c r="AR508" s="54"/>
      <c r="AS508" s="54"/>
      <c r="AT508" s="54"/>
      <c r="AU508" s="34"/>
      <c r="AV508" s="34"/>
      <c r="AW508" s="34"/>
      <c r="AX508" s="34"/>
      <c r="AY508" s="34"/>
      <c r="AZ508" s="44"/>
      <c r="BA508" s="34"/>
      <c r="BB508" s="34"/>
    </row>
    <row r="509" spans="1:54" x14ac:dyDescent="0.35" ht="15.0" customHeight="true">
      <c r="A509" s="51"/>
      <c r="B509" s="34"/>
      <c r="C509" s="34"/>
      <c r="D509" s="34"/>
      <c r="E509" s="34"/>
      <c r="F509" s="34"/>
      <c r="G509" s="44"/>
      <c r="H509" s="34"/>
      <c r="I509" s="54"/>
      <c r="J509" s="34"/>
      <c r="K509" s="54"/>
      <c r="L509" s="34"/>
      <c r="M509" s="44"/>
      <c r="N509" s="44"/>
      <c r="O509" s="34"/>
      <c r="P509" s="34"/>
      <c r="Q509" s="34"/>
      <c r="R509" s="34"/>
      <c r="U509" s="44"/>
      <c r="W509" s="95"/>
      <c r="X509" s="54"/>
      <c r="Y509" s="54"/>
      <c r="Z509" s="34"/>
      <c r="AA509" s="34"/>
      <c r="AB509" s="34"/>
      <c r="AC509" s="34"/>
      <c r="AD509" s="34"/>
      <c r="AE509" s="34"/>
      <c r="AF509" s="34"/>
      <c r="AG509" s="34"/>
      <c r="AH509" s="52"/>
      <c r="AI509" s="52"/>
      <c r="AK509" s="34"/>
      <c r="AL509" s="34"/>
      <c r="AM509" s="34"/>
      <c r="AN509" s="54"/>
      <c r="AO509" s="34"/>
      <c r="AP509" s="34"/>
      <c r="AQ509" s="54"/>
      <c r="AR509" s="54"/>
      <c r="AS509" s="54"/>
      <c r="AT509" s="54"/>
      <c r="AU509" s="34"/>
      <c r="AV509" s="34"/>
      <c r="AW509" s="34"/>
      <c r="AX509" s="34"/>
      <c r="AY509" s="34"/>
      <c r="AZ509" s="44"/>
      <c r="BA509" s="34"/>
      <c r="BB509" s="34"/>
    </row>
    <row r="510" spans="1:54" x14ac:dyDescent="0.35" ht="15.0" customHeight="true">
      <c r="A510" s="51"/>
      <c r="B510" s="34"/>
      <c r="C510" s="34"/>
      <c r="D510" s="34"/>
      <c r="E510" s="34"/>
      <c r="F510" s="34"/>
      <c r="G510" s="44"/>
      <c r="H510" s="34"/>
      <c r="I510" s="54"/>
      <c r="J510" s="34"/>
      <c r="K510" s="54"/>
      <c r="L510" s="34"/>
      <c r="M510" s="44"/>
      <c r="N510" s="44"/>
      <c r="O510" s="34"/>
      <c r="P510" s="34"/>
      <c r="Q510" s="34"/>
      <c r="R510" s="34"/>
      <c r="U510" s="44"/>
      <c r="W510" s="95"/>
      <c r="X510" s="54"/>
      <c r="Y510" s="54"/>
      <c r="Z510" s="34"/>
      <c r="AA510" s="34"/>
      <c r="AB510" s="34"/>
      <c r="AC510" s="34"/>
      <c r="AD510" s="34"/>
      <c r="AE510" s="34"/>
      <c r="AF510" s="34"/>
      <c r="AG510" s="34"/>
      <c r="AH510" s="52"/>
      <c r="AI510" s="52"/>
      <c r="AK510" s="34"/>
      <c r="AL510" s="34"/>
      <c r="AM510" s="34"/>
      <c r="AN510" s="54"/>
      <c r="AO510" s="34"/>
      <c r="AP510" s="34"/>
      <c r="AQ510" s="54"/>
      <c r="AR510" s="54"/>
      <c r="AS510" s="54"/>
      <c r="AT510" s="54"/>
      <c r="AU510" s="34"/>
      <c r="AV510" s="34"/>
      <c r="AW510" s="34"/>
      <c r="AX510" s="34"/>
      <c r="AY510" s="34"/>
      <c r="AZ510" s="44"/>
      <c r="BA510" s="34"/>
      <c r="BB510" s="34"/>
    </row>
    <row r="511" spans="1:54" x14ac:dyDescent="0.35" ht="15.0" customHeight="true">
      <c r="A511" s="51"/>
      <c r="B511" s="34"/>
      <c r="C511" s="34"/>
      <c r="D511" s="34"/>
      <c r="E511" s="34"/>
      <c r="F511" s="34"/>
      <c r="G511" s="44"/>
      <c r="H511" s="34"/>
      <c r="I511" s="54"/>
      <c r="J511" s="34"/>
      <c r="K511" s="54"/>
      <c r="L511" s="34"/>
      <c r="M511" s="44"/>
      <c r="N511" s="44"/>
      <c r="O511" s="34"/>
      <c r="P511" s="34"/>
      <c r="Q511" s="34"/>
      <c r="R511" s="34"/>
      <c r="U511" s="44"/>
      <c r="W511" s="95"/>
      <c r="X511" s="54"/>
      <c r="Y511" s="54"/>
      <c r="Z511" s="34"/>
      <c r="AA511" s="34"/>
      <c r="AB511" s="34"/>
      <c r="AC511" s="34"/>
      <c r="AD511" s="34"/>
      <c r="AE511" s="34"/>
      <c r="AF511" s="34"/>
      <c r="AG511" s="34"/>
      <c r="AH511" s="52"/>
      <c r="AI511" s="52"/>
      <c r="AK511" s="34"/>
      <c r="AL511" s="34"/>
      <c r="AM511" s="34"/>
      <c r="AN511" s="54"/>
      <c r="AO511" s="34"/>
      <c r="AP511" s="34"/>
      <c r="AQ511" s="54"/>
      <c r="AR511" s="54"/>
      <c r="AS511" s="54"/>
      <c r="AT511" s="54"/>
      <c r="AU511" s="34"/>
      <c r="AV511" s="34"/>
      <c r="AW511" s="34"/>
      <c r="AX511" s="34"/>
      <c r="AY511" s="34"/>
      <c r="AZ511" s="44"/>
      <c r="BA511" s="34"/>
      <c r="BB511" s="34"/>
    </row>
    <row r="512" spans="1:54" x14ac:dyDescent="0.35" ht="15.0" customHeight="true">
      <c r="A512" s="51"/>
      <c r="B512" s="34"/>
      <c r="C512" s="34"/>
      <c r="D512" s="34"/>
      <c r="E512" s="34"/>
      <c r="F512" s="34"/>
      <c r="G512" s="44"/>
      <c r="H512" s="34"/>
      <c r="I512" s="54"/>
      <c r="J512" s="34"/>
      <c r="K512" s="54"/>
      <c r="L512" s="34"/>
      <c r="M512" s="44"/>
      <c r="N512" s="44"/>
      <c r="O512" s="34"/>
      <c r="P512" s="34"/>
      <c r="Q512" s="34"/>
      <c r="R512" s="34"/>
      <c r="U512" s="44"/>
      <c r="W512" s="95"/>
      <c r="X512" s="54"/>
      <c r="Y512" s="54"/>
      <c r="Z512" s="34"/>
      <c r="AA512" s="34"/>
      <c r="AB512" s="34"/>
      <c r="AC512" s="34"/>
      <c r="AD512" s="34"/>
      <c r="AE512" s="34"/>
      <c r="AF512" s="34"/>
      <c r="AG512" s="34"/>
      <c r="AH512" s="52"/>
      <c r="AI512" s="52"/>
      <c r="AK512" s="34"/>
      <c r="AL512" s="34"/>
      <c r="AM512" s="34"/>
      <c r="AN512" s="54"/>
      <c r="AO512" s="34"/>
      <c r="AP512" s="34"/>
      <c r="AQ512" s="54"/>
      <c r="AR512" s="54"/>
      <c r="AS512" s="54"/>
      <c r="AT512" s="54"/>
      <c r="AU512" s="34"/>
      <c r="AV512" s="34"/>
      <c r="AW512" s="34"/>
      <c r="AX512" s="34"/>
      <c r="AY512" s="34"/>
      <c r="AZ512" s="44"/>
      <c r="BA512" s="34"/>
      <c r="BB512" s="34"/>
    </row>
    <row r="513" spans="1:54" x14ac:dyDescent="0.35" ht="15.0" customHeight="true">
      <c r="A513" s="51"/>
      <c r="B513" s="34"/>
      <c r="C513" s="34"/>
      <c r="D513" s="34"/>
      <c r="E513" s="34"/>
      <c r="F513" s="34"/>
      <c r="G513" s="44"/>
      <c r="H513" s="34"/>
      <c r="I513" s="54"/>
      <c r="J513" s="34"/>
      <c r="K513" s="54"/>
      <c r="L513" s="34"/>
      <c r="M513" s="44"/>
      <c r="N513" s="44"/>
      <c r="O513" s="34"/>
      <c r="P513" s="34"/>
      <c r="Q513" s="34"/>
      <c r="R513" s="34"/>
      <c r="U513" s="44"/>
      <c r="W513" s="95"/>
      <c r="X513" s="54"/>
      <c r="Y513" s="54"/>
      <c r="Z513" s="34"/>
      <c r="AA513" s="34"/>
      <c r="AB513" s="34"/>
      <c r="AC513" s="34"/>
      <c r="AD513" s="34"/>
      <c r="AE513" s="34"/>
      <c r="AF513" s="34"/>
      <c r="AG513" s="34"/>
      <c r="AH513" s="52"/>
      <c r="AI513" s="52"/>
      <c r="AK513" s="34"/>
      <c r="AL513" s="34"/>
      <c r="AM513" s="34"/>
      <c r="AN513" s="54"/>
      <c r="AO513" s="34"/>
      <c r="AP513" s="34"/>
      <c r="AQ513" s="54"/>
      <c r="AR513" s="54"/>
      <c r="AS513" s="54"/>
      <c r="AT513" s="54"/>
      <c r="AU513" s="34"/>
      <c r="AV513" s="34"/>
      <c r="AW513" s="34"/>
      <c r="AX513" s="34"/>
      <c r="AY513" s="34"/>
      <c r="AZ513" s="44"/>
      <c r="BA513" s="34"/>
      <c r="BB513" s="34"/>
    </row>
    <row r="514" spans="1:54" x14ac:dyDescent="0.35" ht="15.0" customHeight="true">
      <c r="A514" s="51"/>
      <c r="B514" s="34"/>
      <c r="C514" s="34"/>
      <c r="D514" s="34"/>
      <c r="E514" s="34"/>
      <c r="F514" s="34"/>
      <c r="G514" s="44"/>
      <c r="H514" s="34"/>
      <c r="I514" s="54"/>
      <c r="J514" s="34"/>
      <c r="K514" s="54"/>
      <c r="L514" s="34"/>
      <c r="M514" s="44"/>
      <c r="N514" s="44"/>
      <c r="O514" s="34"/>
      <c r="P514" s="34"/>
      <c r="Q514" s="34"/>
      <c r="R514" s="34"/>
      <c r="U514" s="44"/>
      <c r="W514" s="95"/>
      <c r="X514" s="54"/>
      <c r="Y514" s="54"/>
      <c r="Z514" s="34"/>
      <c r="AA514" s="34"/>
      <c r="AB514" s="34"/>
      <c r="AC514" s="34"/>
      <c r="AD514" s="34"/>
      <c r="AE514" s="34"/>
      <c r="AF514" s="34"/>
      <c r="AG514" s="34"/>
      <c r="AH514" s="52"/>
      <c r="AI514" s="52"/>
      <c r="AK514" s="34"/>
      <c r="AL514" s="34"/>
      <c r="AM514" s="34"/>
      <c r="AN514" s="54"/>
      <c r="AO514" s="34"/>
      <c r="AP514" s="34"/>
      <c r="AQ514" s="54"/>
      <c r="AR514" s="54"/>
      <c r="AS514" s="54"/>
      <c r="AT514" s="54"/>
      <c r="AU514" s="34"/>
      <c r="AV514" s="34"/>
      <c r="AW514" s="34"/>
      <c r="AX514" s="34"/>
      <c r="AY514" s="34"/>
      <c r="AZ514" s="44"/>
      <c r="BA514" s="34"/>
      <c r="BB514" s="34"/>
    </row>
    <row r="515" spans="1:54" x14ac:dyDescent="0.35" ht="15.0" customHeight="true">
      <c r="A515" s="51"/>
      <c r="B515" s="34"/>
      <c r="C515" s="34"/>
      <c r="D515" s="34"/>
      <c r="E515" s="34"/>
      <c r="F515" s="34"/>
      <c r="G515" s="44"/>
      <c r="H515" s="34"/>
      <c r="I515" s="54"/>
      <c r="J515" s="34"/>
      <c r="K515" s="54"/>
      <c r="L515" s="34"/>
      <c r="M515" s="44"/>
      <c r="N515" s="44"/>
      <c r="O515" s="34"/>
      <c r="P515" s="34"/>
      <c r="Q515" s="34"/>
      <c r="R515" s="34"/>
      <c r="U515" s="44"/>
      <c r="W515" s="95"/>
      <c r="X515" s="54"/>
      <c r="Y515" s="54"/>
      <c r="Z515" s="34"/>
      <c r="AA515" s="34"/>
      <c r="AB515" s="34"/>
      <c r="AC515" s="34"/>
      <c r="AD515" s="34"/>
      <c r="AE515" s="34"/>
      <c r="AF515" s="34"/>
      <c r="AG515" s="34"/>
      <c r="AH515" s="52"/>
      <c r="AI515" s="52"/>
      <c r="AK515" s="34"/>
      <c r="AL515" s="34"/>
      <c r="AM515" s="34"/>
      <c r="AN515" s="54"/>
      <c r="AO515" s="34"/>
      <c r="AP515" s="34"/>
      <c r="AQ515" s="54"/>
      <c r="AR515" s="54"/>
      <c r="AS515" s="54"/>
      <c r="AT515" s="54"/>
      <c r="AU515" s="34"/>
      <c r="AV515" s="34"/>
      <c r="AW515" s="34"/>
      <c r="AX515" s="34"/>
      <c r="AY515" s="34"/>
      <c r="AZ515" s="44"/>
      <c r="BA515" s="34"/>
      <c r="BB515" s="34"/>
    </row>
    <row r="516" spans="1:54" x14ac:dyDescent="0.35" ht="15.0" customHeight="true">
      <c r="A516" s="51"/>
      <c r="B516" s="34"/>
      <c r="C516" s="34"/>
      <c r="D516" s="34"/>
      <c r="E516" s="34"/>
      <c r="F516" s="34"/>
      <c r="G516" s="44"/>
      <c r="H516" s="34"/>
      <c r="I516" s="54"/>
      <c r="J516" s="34"/>
      <c r="K516" s="54"/>
      <c r="L516" s="34"/>
      <c r="M516" s="44"/>
      <c r="N516" s="44"/>
      <c r="O516" s="34"/>
      <c r="P516" s="34"/>
      <c r="Q516" s="34"/>
      <c r="R516" s="34"/>
      <c r="U516" s="44"/>
      <c r="W516" s="95"/>
      <c r="X516" s="54"/>
      <c r="Y516" s="54"/>
      <c r="Z516" s="34"/>
      <c r="AA516" s="34"/>
      <c r="AB516" s="34"/>
      <c r="AC516" s="34"/>
      <c r="AD516" s="34"/>
      <c r="AE516" s="34"/>
      <c r="AF516" s="34"/>
      <c r="AG516" s="34"/>
      <c r="AH516" s="52"/>
      <c r="AI516" s="52"/>
      <c r="AK516" s="34"/>
      <c r="AL516" s="34"/>
      <c r="AM516" s="34"/>
      <c r="AN516" s="54"/>
      <c r="AO516" s="34"/>
      <c r="AP516" s="34"/>
      <c r="AQ516" s="54"/>
      <c r="AR516" s="54"/>
      <c r="AS516" s="54"/>
      <c r="AT516" s="54"/>
      <c r="AU516" s="34"/>
      <c r="AV516" s="34"/>
      <c r="AW516" s="34"/>
      <c r="AX516" s="34"/>
      <c r="AY516" s="34"/>
      <c r="AZ516" s="44"/>
      <c r="BA516" s="34"/>
      <c r="BB516" s="34"/>
    </row>
    <row r="517" spans="1:54" x14ac:dyDescent="0.35" ht="15.0" customHeight="true">
      <c r="A517" s="51"/>
      <c r="B517" s="34"/>
      <c r="C517" s="34"/>
      <c r="D517" s="34"/>
      <c r="E517" s="34"/>
      <c r="F517" s="34"/>
      <c r="G517" s="44"/>
      <c r="H517" s="34"/>
      <c r="I517" s="54"/>
      <c r="J517" s="34"/>
      <c r="K517" s="54"/>
      <c r="L517" s="34"/>
      <c r="M517" s="44"/>
      <c r="N517" s="44"/>
      <c r="O517" s="34"/>
      <c r="P517" s="34"/>
      <c r="Q517" s="34"/>
      <c r="R517" s="34"/>
      <c r="U517" s="44"/>
      <c r="W517" s="95"/>
      <c r="X517" s="54"/>
      <c r="Y517" s="54"/>
      <c r="Z517" s="34"/>
      <c r="AA517" s="34"/>
      <c r="AB517" s="34"/>
      <c r="AC517" s="34"/>
      <c r="AD517" s="34"/>
      <c r="AE517" s="34"/>
      <c r="AF517" s="34"/>
      <c r="AG517" s="34"/>
      <c r="AH517" s="52"/>
      <c r="AI517" s="52"/>
      <c r="AK517" s="34"/>
      <c r="AL517" s="34"/>
      <c r="AM517" s="34"/>
      <c r="AN517" s="54"/>
      <c r="AO517" s="34"/>
      <c r="AP517" s="34"/>
      <c r="AQ517" s="54"/>
      <c r="AR517" s="54"/>
      <c r="AS517" s="54"/>
      <c r="AT517" s="54"/>
      <c r="AU517" s="34"/>
      <c r="AV517" s="34"/>
      <c r="AW517" s="34"/>
      <c r="AX517" s="34"/>
      <c r="AY517" s="34"/>
      <c r="AZ517" s="44"/>
      <c r="BA517" s="34"/>
      <c r="BB517" s="34"/>
    </row>
    <row r="518" spans="1:54" x14ac:dyDescent="0.35" ht="15.0" customHeight="true">
      <c r="A518" s="51"/>
      <c r="B518" s="34"/>
      <c r="C518" s="34"/>
      <c r="D518" s="34"/>
      <c r="E518" s="34"/>
      <c r="F518" s="34"/>
      <c r="G518" s="44"/>
      <c r="H518" s="34"/>
      <c r="I518" s="54"/>
      <c r="J518" s="34"/>
      <c r="K518" s="54"/>
      <c r="L518" s="34"/>
      <c r="M518" s="44"/>
      <c r="N518" s="44"/>
      <c r="O518" s="34"/>
      <c r="P518" s="34"/>
      <c r="Q518" s="34"/>
      <c r="R518" s="34"/>
      <c r="U518" s="44"/>
      <c r="W518" s="95"/>
      <c r="X518" s="54"/>
      <c r="Y518" s="54"/>
      <c r="Z518" s="34"/>
      <c r="AA518" s="34"/>
      <c r="AB518" s="34"/>
      <c r="AC518" s="34"/>
      <c r="AD518" s="34"/>
      <c r="AE518" s="34"/>
      <c r="AF518" s="34"/>
      <c r="AG518" s="34"/>
      <c r="AH518" s="52"/>
      <c r="AI518" s="52"/>
      <c r="AK518" s="34"/>
      <c r="AL518" s="34"/>
      <c r="AM518" s="34"/>
      <c r="AN518" s="54"/>
      <c r="AO518" s="34"/>
      <c r="AP518" s="34"/>
      <c r="AQ518" s="54"/>
      <c r="AR518" s="54"/>
      <c r="AS518" s="54"/>
      <c r="AT518" s="54"/>
      <c r="AU518" s="34"/>
      <c r="AV518" s="34"/>
      <c r="AW518" s="34"/>
      <c r="AX518" s="34"/>
      <c r="AY518" s="34"/>
      <c r="AZ518" s="44"/>
      <c r="BA518" s="34"/>
      <c r="BB518" s="34"/>
    </row>
    <row r="519" spans="1:54" x14ac:dyDescent="0.35" ht="15.0" customHeight="true">
      <c r="A519" s="51"/>
      <c r="B519" s="34"/>
      <c r="C519" s="34"/>
      <c r="D519" s="34"/>
      <c r="E519" s="34"/>
      <c r="F519" s="34"/>
      <c r="G519" s="44"/>
      <c r="H519" s="34"/>
      <c r="I519" s="54"/>
      <c r="J519" s="34"/>
      <c r="K519" s="54"/>
      <c r="L519" s="34"/>
      <c r="M519" s="44"/>
      <c r="N519" s="44"/>
      <c r="O519" s="34"/>
      <c r="P519" s="34"/>
      <c r="Q519" s="34"/>
      <c r="R519" s="34"/>
      <c r="U519" s="44"/>
      <c r="W519" s="95"/>
      <c r="X519" s="54"/>
      <c r="Y519" s="54"/>
      <c r="Z519" s="34"/>
      <c r="AA519" s="34"/>
      <c r="AB519" s="34"/>
      <c r="AC519" s="34"/>
      <c r="AD519" s="34"/>
      <c r="AE519" s="34"/>
      <c r="AF519" s="34"/>
      <c r="AG519" s="34"/>
      <c r="AH519" s="52"/>
      <c r="AI519" s="52"/>
      <c r="AK519" s="34"/>
      <c r="AL519" s="34"/>
      <c r="AM519" s="34"/>
      <c r="AN519" s="54"/>
      <c r="AO519" s="34"/>
      <c r="AP519" s="34"/>
      <c r="AQ519" s="54"/>
      <c r="AR519" s="54"/>
      <c r="AS519" s="54"/>
      <c r="AT519" s="54"/>
      <c r="AU519" s="34"/>
      <c r="AV519" s="34"/>
      <c r="AW519" s="34"/>
      <c r="AX519" s="34"/>
      <c r="AY519" s="34"/>
      <c r="AZ519" s="44"/>
      <c r="BA519" s="34"/>
      <c r="BB519" s="34"/>
    </row>
    <row r="520" spans="1:54" x14ac:dyDescent="0.35" ht="15.0" customHeight="true">
      <c r="A520" s="51"/>
      <c r="B520" s="34"/>
      <c r="C520" s="34"/>
      <c r="D520" s="34"/>
      <c r="E520" s="34"/>
      <c r="F520" s="34"/>
      <c r="G520" s="44"/>
      <c r="H520" s="34"/>
      <c r="I520" s="54"/>
      <c r="J520" s="34"/>
      <c r="K520" s="54"/>
      <c r="L520" s="34"/>
      <c r="M520" s="44"/>
      <c r="N520" s="44"/>
      <c r="O520" s="34"/>
      <c r="P520" s="34"/>
      <c r="Q520" s="34"/>
      <c r="R520" s="34"/>
      <c r="U520" s="44"/>
      <c r="W520" s="95"/>
      <c r="X520" s="54"/>
      <c r="Y520" s="54"/>
      <c r="Z520" s="34"/>
      <c r="AA520" s="34"/>
      <c r="AB520" s="34"/>
      <c r="AC520" s="34"/>
      <c r="AD520" s="34"/>
      <c r="AE520" s="34"/>
      <c r="AF520" s="34"/>
      <c r="AG520" s="34"/>
      <c r="AH520" s="52"/>
      <c r="AI520" s="52"/>
      <c r="AK520" s="34"/>
      <c r="AL520" s="34"/>
      <c r="AM520" s="34"/>
      <c r="AN520" s="54"/>
      <c r="AO520" s="34"/>
      <c r="AP520" s="34"/>
      <c r="AQ520" s="54"/>
      <c r="AR520" s="54"/>
      <c r="AS520" s="54"/>
      <c r="AT520" s="54"/>
      <c r="AU520" s="34"/>
      <c r="AV520" s="34"/>
      <c r="AW520" s="34"/>
      <c r="AX520" s="34"/>
      <c r="AY520" s="34"/>
      <c r="AZ520" s="44"/>
      <c r="BA520" s="34"/>
      <c r="BB520" s="34"/>
    </row>
    <row r="521" spans="1:54" x14ac:dyDescent="0.35" ht="15.0" customHeight="true">
      <c r="A521" s="51"/>
      <c r="B521" s="34"/>
      <c r="C521" s="34"/>
      <c r="D521" s="34"/>
      <c r="E521" s="34"/>
      <c r="F521" s="34"/>
      <c r="G521" s="44"/>
      <c r="H521" s="34"/>
      <c r="I521" s="54"/>
      <c r="J521" s="34"/>
      <c r="K521" s="54"/>
      <c r="L521" s="34"/>
      <c r="M521" s="44"/>
      <c r="N521" s="44"/>
      <c r="O521" s="34"/>
      <c r="P521" s="34"/>
      <c r="Q521" s="34"/>
      <c r="R521" s="34"/>
      <c r="U521" s="44"/>
      <c r="W521" s="95"/>
      <c r="X521" s="54"/>
      <c r="Y521" s="54"/>
      <c r="Z521" s="34"/>
      <c r="AA521" s="34"/>
      <c r="AB521" s="34"/>
      <c r="AC521" s="34"/>
      <c r="AD521" s="34"/>
      <c r="AE521" s="34"/>
      <c r="AF521" s="34"/>
      <c r="AG521" s="34"/>
      <c r="AH521" s="52"/>
      <c r="AI521" s="52"/>
      <c r="AK521" s="34"/>
      <c r="AL521" s="34"/>
      <c r="AM521" s="34"/>
      <c r="AN521" s="54"/>
      <c r="AO521" s="34"/>
      <c r="AP521" s="34"/>
      <c r="AQ521" s="54"/>
      <c r="AR521" s="54"/>
      <c r="AS521" s="54"/>
      <c r="AT521" s="54"/>
      <c r="AU521" s="34"/>
      <c r="AV521" s="34"/>
      <c r="AW521" s="34"/>
      <c r="AX521" s="34"/>
      <c r="AY521" s="34"/>
      <c r="AZ521" s="44"/>
      <c r="BA521" s="34"/>
      <c r="BB521" s="34"/>
    </row>
    <row r="522" spans="1:54" x14ac:dyDescent="0.35" ht="15.0" customHeight="true">
      <c r="A522" s="51"/>
      <c r="B522" s="34"/>
      <c r="C522" s="34"/>
      <c r="D522" s="34"/>
      <c r="E522" s="34"/>
      <c r="F522" s="34"/>
      <c r="G522" s="44"/>
      <c r="H522" s="34"/>
      <c r="I522" s="54"/>
      <c r="J522" s="34"/>
      <c r="K522" s="54"/>
      <c r="L522" s="34"/>
      <c r="M522" s="44"/>
      <c r="N522" s="44"/>
      <c r="O522" s="34"/>
      <c r="P522" s="34"/>
      <c r="Q522" s="34"/>
      <c r="R522" s="34"/>
      <c r="U522" s="44"/>
      <c r="W522" s="95"/>
      <c r="X522" s="54"/>
      <c r="Y522" s="54"/>
      <c r="Z522" s="34"/>
      <c r="AA522" s="34"/>
      <c r="AB522" s="34"/>
      <c r="AC522" s="34"/>
      <c r="AD522" s="34"/>
      <c r="AE522" s="34"/>
      <c r="AF522" s="34"/>
      <c r="AG522" s="34"/>
      <c r="AH522" s="52"/>
      <c r="AI522" s="52"/>
      <c r="AK522" s="34"/>
      <c r="AL522" s="34"/>
      <c r="AM522" s="34"/>
      <c r="AN522" s="54"/>
      <c r="AO522" s="34"/>
      <c r="AP522" s="34"/>
      <c r="AQ522" s="54"/>
      <c r="AR522" s="54"/>
      <c r="AS522" s="54"/>
      <c r="AT522" s="54"/>
      <c r="AU522" s="34"/>
      <c r="AV522" s="34"/>
      <c r="AW522" s="34"/>
      <c r="AX522" s="34"/>
      <c r="AY522" s="34"/>
      <c r="AZ522" s="44"/>
      <c r="BA522" s="34"/>
      <c r="BB522" s="34"/>
    </row>
    <row r="523" spans="1:54" x14ac:dyDescent="0.35" ht="15.0" customHeight="true">
      <c r="A523" s="51"/>
      <c r="B523" s="34"/>
      <c r="C523" s="34"/>
      <c r="D523" s="34"/>
      <c r="E523" s="34"/>
      <c r="F523" s="34"/>
      <c r="G523" s="44"/>
      <c r="H523" s="34"/>
      <c r="I523" s="54"/>
      <c r="J523" s="34"/>
      <c r="K523" s="54"/>
      <c r="L523" s="34"/>
      <c r="M523" s="44"/>
      <c r="N523" s="44"/>
      <c r="O523" s="34"/>
      <c r="P523" s="34"/>
      <c r="Q523" s="34"/>
      <c r="R523" s="34"/>
      <c r="U523" s="44"/>
      <c r="W523" s="95"/>
      <c r="X523" s="54"/>
      <c r="Y523" s="54"/>
      <c r="Z523" s="34"/>
      <c r="AA523" s="34"/>
      <c r="AB523" s="34"/>
      <c r="AC523" s="34"/>
      <c r="AD523" s="34"/>
      <c r="AE523" s="34"/>
      <c r="AF523" s="34"/>
      <c r="AG523" s="34"/>
      <c r="AH523" s="52"/>
      <c r="AI523" s="52"/>
      <c r="AK523" s="34"/>
      <c r="AL523" s="34"/>
      <c r="AM523" s="34"/>
      <c r="AN523" s="54"/>
      <c r="AO523" s="34"/>
      <c r="AP523" s="34"/>
      <c r="AQ523" s="54"/>
      <c r="AR523" s="54"/>
      <c r="AS523" s="54"/>
      <c r="AT523" s="54"/>
      <c r="AU523" s="34"/>
      <c r="AV523" s="34"/>
      <c r="AW523" s="34"/>
      <c r="AX523" s="34"/>
      <c r="AY523" s="34"/>
      <c r="AZ523" s="44"/>
      <c r="BA523" s="34"/>
      <c r="BB523" s="34"/>
    </row>
    <row r="524" spans="1:54" x14ac:dyDescent="0.35" ht="15.0" customHeight="true">
      <c r="A524" s="51"/>
      <c r="B524" s="34"/>
      <c r="C524" s="34"/>
      <c r="D524" s="34"/>
      <c r="E524" s="34"/>
      <c r="F524" s="34"/>
      <c r="G524" s="44"/>
      <c r="H524" s="34"/>
      <c r="I524" s="54"/>
      <c r="J524" s="34"/>
      <c r="K524" s="54"/>
      <c r="L524" s="34"/>
      <c r="M524" s="44"/>
      <c r="N524" s="44"/>
      <c r="O524" s="34"/>
      <c r="P524" s="34"/>
      <c r="Q524" s="34"/>
      <c r="R524" s="34"/>
      <c r="U524" s="44"/>
      <c r="W524" s="95"/>
      <c r="X524" s="54"/>
      <c r="Y524" s="54"/>
      <c r="Z524" s="34"/>
      <c r="AA524" s="34"/>
      <c r="AB524" s="34"/>
      <c r="AC524" s="34"/>
      <c r="AD524" s="34"/>
      <c r="AE524" s="34"/>
      <c r="AF524" s="34"/>
      <c r="AG524" s="34"/>
      <c r="AH524" s="52"/>
      <c r="AI524" s="52"/>
      <c r="AK524" s="34"/>
      <c r="AL524" s="34"/>
      <c r="AM524" s="34"/>
      <c r="AN524" s="54"/>
      <c r="AO524" s="34"/>
      <c r="AP524" s="34"/>
      <c r="AQ524" s="54"/>
      <c r="AR524" s="54"/>
      <c r="AS524" s="54"/>
      <c r="AT524" s="54"/>
      <c r="AU524" s="34"/>
      <c r="AV524" s="34"/>
      <c r="AW524" s="34"/>
      <c r="AX524" s="34"/>
      <c r="AY524" s="34"/>
      <c r="AZ524" s="44"/>
      <c r="BA524" s="34"/>
      <c r="BB524" s="34"/>
    </row>
    <row r="525" spans="1:54" x14ac:dyDescent="0.35" ht="15.0" customHeight="true">
      <c r="A525" s="51"/>
      <c r="B525" s="34"/>
      <c r="C525" s="34"/>
      <c r="D525" s="34"/>
      <c r="E525" s="34"/>
      <c r="F525" s="34"/>
      <c r="G525" s="44"/>
      <c r="H525" s="34"/>
      <c r="I525" s="54"/>
      <c r="J525" s="34"/>
      <c r="K525" s="54"/>
      <c r="L525" s="34"/>
      <c r="M525" s="44"/>
      <c r="N525" s="44"/>
      <c r="O525" s="34"/>
      <c r="P525" s="34"/>
      <c r="Q525" s="34"/>
      <c r="R525" s="34"/>
      <c r="U525" s="44"/>
      <c r="W525" s="95"/>
      <c r="X525" s="54"/>
      <c r="Y525" s="54"/>
      <c r="Z525" s="34"/>
      <c r="AA525" s="34"/>
      <c r="AB525" s="34"/>
      <c r="AC525" s="34"/>
      <c r="AD525" s="34"/>
      <c r="AE525" s="34"/>
      <c r="AF525" s="34"/>
      <c r="AG525" s="34"/>
      <c r="AH525" s="52"/>
      <c r="AI525" s="52"/>
      <c r="AK525" s="34"/>
      <c r="AL525" s="34"/>
      <c r="AM525" s="34"/>
      <c r="AN525" s="54"/>
      <c r="AO525" s="34"/>
      <c r="AP525" s="34"/>
      <c r="AQ525" s="54"/>
      <c r="AR525" s="54"/>
      <c r="AS525" s="54"/>
      <c r="AT525" s="54"/>
      <c r="AU525" s="34"/>
      <c r="AV525" s="34"/>
      <c r="AW525" s="34"/>
      <c r="AX525" s="34"/>
      <c r="AY525" s="34"/>
      <c r="AZ525" s="44"/>
      <c r="BA525" s="34"/>
      <c r="BB525" s="34"/>
    </row>
    <row r="526" spans="1:54" x14ac:dyDescent="0.35" ht="15.0" customHeight="true">
      <c r="A526" s="51"/>
      <c r="B526" s="34"/>
      <c r="C526" s="34"/>
      <c r="D526" s="34"/>
      <c r="E526" s="34"/>
      <c r="F526" s="34"/>
      <c r="G526" s="44"/>
      <c r="H526" s="34"/>
      <c r="I526" s="54"/>
      <c r="J526" s="34"/>
      <c r="K526" s="54"/>
      <c r="L526" s="34"/>
      <c r="M526" s="44"/>
      <c r="N526" s="44"/>
      <c r="O526" s="34"/>
      <c r="P526" s="34"/>
      <c r="Q526" s="34"/>
      <c r="R526" s="34"/>
      <c r="U526" s="44"/>
      <c r="W526" s="95"/>
      <c r="X526" s="54"/>
      <c r="Y526" s="54"/>
      <c r="Z526" s="34"/>
      <c r="AA526" s="34"/>
      <c r="AB526" s="34"/>
      <c r="AC526" s="34"/>
      <c r="AD526" s="34"/>
      <c r="AE526" s="34"/>
      <c r="AF526" s="34"/>
      <c r="AG526" s="34"/>
      <c r="AH526" s="52"/>
      <c r="AI526" s="52"/>
      <c r="AK526" s="34"/>
      <c r="AL526" s="34"/>
      <c r="AM526" s="34"/>
      <c r="AN526" s="54"/>
      <c r="AO526" s="34"/>
      <c r="AP526" s="34"/>
      <c r="AQ526" s="54"/>
      <c r="AR526" s="54"/>
      <c r="AS526" s="54"/>
      <c r="AT526" s="54"/>
      <c r="AU526" s="34"/>
      <c r="AV526" s="34"/>
      <c r="AW526" s="34"/>
      <c r="AX526" s="34"/>
      <c r="AY526" s="34"/>
      <c r="AZ526" s="44"/>
      <c r="BA526" s="34"/>
      <c r="BB526" s="34"/>
    </row>
    <row r="527" spans="1:54" x14ac:dyDescent="0.35" ht="15.0" customHeight="true">
      <c r="A527" s="51"/>
      <c r="B527" s="34"/>
      <c r="C527" s="34"/>
      <c r="D527" s="34"/>
      <c r="E527" s="34"/>
      <c r="F527" s="34"/>
      <c r="G527" s="44"/>
      <c r="H527" s="34"/>
      <c r="I527" s="54"/>
      <c r="J527" s="34"/>
      <c r="K527" s="54"/>
      <c r="L527" s="34"/>
      <c r="M527" s="44"/>
      <c r="N527" s="44"/>
      <c r="O527" s="34"/>
      <c r="P527" s="34"/>
      <c r="Q527" s="34"/>
      <c r="R527" s="34"/>
      <c r="U527" s="44"/>
      <c r="W527" s="95"/>
      <c r="X527" s="54"/>
      <c r="Y527" s="54"/>
      <c r="Z527" s="34"/>
      <c r="AA527" s="34"/>
      <c r="AB527" s="34"/>
      <c r="AC527" s="34"/>
      <c r="AD527" s="34"/>
      <c r="AE527" s="34"/>
      <c r="AF527" s="34"/>
      <c r="AG527" s="34"/>
      <c r="AH527" s="52"/>
      <c r="AI527" s="52"/>
      <c r="AK527" s="34"/>
      <c r="AL527" s="34"/>
      <c r="AM527" s="34"/>
      <c r="AN527" s="54"/>
      <c r="AO527" s="34"/>
      <c r="AP527" s="34"/>
      <c r="AQ527" s="54"/>
      <c r="AR527" s="54"/>
      <c r="AS527" s="54"/>
      <c r="AT527" s="54"/>
      <c r="AU527" s="34"/>
      <c r="AV527" s="34"/>
      <c r="AW527" s="34"/>
      <c r="AX527" s="34"/>
      <c r="AY527" s="34"/>
      <c r="AZ527" s="44"/>
      <c r="BA527" s="34"/>
      <c r="BB527" s="34"/>
    </row>
    <row r="528" spans="1:54" x14ac:dyDescent="0.35" ht="15.0" customHeight="true">
      <c r="A528" s="51"/>
      <c r="B528" s="34"/>
      <c r="C528" s="34"/>
      <c r="D528" s="34"/>
      <c r="E528" s="34"/>
      <c r="F528" s="34"/>
      <c r="G528" s="44"/>
      <c r="H528" s="34"/>
      <c r="I528" s="54"/>
      <c r="J528" s="34"/>
      <c r="K528" s="54"/>
      <c r="L528" s="34"/>
      <c r="M528" s="44"/>
      <c r="N528" s="44"/>
      <c r="O528" s="34"/>
      <c r="P528" s="34"/>
      <c r="Q528" s="34"/>
      <c r="R528" s="34"/>
      <c r="U528" s="44"/>
      <c r="W528" s="95"/>
      <c r="X528" s="54"/>
      <c r="Y528" s="54"/>
      <c r="Z528" s="34"/>
      <c r="AA528" s="34"/>
      <c r="AB528" s="34"/>
      <c r="AC528" s="34"/>
      <c r="AD528" s="34"/>
      <c r="AE528" s="34"/>
      <c r="AF528" s="34"/>
      <c r="AG528" s="34"/>
      <c r="AH528" s="52"/>
      <c r="AI528" s="52"/>
      <c r="AK528" s="34"/>
      <c r="AL528" s="34"/>
      <c r="AM528" s="34"/>
      <c r="AN528" s="54"/>
      <c r="AO528" s="34"/>
      <c r="AP528" s="34"/>
      <c r="AQ528" s="54"/>
      <c r="AR528" s="54"/>
      <c r="AS528" s="54"/>
      <c r="AT528" s="54"/>
      <c r="AU528" s="34"/>
      <c r="AV528" s="34"/>
      <c r="AW528" s="34"/>
      <c r="AX528" s="34"/>
      <c r="AY528" s="34"/>
      <c r="AZ528" s="44"/>
      <c r="BA528" s="34"/>
      <c r="BB528" s="34"/>
    </row>
    <row r="529" spans="1:54" x14ac:dyDescent="0.35" ht="15.0" customHeight="true">
      <c r="A529" s="51"/>
      <c r="B529" s="34"/>
      <c r="C529" s="34"/>
      <c r="D529" s="34"/>
      <c r="E529" s="34"/>
      <c r="F529" s="34"/>
      <c r="G529" s="44"/>
      <c r="H529" s="34"/>
      <c r="I529" s="54"/>
      <c r="J529" s="34"/>
      <c r="K529" s="54"/>
      <c r="L529" s="34"/>
      <c r="M529" s="44"/>
      <c r="N529" s="44"/>
      <c r="O529" s="34"/>
      <c r="P529" s="34"/>
      <c r="Q529" s="34"/>
      <c r="R529" s="34"/>
      <c r="U529" s="44"/>
      <c r="W529" s="95"/>
      <c r="X529" s="54"/>
      <c r="Y529" s="54"/>
      <c r="Z529" s="34"/>
      <c r="AA529" s="34"/>
      <c r="AB529" s="34"/>
      <c r="AC529" s="34"/>
      <c r="AD529" s="34"/>
      <c r="AE529" s="34"/>
      <c r="AF529" s="34"/>
      <c r="AG529" s="34"/>
      <c r="AH529" s="52"/>
      <c r="AI529" s="52"/>
      <c r="AK529" s="34"/>
      <c r="AL529" s="34"/>
      <c r="AM529" s="34"/>
      <c r="AN529" s="54"/>
      <c r="AO529" s="34"/>
      <c r="AP529" s="34"/>
      <c r="AQ529" s="54"/>
      <c r="AR529" s="54"/>
      <c r="AS529" s="54"/>
      <c r="AT529" s="54"/>
      <c r="AU529" s="34"/>
      <c r="AV529" s="34"/>
      <c r="AW529" s="34"/>
      <c r="AX529" s="34"/>
      <c r="AY529" s="34"/>
      <c r="AZ529" s="44"/>
      <c r="BA529" s="34"/>
      <c r="BB529" s="34"/>
    </row>
    <row r="530" spans="1:54" x14ac:dyDescent="0.35" ht="15.0" customHeight="true">
      <c r="A530" s="51"/>
      <c r="B530" s="34"/>
      <c r="C530" s="34"/>
      <c r="D530" s="34"/>
      <c r="E530" s="34"/>
      <c r="F530" s="34"/>
      <c r="G530" s="44"/>
      <c r="H530" s="34"/>
      <c r="I530" s="54"/>
      <c r="J530" s="34"/>
      <c r="K530" s="54"/>
      <c r="L530" s="34"/>
      <c r="M530" s="44"/>
      <c r="N530" s="44"/>
      <c r="O530" s="34"/>
      <c r="P530" s="34"/>
      <c r="Q530" s="34"/>
      <c r="R530" s="34"/>
      <c r="U530" s="44"/>
      <c r="W530" s="95"/>
      <c r="X530" s="54"/>
      <c r="Y530" s="54"/>
      <c r="Z530" s="34"/>
      <c r="AA530" s="34"/>
      <c r="AB530" s="34"/>
      <c r="AC530" s="34"/>
      <c r="AD530" s="34"/>
      <c r="AE530" s="34"/>
      <c r="AF530" s="34"/>
      <c r="AG530" s="34"/>
      <c r="AH530" s="52"/>
      <c r="AI530" s="52"/>
      <c r="AK530" s="34"/>
      <c r="AL530" s="34"/>
      <c r="AM530" s="34"/>
      <c r="AN530" s="54"/>
      <c r="AO530" s="34"/>
      <c r="AP530" s="34"/>
      <c r="AQ530" s="54"/>
      <c r="AR530" s="54"/>
      <c r="AS530" s="54"/>
      <c r="AT530" s="54"/>
      <c r="AU530" s="34"/>
      <c r="AV530" s="34"/>
      <c r="AW530" s="34"/>
      <c r="AX530" s="34"/>
      <c r="AY530" s="34"/>
      <c r="AZ530" s="44"/>
      <c r="BA530" s="34"/>
      <c r="BB530" s="34"/>
    </row>
    <row r="531" spans="1:54" x14ac:dyDescent="0.35" ht="15.0" customHeight="true">
      <c r="A531" s="51"/>
      <c r="B531" s="34"/>
      <c r="C531" s="34"/>
      <c r="D531" s="34"/>
      <c r="E531" s="34"/>
      <c r="F531" s="34"/>
      <c r="G531" s="44"/>
      <c r="H531" s="34"/>
      <c r="I531" s="54"/>
      <c r="J531" s="34"/>
      <c r="K531" s="54"/>
      <c r="L531" s="34"/>
      <c r="M531" s="44"/>
      <c r="N531" s="44"/>
      <c r="O531" s="34"/>
      <c r="P531" s="34"/>
      <c r="Q531" s="34"/>
      <c r="R531" s="34"/>
      <c r="U531" s="44"/>
      <c r="W531" s="95"/>
      <c r="X531" s="54"/>
      <c r="Y531" s="54"/>
      <c r="Z531" s="34"/>
      <c r="AA531" s="34"/>
      <c r="AB531" s="34"/>
      <c r="AC531" s="34"/>
      <c r="AD531" s="34"/>
      <c r="AE531" s="34"/>
      <c r="AF531" s="34"/>
      <c r="AG531" s="34"/>
      <c r="AH531" s="52"/>
      <c r="AI531" s="52"/>
      <c r="AK531" s="34"/>
      <c r="AL531" s="34"/>
      <c r="AM531" s="34"/>
      <c r="AN531" s="54"/>
      <c r="AO531" s="34"/>
      <c r="AP531" s="34"/>
      <c r="AQ531" s="54"/>
      <c r="AR531" s="54"/>
      <c r="AS531" s="54"/>
      <c r="AT531" s="54"/>
      <c r="AU531" s="34"/>
      <c r="AV531" s="34"/>
      <c r="AW531" s="34"/>
      <c r="AX531" s="34"/>
      <c r="AY531" s="34"/>
      <c r="AZ531" s="44"/>
      <c r="BA531" s="34"/>
      <c r="BB531" s="34"/>
    </row>
    <row r="532" spans="1:54" x14ac:dyDescent="0.35" ht="15.0" customHeight="true">
      <c r="A532" s="51"/>
      <c r="B532" s="34"/>
      <c r="C532" s="34"/>
      <c r="D532" s="34"/>
      <c r="E532" s="34"/>
      <c r="F532" s="34"/>
      <c r="G532" s="44"/>
      <c r="H532" s="34"/>
      <c r="I532" s="54"/>
      <c r="J532" s="34"/>
      <c r="K532" s="54"/>
      <c r="L532" s="34"/>
      <c r="M532" s="44"/>
      <c r="N532" s="44"/>
      <c r="O532" s="34"/>
      <c r="P532" s="34"/>
      <c r="Q532" s="34"/>
      <c r="R532" s="34"/>
      <c r="U532" s="44"/>
      <c r="W532" s="95"/>
      <c r="X532" s="54"/>
      <c r="Y532" s="54"/>
      <c r="Z532" s="34"/>
      <c r="AA532" s="34"/>
      <c r="AB532" s="34"/>
      <c r="AC532" s="34"/>
      <c r="AD532" s="34"/>
      <c r="AE532" s="34"/>
      <c r="AF532" s="34"/>
      <c r="AG532" s="34"/>
      <c r="AH532" s="52"/>
      <c r="AI532" s="52"/>
      <c r="AK532" s="34"/>
      <c r="AL532" s="34"/>
      <c r="AM532" s="34"/>
      <c r="AN532" s="54"/>
      <c r="AO532" s="34"/>
      <c r="AP532" s="34"/>
      <c r="AQ532" s="54"/>
      <c r="AR532" s="54"/>
      <c r="AS532" s="54"/>
      <c r="AT532" s="54"/>
      <c r="AU532" s="34"/>
      <c r="AV532" s="34"/>
      <c r="AW532" s="34"/>
      <c r="AX532" s="34"/>
      <c r="AY532" s="34"/>
      <c r="AZ532" s="44"/>
      <c r="BA532" s="34"/>
      <c r="BB532" s="34"/>
    </row>
    <row r="533" spans="1:54" x14ac:dyDescent="0.35" ht="15.0" customHeight="true">
      <c r="A533" s="51"/>
      <c r="B533" s="34"/>
      <c r="C533" s="34"/>
      <c r="D533" s="34"/>
      <c r="E533" s="34"/>
      <c r="F533" s="34"/>
      <c r="G533" s="44"/>
      <c r="H533" s="34"/>
      <c r="I533" s="54"/>
      <c r="J533" s="34"/>
      <c r="K533" s="54"/>
      <c r="L533" s="34"/>
      <c r="M533" s="44"/>
      <c r="N533" s="44"/>
      <c r="O533" s="34"/>
      <c r="P533" s="34"/>
      <c r="Q533" s="34"/>
      <c r="R533" s="34"/>
      <c r="U533" s="44"/>
      <c r="W533" s="95"/>
      <c r="X533" s="54"/>
      <c r="Y533" s="54"/>
      <c r="Z533" s="34"/>
      <c r="AA533" s="34"/>
      <c r="AB533" s="34"/>
      <c r="AC533" s="34"/>
      <c r="AD533" s="34"/>
      <c r="AE533" s="34"/>
      <c r="AF533" s="34"/>
      <c r="AG533" s="34"/>
      <c r="AH533" s="52"/>
      <c r="AI533" s="52"/>
      <c r="AK533" s="34"/>
      <c r="AL533" s="34"/>
      <c r="AM533" s="34"/>
      <c r="AN533" s="54"/>
      <c r="AO533" s="34"/>
      <c r="AP533" s="34"/>
      <c r="AQ533" s="54"/>
      <c r="AR533" s="54"/>
      <c r="AS533" s="54"/>
      <c r="AT533" s="54"/>
      <c r="AU533" s="34"/>
      <c r="AV533" s="34"/>
      <c r="AW533" s="34"/>
      <c r="AX533" s="34"/>
      <c r="AY533" s="34"/>
      <c r="AZ533" s="44"/>
      <c r="BA533" s="34"/>
      <c r="BB533" s="34"/>
    </row>
    <row r="534" spans="1:54" x14ac:dyDescent="0.35" ht="15.0" customHeight="true">
      <c r="A534" s="51"/>
      <c r="B534" s="34"/>
      <c r="C534" s="34"/>
      <c r="D534" s="34"/>
      <c r="E534" s="34"/>
      <c r="F534" s="34"/>
      <c r="G534" s="44"/>
      <c r="H534" s="34"/>
      <c r="I534" s="54"/>
      <c r="J534" s="34"/>
      <c r="K534" s="54"/>
      <c r="L534" s="34"/>
      <c r="M534" s="44"/>
      <c r="N534" s="44"/>
      <c r="O534" s="34"/>
      <c r="P534" s="34"/>
      <c r="Q534" s="34"/>
      <c r="R534" s="34"/>
      <c r="U534" s="44"/>
      <c r="W534" s="95"/>
      <c r="X534" s="54"/>
      <c r="Y534" s="54"/>
      <c r="Z534" s="34"/>
      <c r="AA534" s="34"/>
      <c r="AB534" s="34"/>
      <c r="AC534" s="34"/>
      <c r="AD534" s="34"/>
      <c r="AE534" s="34"/>
      <c r="AF534" s="34"/>
      <c r="AG534" s="34"/>
      <c r="AH534" s="52"/>
      <c r="AI534" s="52"/>
      <c r="AK534" s="34"/>
      <c r="AL534" s="34"/>
      <c r="AM534" s="34"/>
      <c r="AN534" s="54"/>
      <c r="AO534" s="34"/>
      <c r="AP534" s="34"/>
      <c r="AQ534" s="54"/>
      <c r="AR534" s="54"/>
      <c r="AS534" s="54"/>
      <c r="AT534" s="54"/>
      <c r="AU534" s="34"/>
      <c r="AV534" s="34"/>
      <c r="AW534" s="34"/>
      <c r="AX534" s="34"/>
      <c r="AY534" s="34"/>
      <c r="AZ534" s="44"/>
      <c r="BA534" s="34"/>
      <c r="BB534" s="34"/>
    </row>
    <row r="535" spans="1:54" x14ac:dyDescent="0.35" ht="15.0" customHeight="true">
      <c r="A535" s="51"/>
      <c r="B535" s="34"/>
      <c r="C535" s="34"/>
      <c r="D535" s="34"/>
      <c r="E535" s="34"/>
      <c r="F535" s="34"/>
      <c r="G535" s="44"/>
      <c r="H535" s="34"/>
      <c r="I535" s="54"/>
      <c r="J535" s="34"/>
      <c r="K535" s="54"/>
      <c r="L535" s="34"/>
      <c r="M535" s="44"/>
      <c r="N535" s="44"/>
      <c r="O535" s="34"/>
      <c r="P535" s="34"/>
      <c r="Q535" s="34"/>
      <c r="R535" s="34"/>
      <c r="U535" s="44"/>
      <c r="W535" s="95"/>
      <c r="X535" s="54"/>
      <c r="Y535" s="54"/>
      <c r="Z535" s="34"/>
      <c r="AA535" s="34"/>
      <c r="AB535" s="34"/>
      <c r="AC535" s="34"/>
      <c r="AD535" s="34"/>
      <c r="AE535" s="34"/>
      <c r="AF535" s="34"/>
      <c r="AG535" s="34"/>
      <c r="AH535" s="52"/>
      <c r="AI535" s="52"/>
      <c r="AK535" s="34"/>
      <c r="AL535" s="34"/>
      <c r="AM535" s="34"/>
      <c r="AN535" s="54"/>
      <c r="AO535" s="34"/>
      <c r="AP535" s="34"/>
      <c r="AQ535" s="54"/>
      <c r="AR535" s="54"/>
      <c r="AS535" s="54"/>
      <c r="AT535" s="54"/>
      <c r="AU535" s="34"/>
      <c r="AV535" s="34"/>
      <c r="AW535" s="34"/>
      <c r="AX535" s="34"/>
      <c r="AY535" s="34"/>
      <c r="AZ535" s="44"/>
      <c r="BA535" s="34"/>
      <c r="BB535" s="34"/>
    </row>
    <row r="536" spans="1:54" x14ac:dyDescent="0.35" ht="15.0" customHeight="true">
      <c r="A536" s="51"/>
      <c r="B536" s="34"/>
      <c r="C536" s="34"/>
      <c r="D536" s="34"/>
      <c r="E536" s="34"/>
      <c r="F536" s="34"/>
      <c r="G536" s="44"/>
      <c r="H536" s="34"/>
      <c r="I536" s="54"/>
      <c r="J536" s="34"/>
      <c r="K536" s="54"/>
      <c r="L536" s="34"/>
      <c r="M536" s="44"/>
      <c r="N536" s="44"/>
      <c r="O536" s="34"/>
      <c r="P536" s="34"/>
      <c r="Q536" s="34"/>
      <c r="R536" s="34"/>
      <c r="U536" s="44"/>
      <c r="W536" s="95"/>
      <c r="X536" s="54"/>
      <c r="Y536" s="54"/>
      <c r="Z536" s="34"/>
      <c r="AA536" s="34"/>
      <c r="AB536" s="34"/>
      <c r="AC536" s="34"/>
      <c r="AD536" s="34"/>
      <c r="AE536" s="34"/>
      <c r="AF536" s="34"/>
      <c r="AG536" s="34"/>
      <c r="AH536" s="52"/>
      <c r="AI536" s="52"/>
      <c r="AK536" s="34"/>
      <c r="AL536" s="34"/>
      <c r="AM536" s="34"/>
      <c r="AN536" s="54"/>
      <c r="AO536" s="34"/>
      <c r="AP536" s="34"/>
      <c r="AQ536" s="54"/>
      <c r="AR536" s="54"/>
      <c r="AS536" s="54"/>
      <c r="AT536" s="54"/>
      <c r="AU536" s="34"/>
      <c r="AV536" s="34"/>
      <c r="AW536" s="34"/>
      <c r="AX536" s="34"/>
      <c r="AY536" s="34"/>
      <c r="AZ536" s="44"/>
      <c r="BA536" s="34"/>
      <c r="BB536" s="34"/>
    </row>
    <row r="537" spans="1:54" x14ac:dyDescent="0.35" ht="15.0" customHeight="true">
      <c r="A537" s="51"/>
      <c r="B537" s="34"/>
      <c r="C537" s="34"/>
      <c r="D537" s="34"/>
      <c r="E537" s="34"/>
      <c r="F537" s="34"/>
      <c r="G537" s="44"/>
      <c r="H537" s="34"/>
      <c r="I537" s="54"/>
      <c r="J537" s="34"/>
      <c r="K537" s="54"/>
      <c r="L537" s="34"/>
      <c r="M537" s="44"/>
      <c r="N537" s="44"/>
      <c r="O537" s="34"/>
      <c r="P537" s="34"/>
      <c r="Q537" s="34"/>
      <c r="R537" s="34"/>
      <c r="U537" s="44"/>
      <c r="W537" s="95"/>
      <c r="X537" s="54"/>
      <c r="Y537" s="54"/>
      <c r="Z537" s="34"/>
      <c r="AA537" s="34"/>
      <c r="AB537" s="34"/>
      <c r="AC537" s="34"/>
      <c r="AD537" s="34"/>
      <c r="AE537" s="34"/>
      <c r="AF537" s="34"/>
      <c r="AG537" s="34"/>
      <c r="AH537" s="52"/>
      <c r="AI537" s="52"/>
      <c r="AK537" s="34"/>
      <c r="AL537" s="34"/>
      <c r="AM537" s="34"/>
      <c r="AN537" s="54"/>
      <c r="AO537" s="34"/>
      <c r="AP537" s="34"/>
      <c r="AQ537" s="54"/>
      <c r="AR537" s="54"/>
      <c r="AS537" s="54"/>
      <c r="AT537" s="54"/>
      <c r="AU537" s="34"/>
      <c r="AV537" s="34"/>
      <c r="AW537" s="34"/>
      <c r="AX537" s="34"/>
      <c r="AY537" s="34"/>
      <c r="AZ537" s="44"/>
      <c r="BA537" s="34"/>
      <c r="BB537" s="34"/>
    </row>
    <row r="538" spans="1:54" x14ac:dyDescent="0.35" ht="15.0" customHeight="true">
      <c r="A538" s="51"/>
      <c r="B538" s="34"/>
      <c r="C538" s="34"/>
      <c r="D538" s="34"/>
      <c r="E538" s="34"/>
      <c r="F538" s="34"/>
      <c r="G538" s="44"/>
      <c r="H538" s="34"/>
      <c r="I538" s="54"/>
      <c r="J538" s="34"/>
      <c r="K538" s="54"/>
      <c r="L538" s="34"/>
      <c r="M538" s="44"/>
      <c r="N538" s="44"/>
      <c r="O538" s="34"/>
      <c r="P538" s="34"/>
      <c r="Q538" s="34"/>
      <c r="R538" s="34"/>
      <c r="U538" s="44"/>
      <c r="W538" s="95"/>
      <c r="X538" s="54"/>
      <c r="Y538" s="54"/>
      <c r="Z538" s="34"/>
      <c r="AA538" s="34"/>
      <c r="AB538" s="34"/>
      <c r="AC538" s="34"/>
      <c r="AD538" s="34"/>
      <c r="AE538" s="34"/>
      <c r="AF538" s="34"/>
      <c r="AG538" s="34"/>
      <c r="AH538" s="52"/>
      <c r="AI538" s="52"/>
      <c r="AK538" s="34"/>
      <c r="AL538" s="34"/>
      <c r="AM538" s="34"/>
      <c r="AN538" s="54"/>
      <c r="AO538" s="34"/>
      <c r="AP538" s="34"/>
      <c r="AQ538" s="54"/>
      <c r="AR538" s="54"/>
      <c r="AS538" s="54"/>
      <c r="AT538" s="54"/>
      <c r="AU538" s="34"/>
      <c r="AV538" s="34"/>
      <c r="AW538" s="34"/>
      <c r="AX538" s="34"/>
      <c r="AY538" s="34"/>
      <c r="AZ538" s="44"/>
      <c r="BA538" s="34"/>
      <c r="BB538" s="34"/>
    </row>
    <row r="539" spans="1:54" x14ac:dyDescent="0.35" ht="15.0" customHeight="true">
      <c r="A539" s="51"/>
      <c r="B539" s="34"/>
      <c r="C539" s="34"/>
      <c r="D539" s="34"/>
      <c r="E539" s="34"/>
      <c r="F539" s="34"/>
      <c r="G539" s="44"/>
      <c r="H539" s="34"/>
      <c r="I539" s="54"/>
      <c r="J539" s="34"/>
      <c r="K539" s="54"/>
      <c r="L539" s="34"/>
      <c r="M539" s="44"/>
      <c r="N539" s="44"/>
      <c r="O539" s="34"/>
      <c r="P539" s="34"/>
      <c r="Q539" s="34"/>
      <c r="R539" s="34"/>
      <c r="U539" s="44"/>
      <c r="W539" s="95"/>
      <c r="X539" s="54"/>
      <c r="Y539" s="54"/>
      <c r="Z539" s="34"/>
      <c r="AA539" s="34"/>
      <c r="AB539" s="34"/>
      <c r="AC539" s="34"/>
      <c r="AD539" s="34"/>
      <c r="AE539" s="34"/>
      <c r="AF539" s="34"/>
      <c r="AG539" s="34"/>
      <c r="AH539" s="52"/>
      <c r="AI539" s="52"/>
      <c r="AK539" s="34"/>
      <c r="AL539" s="34"/>
      <c r="AM539" s="34"/>
      <c r="AN539" s="54"/>
      <c r="AO539" s="34"/>
      <c r="AP539" s="34"/>
      <c r="AQ539" s="54"/>
      <c r="AR539" s="54"/>
      <c r="AS539" s="54"/>
      <c r="AT539" s="54"/>
      <c r="AU539" s="34"/>
      <c r="AV539" s="34"/>
      <c r="AW539" s="34"/>
      <c r="AX539" s="34"/>
      <c r="AY539" s="34"/>
      <c r="AZ539" s="44"/>
      <c r="BA539" s="34"/>
      <c r="BB539" s="34"/>
    </row>
    <row r="540" spans="1:54" x14ac:dyDescent="0.35" ht="15.0" customHeight="true">
      <c r="A540" s="51"/>
      <c r="B540" s="34"/>
      <c r="C540" s="34"/>
      <c r="D540" s="34"/>
      <c r="E540" s="34"/>
      <c r="F540" s="34"/>
      <c r="G540" s="44"/>
      <c r="H540" s="34"/>
      <c r="I540" s="54"/>
      <c r="J540" s="34"/>
      <c r="K540" s="54"/>
      <c r="L540" s="34"/>
      <c r="M540" s="44"/>
      <c r="N540" s="44"/>
      <c r="O540" s="34"/>
      <c r="P540" s="34"/>
      <c r="Q540" s="34"/>
      <c r="R540" s="34"/>
      <c r="U540" s="44"/>
      <c r="W540" s="95"/>
      <c r="X540" s="54"/>
      <c r="Y540" s="54"/>
      <c r="Z540" s="34"/>
      <c r="AA540" s="34"/>
      <c r="AB540" s="34"/>
      <c r="AC540" s="34"/>
      <c r="AD540" s="34"/>
      <c r="AE540" s="34"/>
      <c r="AF540" s="34"/>
      <c r="AG540" s="34"/>
      <c r="AH540" s="52"/>
      <c r="AI540" s="52"/>
      <c r="AK540" s="34"/>
      <c r="AL540" s="34"/>
      <c r="AM540" s="34"/>
      <c r="AN540" s="54"/>
      <c r="AO540" s="34"/>
      <c r="AP540" s="34"/>
      <c r="AQ540" s="54"/>
      <c r="AR540" s="54"/>
      <c r="AS540" s="54"/>
      <c r="AT540" s="54"/>
      <c r="AU540" s="34"/>
      <c r="AV540" s="34"/>
      <c r="AW540" s="34"/>
      <c r="AX540" s="34"/>
      <c r="AY540" s="34"/>
      <c r="AZ540" s="44"/>
      <c r="BA540" s="34"/>
      <c r="BB540" s="34"/>
    </row>
    <row r="541" spans="1:54" x14ac:dyDescent="0.35" ht="15.0" customHeight="true">
      <c r="A541" s="51"/>
      <c r="B541" s="34"/>
      <c r="C541" s="34"/>
      <c r="D541" s="34"/>
      <c r="E541" s="34"/>
      <c r="F541" s="34"/>
      <c r="G541" s="44"/>
      <c r="H541" s="34"/>
      <c r="I541" s="54"/>
      <c r="J541" s="34"/>
      <c r="K541" s="54"/>
      <c r="L541" s="34"/>
      <c r="M541" s="44"/>
      <c r="N541" s="44"/>
      <c r="O541" s="34"/>
      <c r="P541" s="34"/>
      <c r="Q541" s="34"/>
      <c r="R541" s="34"/>
      <c r="U541" s="44"/>
      <c r="W541" s="95"/>
      <c r="X541" s="54"/>
      <c r="Y541" s="54"/>
      <c r="Z541" s="34"/>
      <c r="AA541" s="34"/>
      <c r="AB541" s="34"/>
      <c r="AC541" s="34"/>
      <c r="AD541" s="34"/>
      <c r="AE541" s="34"/>
      <c r="AF541" s="34"/>
      <c r="AG541" s="34"/>
      <c r="AH541" s="52"/>
      <c r="AI541" s="52"/>
      <c r="AK541" s="34"/>
      <c r="AL541" s="34"/>
      <c r="AM541" s="34"/>
      <c r="AN541" s="54"/>
      <c r="AO541" s="34"/>
      <c r="AP541" s="34"/>
      <c r="AQ541" s="54"/>
      <c r="AR541" s="54"/>
      <c r="AS541" s="54"/>
      <c r="AT541" s="54"/>
      <c r="AU541" s="34"/>
      <c r="AV541" s="34"/>
      <c r="AW541" s="34"/>
      <c r="AX541" s="34"/>
      <c r="AY541" s="34"/>
      <c r="AZ541" s="44"/>
      <c r="BA541" s="34"/>
      <c r="BB541" s="34"/>
    </row>
    <row r="542" spans="1:54" x14ac:dyDescent="0.35" ht="15.0" customHeight="true">
      <c r="A542" s="51"/>
      <c r="B542" s="34"/>
      <c r="C542" s="34"/>
      <c r="D542" s="34"/>
      <c r="E542" s="34"/>
      <c r="F542" s="34"/>
      <c r="G542" s="44"/>
      <c r="H542" s="34"/>
      <c r="I542" s="54"/>
      <c r="J542" s="34"/>
      <c r="K542" s="54"/>
      <c r="L542" s="34"/>
      <c r="M542" s="44"/>
      <c r="N542" s="44"/>
      <c r="O542" s="34"/>
      <c r="P542" s="34"/>
      <c r="Q542" s="34"/>
      <c r="R542" s="34"/>
      <c r="U542" s="44"/>
      <c r="W542" s="95"/>
      <c r="X542" s="54"/>
      <c r="Y542" s="54"/>
      <c r="Z542" s="34"/>
      <c r="AA542" s="34"/>
      <c r="AB542" s="34"/>
      <c r="AC542" s="34"/>
      <c r="AD542" s="34"/>
      <c r="AE542" s="34"/>
      <c r="AF542" s="34"/>
      <c r="AG542" s="34"/>
      <c r="AH542" s="52"/>
      <c r="AI542" s="52"/>
      <c r="AK542" s="34"/>
      <c r="AL542" s="34"/>
      <c r="AM542" s="34"/>
      <c r="AN542" s="54"/>
      <c r="AO542" s="34"/>
      <c r="AP542" s="34"/>
      <c r="AQ542" s="54"/>
      <c r="AR542" s="54"/>
      <c r="AS542" s="54"/>
      <c r="AT542" s="54"/>
      <c r="AU542" s="34"/>
      <c r="AV542" s="34"/>
      <c r="AW542" s="34"/>
      <c r="AX542" s="34"/>
      <c r="AY542" s="34"/>
      <c r="AZ542" s="44"/>
      <c r="BA542" s="34"/>
      <c r="BB542" s="34"/>
    </row>
    <row r="543" spans="1:54" x14ac:dyDescent="0.35" ht="15.0" customHeight="true">
      <c r="A543" s="51"/>
      <c r="B543" s="34"/>
      <c r="C543" s="34"/>
      <c r="D543" s="34"/>
      <c r="E543" s="34"/>
      <c r="F543" s="34"/>
      <c r="G543" s="44"/>
      <c r="H543" s="34"/>
      <c r="I543" s="54"/>
      <c r="J543" s="34"/>
      <c r="K543" s="54"/>
      <c r="L543" s="34"/>
      <c r="M543" s="44"/>
      <c r="N543" s="44"/>
      <c r="O543" s="34"/>
      <c r="P543" s="34"/>
      <c r="Q543" s="34"/>
      <c r="R543" s="34"/>
      <c r="U543" s="44"/>
      <c r="W543" s="95"/>
      <c r="X543" s="54"/>
      <c r="Y543" s="54"/>
      <c r="Z543" s="34"/>
      <c r="AA543" s="34"/>
      <c r="AB543" s="34"/>
      <c r="AC543" s="34"/>
      <c r="AD543" s="34"/>
      <c r="AE543" s="34"/>
      <c r="AF543" s="34"/>
      <c r="AG543" s="34"/>
      <c r="AH543" s="52"/>
      <c r="AI543" s="52"/>
      <c r="AK543" s="34"/>
      <c r="AL543" s="34"/>
      <c r="AM543" s="34"/>
      <c r="AN543" s="54"/>
      <c r="AO543" s="34"/>
      <c r="AP543" s="34"/>
      <c r="AQ543" s="54"/>
      <c r="AR543" s="54"/>
      <c r="AS543" s="54"/>
      <c r="AT543" s="54"/>
      <c r="AU543" s="34"/>
      <c r="AV543" s="34"/>
      <c r="AW543" s="34"/>
      <c r="AX543" s="34"/>
      <c r="AY543" s="34"/>
      <c r="AZ543" s="44"/>
      <c r="BA543" s="34"/>
      <c r="BB543" s="34"/>
    </row>
    <row r="544" spans="1:54" x14ac:dyDescent="0.35" ht="15.0" customHeight="true">
      <c r="A544" s="51"/>
      <c r="B544" s="34"/>
      <c r="C544" s="34"/>
      <c r="D544" s="34"/>
      <c r="E544" s="34"/>
      <c r="F544" s="34"/>
      <c r="G544" s="44"/>
      <c r="H544" s="34"/>
      <c r="I544" s="54"/>
      <c r="J544" s="34"/>
      <c r="K544" s="54"/>
      <c r="L544" s="34"/>
      <c r="M544" s="44"/>
      <c r="N544" s="44"/>
      <c r="O544" s="34"/>
      <c r="P544" s="34"/>
      <c r="Q544" s="34"/>
      <c r="R544" s="34"/>
      <c r="U544" s="44"/>
      <c r="W544" s="95"/>
      <c r="X544" s="54"/>
      <c r="Y544" s="54"/>
      <c r="Z544" s="34"/>
      <c r="AA544" s="34"/>
      <c r="AB544" s="34"/>
      <c r="AC544" s="34"/>
      <c r="AD544" s="34"/>
      <c r="AE544" s="34"/>
      <c r="AF544" s="34"/>
      <c r="AG544" s="34"/>
      <c r="AH544" s="52"/>
      <c r="AI544" s="52"/>
      <c r="AK544" s="34"/>
      <c r="AL544" s="34"/>
      <c r="AM544" s="34"/>
      <c r="AN544" s="54"/>
      <c r="AO544" s="34"/>
      <c r="AP544" s="34"/>
      <c r="AQ544" s="54"/>
      <c r="AR544" s="54"/>
      <c r="AS544" s="54"/>
      <c r="AT544" s="54"/>
      <c r="AU544" s="34"/>
      <c r="AV544" s="34"/>
      <c r="AW544" s="34"/>
      <c r="AX544" s="34"/>
      <c r="AY544" s="34"/>
      <c r="AZ544" s="44"/>
      <c r="BA544" s="34"/>
      <c r="BB544" s="34"/>
    </row>
    <row r="545" spans="1:54" x14ac:dyDescent="0.35" ht="15.0" customHeight="true">
      <c r="A545" s="51"/>
      <c r="B545" s="34"/>
      <c r="C545" s="34"/>
      <c r="D545" s="34"/>
      <c r="E545" s="34"/>
      <c r="F545" s="34"/>
      <c r="G545" s="44"/>
      <c r="H545" s="34"/>
      <c r="I545" s="54"/>
      <c r="J545" s="34"/>
      <c r="K545" s="54"/>
      <c r="L545" s="34"/>
      <c r="M545" s="44"/>
      <c r="N545" s="44"/>
      <c r="O545" s="34"/>
      <c r="P545" s="34"/>
      <c r="Q545" s="34"/>
      <c r="R545" s="34"/>
      <c r="U545" s="44"/>
      <c r="W545" s="95"/>
      <c r="X545" s="54"/>
      <c r="Y545" s="54"/>
      <c r="Z545" s="34"/>
      <c r="AA545" s="34"/>
      <c r="AB545" s="34"/>
      <c r="AC545" s="34"/>
      <c r="AD545" s="34"/>
      <c r="AE545" s="34"/>
      <c r="AF545" s="34"/>
      <c r="AG545" s="34"/>
      <c r="AH545" s="52"/>
      <c r="AI545" s="52"/>
      <c r="AK545" s="34"/>
      <c r="AL545" s="34"/>
      <c r="AM545" s="34"/>
      <c r="AN545" s="54"/>
      <c r="AO545" s="34"/>
      <c r="AP545" s="34"/>
      <c r="AQ545" s="54"/>
      <c r="AR545" s="54"/>
      <c r="AS545" s="54"/>
      <c r="AT545" s="54"/>
      <c r="AU545" s="34"/>
      <c r="AV545" s="34"/>
      <c r="AW545" s="34"/>
      <c r="AX545" s="34"/>
      <c r="AY545" s="34"/>
      <c r="AZ545" s="44"/>
      <c r="BA545" s="34"/>
      <c r="BB545" s="34"/>
    </row>
    <row r="546" spans="1:54" x14ac:dyDescent="0.35" ht="15.0" customHeight="true">
      <c r="A546" s="51"/>
      <c r="B546" s="34"/>
      <c r="C546" s="34"/>
      <c r="D546" s="34"/>
      <c r="E546" s="34"/>
      <c r="F546" s="34"/>
      <c r="G546" s="44"/>
      <c r="H546" s="34"/>
      <c r="I546" s="54"/>
      <c r="J546" s="34"/>
      <c r="K546" s="54"/>
      <c r="L546" s="34"/>
      <c r="M546" s="44"/>
      <c r="N546" s="44"/>
      <c r="O546" s="34"/>
      <c r="P546" s="34"/>
      <c r="Q546" s="34"/>
      <c r="R546" s="34"/>
      <c r="U546" s="44"/>
      <c r="W546" s="95"/>
      <c r="X546" s="54"/>
      <c r="Y546" s="54"/>
      <c r="Z546" s="34"/>
      <c r="AA546" s="34"/>
      <c r="AB546" s="34"/>
      <c r="AC546" s="34"/>
      <c r="AD546" s="34"/>
      <c r="AE546" s="34"/>
      <c r="AF546" s="34"/>
      <c r="AG546" s="34"/>
      <c r="AH546" s="52"/>
      <c r="AI546" s="52"/>
      <c r="AK546" s="34"/>
      <c r="AL546" s="34"/>
      <c r="AM546" s="34"/>
      <c r="AN546" s="54"/>
      <c r="AO546" s="34"/>
      <c r="AP546" s="34"/>
      <c r="AQ546" s="54"/>
      <c r="AR546" s="54"/>
      <c r="AS546" s="54"/>
      <c r="AT546" s="54"/>
      <c r="AU546" s="34"/>
      <c r="AV546" s="34"/>
      <c r="AW546" s="34"/>
      <c r="AX546" s="34"/>
      <c r="AY546" s="34"/>
      <c r="AZ546" s="44"/>
      <c r="BA546" s="34"/>
      <c r="BB546" s="34"/>
    </row>
    <row r="547" spans="1:54" x14ac:dyDescent="0.35" ht="15.0" customHeight="true">
      <c r="A547" s="51"/>
      <c r="B547" s="34"/>
      <c r="C547" s="34"/>
      <c r="D547" s="34"/>
      <c r="E547" s="34"/>
      <c r="F547" s="34"/>
      <c r="G547" s="44"/>
      <c r="H547" s="34"/>
      <c r="I547" s="54"/>
      <c r="J547" s="34"/>
      <c r="K547" s="54"/>
      <c r="L547" s="34"/>
      <c r="M547" s="44"/>
      <c r="N547" s="44"/>
      <c r="O547" s="34"/>
      <c r="P547" s="34"/>
      <c r="Q547" s="34"/>
      <c r="R547" s="34"/>
      <c r="U547" s="44"/>
      <c r="W547" s="95"/>
      <c r="X547" s="54"/>
      <c r="Y547" s="54"/>
      <c r="Z547" s="34"/>
      <c r="AA547" s="34"/>
      <c r="AB547" s="34"/>
      <c r="AC547" s="34"/>
      <c r="AD547" s="34"/>
      <c r="AE547" s="34"/>
      <c r="AF547" s="34"/>
      <c r="AG547" s="34"/>
      <c r="AH547" s="52"/>
      <c r="AI547" s="52"/>
      <c r="AK547" s="34"/>
      <c r="AL547" s="34"/>
      <c r="AM547" s="34"/>
      <c r="AN547" s="54"/>
      <c r="AO547" s="34"/>
      <c r="AP547" s="34"/>
      <c r="AQ547" s="54"/>
      <c r="AR547" s="54"/>
      <c r="AS547" s="54"/>
      <c r="AT547" s="54"/>
      <c r="AU547" s="34"/>
      <c r="AV547" s="34"/>
      <c r="AW547" s="34"/>
      <c r="AX547" s="34"/>
      <c r="AY547" s="34"/>
      <c r="AZ547" s="44"/>
      <c r="BA547" s="34"/>
      <c r="BB547" s="34"/>
    </row>
    <row r="548" spans="1:54" x14ac:dyDescent="0.35" ht="15.0" customHeight="true">
      <c r="A548" s="51"/>
      <c r="B548" s="34"/>
      <c r="C548" s="34"/>
      <c r="D548" s="34"/>
      <c r="E548" s="34"/>
      <c r="F548" s="34"/>
      <c r="G548" s="44"/>
      <c r="H548" s="34"/>
      <c r="I548" s="54"/>
      <c r="J548" s="34"/>
      <c r="K548" s="54"/>
      <c r="L548" s="34"/>
      <c r="M548" s="44"/>
      <c r="N548" s="44"/>
      <c r="O548" s="34"/>
      <c r="P548" s="34"/>
      <c r="Q548" s="34"/>
      <c r="R548" s="34"/>
      <c r="U548" s="44"/>
      <c r="W548" s="95"/>
      <c r="X548" s="54"/>
      <c r="Y548" s="54"/>
      <c r="Z548" s="34"/>
      <c r="AA548" s="34"/>
      <c r="AB548" s="34"/>
      <c r="AC548" s="34"/>
      <c r="AD548" s="34"/>
      <c r="AE548" s="34"/>
      <c r="AF548" s="34"/>
      <c r="AG548" s="34"/>
      <c r="AH548" s="52"/>
      <c r="AI548" s="52"/>
      <c r="AK548" s="34"/>
      <c r="AL548" s="34"/>
      <c r="AM548" s="34"/>
      <c r="AN548" s="54"/>
      <c r="AO548" s="34"/>
      <c r="AP548" s="34"/>
      <c r="AQ548" s="54"/>
      <c r="AR548" s="54"/>
      <c r="AS548" s="54"/>
      <c r="AT548" s="54"/>
      <c r="AU548" s="34"/>
      <c r="AV548" s="34"/>
      <c r="AW548" s="34"/>
      <c r="AX548" s="34"/>
      <c r="AY548" s="34"/>
      <c r="AZ548" s="44"/>
      <c r="BA548" s="34"/>
      <c r="BB548" s="34"/>
    </row>
    <row r="549" spans="1:54" x14ac:dyDescent="0.35" ht="15.0" customHeight="true">
      <c r="A549" s="51"/>
      <c r="B549" s="34"/>
      <c r="C549" s="34"/>
      <c r="D549" s="34"/>
      <c r="E549" s="34"/>
      <c r="F549" s="34"/>
      <c r="G549" s="44"/>
      <c r="H549" s="34"/>
      <c r="I549" s="54"/>
      <c r="J549" s="34"/>
      <c r="K549" s="54"/>
      <c r="L549" s="34"/>
      <c r="M549" s="44"/>
      <c r="N549" s="44"/>
      <c r="O549" s="34"/>
      <c r="P549" s="34"/>
      <c r="Q549" s="34"/>
      <c r="R549" s="34"/>
      <c r="U549" s="44"/>
      <c r="W549" s="95"/>
      <c r="X549" s="54"/>
      <c r="Y549" s="54"/>
      <c r="Z549" s="34"/>
      <c r="AA549" s="34"/>
      <c r="AB549" s="34"/>
      <c r="AC549" s="34"/>
      <c r="AD549" s="34"/>
      <c r="AE549" s="34"/>
      <c r="AF549" s="34"/>
      <c r="AG549" s="34"/>
      <c r="AH549" s="52"/>
      <c r="AI549" s="52"/>
      <c r="AK549" s="34"/>
      <c r="AL549" s="34"/>
      <c r="AM549" s="34"/>
      <c r="AN549" s="54"/>
      <c r="AO549" s="34"/>
      <c r="AP549" s="34"/>
      <c r="AQ549" s="54"/>
      <c r="AR549" s="54"/>
      <c r="AS549" s="54"/>
      <c r="AT549" s="54"/>
      <c r="AU549" s="34"/>
      <c r="AV549" s="34"/>
      <c r="AW549" s="34"/>
      <c r="AX549" s="34"/>
      <c r="AY549" s="34"/>
      <c r="AZ549" s="44"/>
      <c r="BA549" s="34"/>
      <c r="BB549" s="34"/>
    </row>
    <row r="550" spans="1:54" x14ac:dyDescent="0.35" ht="15.0" customHeight="true">
      <c r="A550" s="51"/>
      <c r="B550" s="34"/>
      <c r="C550" s="34"/>
      <c r="D550" s="34"/>
      <c r="E550" s="34"/>
      <c r="F550" s="34"/>
      <c r="G550" s="44"/>
      <c r="H550" s="34"/>
      <c r="I550" s="54"/>
      <c r="J550" s="34"/>
      <c r="K550" s="54"/>
      <c r="L550" s="34"/>
      <c r="M550" s="44"/>
      <c r="N550" s="44"/>
      <c r="O550" s="34"/>
      <c r="P550" s="34"/>
      <c r="Q550" s="34"/>
      <c r="R550" s="34"/>
      <c r="U550" s="44"/>
      <c r="W550" s="95"/>
      <c r="X550" s="54"/>
      <c r="Y550" s="54"/>
      <c r="Z550" s="34"/>
      <c r="AA550" s="34"/>
      <c r="AB550" s="34"/>
      <c r="AC550" s="34"/>
      <c r="AD550" s="34"/>
      <c r="AE550" s="34"/>
      <c r="AF550" s="34"/>
      <c r="AG550" s="34"/>
      <c r="AH550" s="52"/>
      <c r="AI550" s="52"/>
      <c r="AK550" s="34"/>
      <c r="AL550" s="34"/>
      <c r="AM550" s="34"/>
      <c r="AN550" s="54"/>
      <c r="AO550" s="34"/>
      <c r="AP550" s="34"/>
      <c r="AQ550" s="54"/>
      <c r="AR550" s="54"/>
      <c r="AS550" s="54"/>
      <c r="AT550" s="54"/>
      <c r="AU550" s="34"/>
      <c r="AV550" s="34"/>
      <c r="AW550" s="34"/>
      <c r="AX550" s="34"/>
      <c r="AY550" s="34"/>
      <c r="AZ550" s="44"/>
      <c r="BA550" s="34"/>
      <c r="BB550" s="34"/>
    </row>
    <row r="551" spans="1:54" x14ac:dyDescent="0.35" ht="15.0" customHeight="true">
      <c r="A551" s="51"/>
      <c r="B551" s="34"/>
      <c r="C551" s="34"/>
      <c r="D551" s="34"/>
      <c r="E551" s="34"/>
      <c r="F551" s="34"/>
      <c r="G551" s="44"/>
      <c r="H551" s="34"/>
      <c r="I551" s="54"/>
      <c r="J551" s="34"/>
      <c r="K551" s="54"/>
      <c r="L551" s="34"/>
      <c r="M551" s="44"/>
      <c r="N551" s="44"/>
      <c r="O551" s="34"/>
      <c r="P551" s="34"/>
      <c r="Q551" s="34"/>
      <c r="R551" s="34"/>
      <c r="U551" s="44"/>
      <c r="W551" s="95"/>
      <c r="X551" s="54"/>
      <c r="Y551" s="54"/>
      <c r="Z551" s="34"/>
      <c r="AA551" s="34"/>
      <c r="AB551" s="34"/>
      <c r="AC551" s="34"/>
      <c r="AD551" s="34"/>
      <c r="AE551" s="34"/>
      <c r="AF551" s="34"/>
      <c r="AG551" s="34"/>
      <c r="AH551" s="52"/>
      <c r="AI551" s="52"/>
      <c r="AK551" s="34"/>
      <c r="AL551" s="34"/>
      <c r="AM551" s="34"/>
      <c r="AN551" s="54"/>
      <c r="AO551" s="34"/>
      <c r="AP551" s="34"/>
      <c r="AQ551" s="54"/>
      <c r="AR551" s="54"/>
      <c r="AS551" s="54"/>
      <c r="AT551" s="54"/>
      <c r="AU551" s="34"/>
      <c r="AV551" s="34"/>
      <c r="AW551" s="34"/>
      <c r="AX551" s="34"/>
      <c r="AY551" s="34"/>
      <c r="AZ551" s="44"/>
      <c r="BA551" s="34"/>
      <c r="BB551" s="34"/>
    </row>
    <row r="552" spans="1:54" x14ac:dyDescent="0.35" ht="15.0" customHeight="true">
      <c r="A552" s="51"/>
      <c r="B552" s="34"/>
      <c r="C552" s="34"/>
      <c r="D552" s="34"/>
      <c r="E552" s="34"/>
      <c r="F552" s="34"/>
      <c r="G552" s="44"/>
      <c r="H552" s="34"/>
      <c r="I552" s="54"/>
      <c r="J552" s="34"/>
      <c r="K552" s="54"/>
      <c r="L552" s="34"/>
      <c r="M552" s="44"/>
      <c r="N552" s="44"/>
      <c r="O552" s="34"/>
      <c r="P552" s="34"/>
      <c r="Q552" s="34"/>
      <c r="R552" s="34"/>
      <c r="U552" s="44"/>
      <c r="W552" s="95"/>
      <c r="X552" s="54"/>
      <c r="Y552" s="54"/>
      <c r="Z552" s="34"/>
      <c r="AA552" s="34"/>
      <c r="AB552" s="34"/>
      <c r="AC552" s="34"/>
      <c r="AD552" s="34"/>
      <c r="AE552" s="34"/>
      <c r="AF552" s="34"/>
      <c r="AG552" s="34"/>
      <c r="AH552" s="52"/>
      <c r="AI552" s="52"/>
      <c r="AK552" s="34"/>
      <c r="AL552" s="34"/>
      <c r="AM552" s="34"/>
      <c r="AN552" s="54"/>
      <c r="AO552" s="34"/>
      <c r="AP552" s="34"/>
      <c r="AQ552" s="54"/>
      <c r="AR552" s="54"/>
      <c r="AS552" s="54"/>
      <c r="AT552" s="54"/>
      <c r="AU552" s="34"/>
      <c r="AV552" s="34"/>
      <c r="AW552" s="34"/>
      <c r="AX552" s="34"/>
      <c r="AY552" s="34"/>
      <c r="AZ552" s="44"/>
      <c r="BA552" s="34"/>
      <c r="BB552" s="34"/>
    </row>
    <row r="553" spans="1:54" x14ac:dyDescent="0.35" ht="15.0" customHeight="true">
      <c r="A553" s="51"/>
      <c r="B553" s="34"/>
      <c r="C553" s="34"/>
      <c r="D553" s="34"/>
      <c r="E553" s="34"/>
      <c r="F553" s="34"/>
      <c r="G553" s="44"/>
      <c r="H553" s="34"/>
      <c r="I553" s="54"/>
      <c r="J553" s="34"/>
      <c r="K553" s="54"/>
      <c r="L553" s="34"/>
      <c r="M553" s="44"/>
      <c r="N553" s="44"/>
      <c r="O553" s="34"/>
      <c r="P553" s="34"/>
      <c r="Q553" s="34"/>
      <c r="R553" s="34"/>
      <c r="U553" s="44"/>
      <c r="W553" s="95"/>
      <c r="X553" s="54"/>
      <c r="Y553" s="54"/>
      <c r="Z553" s="34"/>
      <c r="AA553" s="34"/>
      <c r="AB553" s="34"/>
      <c r="AC553" s="34"/>
      <c r="AD553" s="34"/>
      <c r="AE553" s="34"/>
      <c r="AF553" s="34"/>
      <c r="AG553" s="34"/>
      <c r="AH553" s="52"/>
      <c r="AI553" s="52"/>
      <c r="AK553" s="34"/>
      <c r="AL553" s="34"/>
      <c r="AM553" s="34"/>
      <c r="AN553" s="54"/>
      <c r="AO553" s="34"/>
      <c r="AP553" s="34"/>
      <c r="AQ553" s="54"/>
      <c r="AR553" s="54"/>
      <c r="AS553" s="54"/>
      <c r="AT553" s="54"/>
      <c r="AU553" s="34"/>
      <c r="AV553" s="34"/>
      <c r="AW553" s="34"/>
      <c r="AX553" s="34"/>
      <c r="AY553" s="34"/>
      <c r="AZ553" s="44"/>
      <c r="BA553" s="34"/>
      <c r="BB553" s="34"/>
    </row>
    <row r="554" spans="1:54" x14ac:dyDescent="0.35" ht="15.0" customHeight="true">
      <c r="A554" s="51"/>
      <c r="B554" s="34"/>
      <c r="C554" s="34"/>
      <c r="D554" s="34"/>
      <c r="E554" s="34"/>
      <c r="F554" s="34"/>
      <c r="G554" s="44"/>
      <c r="H554" s="34"/>
      <c r="I554" s="54"/>
      <c r="J554" s="34"/>
      <c r="K554" s="54"/>
      <c r="L554" s="34"/>
      <c r="M554" s="44"/>
      <c r="N554" s="44"/>
      <c r="O554" s="34"/>
      <c r="P554" s="34"/>
      <c r="Q554" s="34"/>
      <c r="R554" s="34"/>
      <c r="U554" s="44"/>
      <c r="W554" s="95"/>
      <c r="X554" s="54"/>
      <c r="Y554" s="54"/>
      <c r="Z554" s="34"/>
      <c r="AA554" s="34"/>
      <c r="AB554" s="34"/>
      <c r="AC554" s="34"/>
      <c r="AD554" s="34"/>
      <c r="AE554" s="34"/>
      <c r="AF554" s="34"/>
      <c r="AG554" s="34"/>
      <c r="AH554" s="52"/>
      <c r="AI554" s="52"/>
      <c r="AK554" s="34"/>
      <c r="AL554" s="34"/>
      <c r="AM554" s="34"/>
      <c r="AN554" s="54"/>
      <c r="AO554" s="34"/>
      <c r="AP554" s="34"/>
      <c r="AQ554" s="54"/>
      <c r="AR554" s="54"/>
      <c r="AS554" s="54"/>
      <c r="AT554" s="54"/>
      <c r="AU554" s="34"/>
      <c r="AV554" s="34"/>
      <c r="AW554" s="34"/>
      <c r="AX554" s="34"/>
      <c r="AY554" s="34"/>
      <c r="AZ554" s="44"/>
      <c r="BA554" s="34"/>
      <c r="BB554" s="34"/>
    </row>
    <row r="555" spans="1:54" x14ac:dyDescent="0.35" ht="15.0" customHeight="true">
      <c r="A555" s="51"/>
      <c r="B555" s="34"/>
      <c r="C555" s="34"/>
      <c r="D555" s="34"/>
      <c r="E555" s="34"/>
      <c r="F555" s="34"/>
      <c r="G555" s="44"/>
      <c r="H555" s="34"/>
      <c r="I555" s="54"/>
      <c r="J555" s="34"/>
      <c r="K555" s="54"/>
      <c r="L555" s="34"/>
      <c r="M555" s="44"/>
      <c r="N555" s="44"/>
      <c r="O555" s="34"/>
      <c r="P555" s="34"/>
      <c r="Q555" s="34"/>
      <c r="R555" s="34"/>
      <c r="U555" s="44"/>
      <c r="W555" s="95"/>
      <c r="X555" s="54"/>
      <c r="Y555" s="54"/>
      <c r="Z555" s="34"/>
      <c r="AA555" s="34"/>
      <c r="AB555" s="34"/>
      <c r="AC555" s="34"/>
      <c r="AD555" s="34"/>
      <c r="AE555" s="34"/>
      <c r="AF555" s="34"/>
      <c r="AG555" s="34"/>
      <c r="AH555" s="52"/>
      <c r="AI555" s="52"/>
      <c r="AK555" s="34"/>
      <c r="AL555" s="34"/>
      <c r="AM555" s="34"/>
      <c r="AN555" s="54"/>
      <c r="AO555" s="34"/>
      <c r="AP555" s="34"/>
      <c r="AQ555" s="54"/>
      <c r="AR555" s="54"/>
      <c r="AS555" s="54"/>
      <c r="AT555" s="54"/>
      <c r="AU555" s="34"/>
      <c r="AV555" s="34"/>
      <c r="AW555" s="34"/>
      <c r="AX555" s="34"/>
      <c r="AY555" s="34"/>
      <c r="AZ555" s="44"/>
      <c r="BA555" s="34"/>
      <c r="BB555" s="34"/>
    </row>
    <row r="556" spans="1:54" x14ac:dyDescent="0.35" ht="15.0" customHeight="true">
      <c r="A556" s="51"/>
      <c r="B556" s="34"/>
      <c r="C556" s="34"/>
      <c r="D556" s="34"/>
      <c r="E556" s="34"/>
      <c r="F556" s="34"/>
      <c r="G556" s="44"/>
      <c r="H556" s="34"/>
      <c r="I556" s="54"/>
      <c r="J556" s="34"/>
      <c r="K556" s="54"/>
      <c r="L556" s="34"/>
      <c r="M556" s="44"/>
      <c r="N556" s="44"/>
      <c r="O556" s="34"/>
      <c r="P556" s="34"/>
      <c r="Q556" s="34"/>
      <c r="R556" s="34"/>
      <c r="U556" s="44"/>
      <c r="W556" s="95"/>
      <c r="X556" s="54"/>
      <c r="Y556" s="54"/>
      <c r="Z556" s="34"/>
      <c r="AA556" s="34"/>
      <c r="AB556" s="34"/>
      <c r="AC556" s="34"/>
      <c r="AD556" s="34"/>
      <c r="AE556" s="34"/>
      <c r="AF556" s="34"/>
      <c r="AG556" s="34"/>
      <c r="AH556" s="52"/>
      <c r="AI556" s="52"/>
      <c r="AK556" s="34"/>
      <c r="AL556" s="34"/>
      <c r="AM556" s="34"/>
      <c r="AN556" s="54"/>
      <c r="AO556" s="34"/>
      <c r="AP556" s="34"/>
      <c r="AQ556" s="54"/>
      <c r="AR556" s="54"/>
      <c r="AS556" s="54"/>
      <c r="AT556" s="54"/>
      <c r="AU556" s="34"/>
      <c r="AV556" s="34"/>
      <c r="AW556" s="34"/>
      <c r="AX556" s="34"/>
      <c r="AY556" s="34"/>
      <c r="AZ556" s="44"/>
      <c r="BA556" s="34"/>
      <c r="BB556" s="34"/>
    </row>
    <row r="557" spans="1:54" x14ac:dyDescent="0.35" ht="15.0" customHeight="true">
      <c r="A557" s="51"/>
      <c r="B557" s="34"/>
      <c r="C557" s="34"/>
      <c r="D557" s="34"/>
      <c r="E557" s="34"/>
      <c r="F557" s="34"/>
      <c r="G557" s="44"/>
      <c r="H557" s="34"/>
      <c r="I557" s="54"/>
      <c r="J557" s="34"/>
      <c r="K557" s="54"/>
      <c r="L557" s="34"/>
      <c r="M557" s="44"/>
      <c r="N557" s="44"/>
      <c r="O557" s="34"/>
      <c r="P557" s="34"/>
      <c r="Q557" s="34"/>
      <c r="R557" s="34"/>
      <c r="U557" s="44"/>
      <c r="W557" s="95"/>
      <c r="X557" s="54"/>
      <c r="Y557" s="54"/>
      <c r="Z557" s="34"/>
      <c r="AA557" s="34"/>
      <c r="AB557" s="34"/>
      <c r="AC557" s="34"/>
      <c r="AD557" s="34"/>
      <c r="AE557" s="34"/>
      <c r="AF557" s="34"/>
      <c r="AG557" s="34"/>
      <c r="AH557" s="52"/>
      <c r="AI557" s="52"/>
      <c r="AK557" s="34"/>
      <c r="AL557" s="34"/>
      <c r="AM557" s="34"/>
      <c r="AN557" s="54"/>
      <c r="AO557" s="34"/>
      <c r="AP557" s="34"/>
      <c r="AQ557" s="54"/>
      <c r="AR557" s="54"/>
      <c r="AS557" s="54"/>
      <c r="AT557" s="54"/>
      <c r="AU557" s="34"/>
      <c r="AV557" s="34"/>
      <c r="AW557" s="34"/>
      <c r="AX557" s="34"/>
      <c r="AY557" s="34"/>
      <c r="AZ557" s="44"/>
      <c r="BA557" s="34"/>
      <c r="BB557" s="34"/>
    </row>
    <row r="558" spans="1:54" x14ac:dyDescent="0.35" ht="15.0" customHeight="true">
      <c r="A558" s="51"/>
      <c r="B558" s="34"/>
      <c r="C558" s="34"/>
      <c r="D558" s="34"/>
      <c r="E558" s="34"/>
      <c r="F558" s="34"/>
      <c r="G558" s="44"/>
      <c r="H558" s="34"/>
      <c r="I558" s="54"/>
      <c r="J558" s="34"/>
      <c r="K558" s="54"/>
      <c r="L558" s="34"/>
      <c r="M558" s="44"/>
      <c r="N558" s="44"/>
      <c r="O558" s="34"/>
      <c r="P558" s="34"/>
      <c r="Q558" s="34"/>
      <c r="R558" s="34"/>
      <c r="U558" s="44"/>
      <c r="W558" s="95"/>
      <c r="X558" s="54"/>
      <c r="Y558" s="54"/>
      <c r="Z558" s="34"/>
      <c r="AA558" s="34"/>
      <c r="AB558" s="34"/>
      <c r="AC558" s="34"/>
      <c r="AD558" s="34"/>
      <c r="AE558" s="34"/>
      <c r="AF558" s="34"/>
      <c r="AG558" s="34"/>
      <c r="AH558" s="52"/>
      <c r="AI558" s="52"/>
      <c r="AK558" s="34"/>
      <c r="AL558" s="34"/>
      <c r="AM558" s="34"/>
      <c r="AN558" s="54"/>
      <c r="AO558" s="34"/>
      <c r="AP558" s="34"/>
      <c r="AQ558" s="54"/>
      <c r="AR558" s="54"/>
      <c r="AS558" s="54"/>
      <c r="AT558" s="54"/>
      <c r="AU558" s="34"/>
      <c r="AV558" s="34"/>
      <c r="AW558" s="34"/>
      <c r="AX558" s="34"/>
      <c r="AY558" s="34"/>
      <c r="AZ558" s="44"/>
      <c r="BA558" s="34"/>
      <c r="BB558" s="34"/>
    </row>
    <row r="559" spans="1:54" x14ac:dyDescent="0.35" ht="15.0" customHeight="true">
      <c r="A559" s="51"/>
      <c r="B559" s="34"/>
      <c r="C559" s="34"/>
      <c r="D559" s="34"/>
      <c r="E559" s="34"/>
      <c r="F559" s="34"/>
      <c r="G559" s="44"/>
      <c r="H559" s="34"/>
      <c r="I559" s="54"/>
      <c r="J559" s="34"/>
      <c r="K559" s="54"/>
      <c r="L559" s="34"/>
      <c r="M559" s="44"/>
      <c r="N559" s="44"/>
      <c r="O559" s="34"/>
      <c r="P559" s="34"/>
      <c r="Q559" s="34"/>
      <c r="R559" s="34"/>
      <c r="U559" s="44"/>
      <c r="W559" s="95"/>
      <c r="X559" s="54"/>
      <c r="Y559" s="54"/>
      <c r="Z559" s="34"/>
      <c r="AA559" s="34"/>
      <c r="AB559" s="34"/>
      <c r="AC559" s="34"/>
      <c r="AD559" s="34"/>
      <c r="AE559" s="34"/>
      <c r="AF559" s="34"/>
      <c r="AG559" s="34"/>
      <c r="AH559" s="52"/>
      <c r="AI559" s="52"/>
      <c r="AK559" s="34"/>
      <c r="AL559" s="34"/>
      <c r="AM559" s="34"/>
      <c r="AN559" s="54"/>
      <c r="AO559" s="34"/>
      <c r="AP559" s="34"/>
      <c r="AQ559" s="54"/>
      <c r="AR559" s="54"/>
      <c r="AS559" s="54"/>
      <c r="AT559" s="54"/>
      <c r="AU559" s="34"/>
      <c r="AV559" s="34"/>
      <c r="AW559" s="34"/>
      <c r="AX559" s="34"/>
      <c r="AY559" s="34"/>
      <c r="AZ559" s="44"/>
      <c r="BA559" s="34"/>
      <c r="BB559" s="34"/>
    </row>
    <row r="560" spans="1:54" x14ac:dyDescent="0.35" ht="15.0" customHeight="true">
      <c r="A560" s="51"/>
      <c r="B560" s="34"/>
      <c r="C560" s="34"/>
      <c r="D560" s="34"/>
      <c r="E560" s="34"/>
      <c r="F560" s="34"/>
      <c r="G560" s="44"/>
      <c r="H560" s="34"/>
      <c r="I560" s="54"/>
      <c r="J560" s="34"/>
      <c r="K560" s="54"/>
      <c r="L560" s="34"/>
      <c r="M560" s="44"/>
      <c r="N560" s="44"/>
      <c r="O560" s="34"/>
      <c r="P560" s="34"/>
      <c r="Q560" s="34"/>
      <c r="R560" s="34"/>
      <c r="U560" s="44"/>
      <c r="W560" s="95"/>
      <c r="X560" s="54"/>
      <c r="Y560" s="54"/>
      <c r="Z560" s="34"/>
      <c r="AA560" s="34"/>
      <c r="AB560" s="34"/>
      <c r="AC560" s="34"/>
      <c r="AD560" s="34"/>
      <c r="AE560" s="34"/>
      <c r="AF560" s="34"/>
      <c r="AG560" s="34"/>
      <c r="AH560" s="52"/>
      <c r="AI560" s="52"/>
      <c r="AK560" s="34"/>
      <c r="AL560" s="34"/>
      <c r="AM560" s="34"/>
      <c r="AN560" s="54"/>
      <c r="AO560" s="34"/>
      <c r="AP560" s="34"/>
      <c r="AQ560" s="54"/>
      <c r="AR560" s="54"/>
      <c r="AS560" s="54"/>
      <c r="AT560" s="54"/>
      <c r="AU560" s="34"/>
      <c r="AV560" s="34"/>
      <c r="AW560" s="34"/>
      <c r="AX560" s="34"/>
      <c r="AY560" s="34"/>
      <c r="AZ560" s="44"/>
      <c r="BA560" s="34"/>
      <c r="BB560" s="34"/>
    </row>
    <row r="561" spans="1:54" x14ac:dyDescent="0.35" ht="15.0" customHeight="true">
      <c r="A561" s="51"/>
      <c r="B561" s="34"/>
      <c r="C561" s="34"/>
      <c r="D561" s="34"/>
      <c r="E561" s="34"/>
      <c r="F561" s="34"/>
      <c r="G561" s="44"/>
      <c r="H561" s="34"/>
      <c r="I561" s="54"/>
      <c r="J561" s="34"/>
      <c r="K561" s="54"/>
      <c r="L561" s="34"/>
      <c r="M561" s="44"/>
      <c r="N561" s="44"/>
      <c r="O561" s="34"/>
      <c r="P561" s="34"/>
      <c r="Q561" s="34"/>
      <c r="R561" s="34"/>
      <c r="U561" s="44"/>
      <c r="W561" s="95"/>
      <c r="X561" s="54"/>
      <c r="Y561" s="54"/>
      <c r="Z561" s="34"/>
      <c r="AA561" s="34"/>
      <c r="AB561" s="34"/>
      <c r="AC561" s="34"/>
      <c r="AD561" s="34"/>
      <c r="AE561" s="34"/>
      <c r="AF561" s="34"/>
      <c r="AG561" s="34"/>
      <c r="AH561" s="52"/>
      <c r="AI561" s="52"/>
      <c r="AK561" s="34"/>
      <c r="AL561" s="34"/>
      <c r="AM561" s="34"/>
      <c r="AN561" s="54"/>
      <c r="AO561" s="34"/>
      <c r="AP561" s="34"/>
      <c r="AQ561" s="54"/>
      <c r="AR561" s="54"/>
      <c r="AS561" s="54"/>
      <c r="AT561" s="54"/>
      <c r="AU561" s="34"/>
      <c r="AV561" s="34"/>
      <c r="AW561" s="34"/>
      <c r="AX561" s="34"/>
      <c r="AY561" s="34"/>
      <c r="AZ561" s="44"/>
      <c r="BA561" s="34"/>
      <c r="BB561" s="34"/>
    </row>
    <row r="562" spans="1:54" x14ac:dyDescent="0.35" ht="15.0" customHeight="true">
      <c r="A562" s="51"/>
      <c r="B562" s="34"/>
      <c r="C562" s="34"/>
      <c r="D562" s="34"/>
      <c r="E562" s="34"/>
      <c r="F562" s="34"/>
      <c r="G562" s="44"/>
      <c r="H562" s="34"/>
      <c r="I562" s="54"/>
      <c r="J562" s="34"/>
      <c r="K562" s="54"/>
      <c r="L562" s="34"/>
      <c r="M562" s="44"/>
      <c r="N562" s="44"/>
      <c r="O562" s="34"/>
      <c r="P562" s="34"/>
      <c r="Q562" s="34"/>
      <c r="R562" s="34"/>
      <c r="U562" s="44"/>
      <c r="W562" s="95"/>
      <c r="X562" s="54"/>
      <c r="Y562" s="54"/>
      <c r="Z562" s="34"/>
      <c r="AA562" s="34"/>
      <c r="AB562" s="34"/>
      <c r="AC562" s="34"/>
      <c r="AD562" s="34"/>
      <c r="AE562" s="34"/>
      <c r="AF562" s="34"/>
      <c r="AG562" s="34"/>
      <c r="AH562" s="52"/>
      <c r="AI562" s="52"/>
      <c r="AK562" s="34"/>
      <c r="AL562" s="34"/>
      <c r="AM562" s="34"/>
      <c r="AN562" s="54"/>
      <c r="AO562" s="34"/>
      <c r="AP562" s="34"/>
      <c r="AQ562" s="54"/>
      <c r="AR562" s="54"/>
      <c r="AS562" s="54"/>
      <c r="AT562" s="54"/>
      <c r="AU562" s="34"/>
      <c r="AV562" s="34"/>
      <c r="AW562" s="34"/>
      <c r="AX562" s="34"/>
      <c r="AY562" s="34"/>
      <c r="AZ562" s="44"/>
      <c r="BA562" s="34"/>
      <c r="BB562" s="34"/>
    </row>
    <row r="563" spans="1:54" x14ac:dyDescent="0.35" ht="15.0" customHeight="true">
      <c r="A563" s="51"/>
      <c r="B563" s="34"/>
      <c r="C563" s="34"/>
      <c r="D563" s="34"/>
      <c r="E563" s="34"/>
      <c r="F563" s="34"/>
      <c r="G563" s="44"/>
      <c r="H563" s="34"/>
      <c r="I563" s="54"/>
      <c r="J563" s="34"/>
      <c r="K563" s="54"/>
      <c r="L563" s="34"/>
      <c r="M563" s="44"/>
      <c r="N563" s="44"/>
      <c r="O563" s="34"/>
      <c r="P563" s="34"/>
      <c r="Q563" s="34"/>
      <c r="R563" s="34"/>
      <c r="U563" s="44"/>
      <c r="W563" s="95"/>
      <c r="X563" s="54"/>
      <c r="Y563" s="54"/>
      <c r="Z563" s="34"/>
      <c r="AA563" s="34"/>
      <c r="AB563" s="34"/>
      <c r="AC563" s="34"/>
      <c r="AD563" s="34"/>
      <c r="AE563" s="34"/>
      <c r="AF563" s="34"/>
      <c r="AG563" s="34"/>
      <c r="AH563" s="52"/>
      <c r="AI563" s="52"/>
      <c r="AK563" s="34"/>
      <c r="AL563" s="34"/>
      <c r="AM563" s="34"/>
      <c r="AN563" s="54"/>
      <c r="AO563" s="34"/>
      <c r="AP563" s="34"/>
      <c r="AQ563" s="54"/>
      <c r="AR563" s="54"/>
      <c r="AS563" s="54"/>
      <c r="AT563" s="54"/>
      <c r="AU563" s="34"/>
      <c r="AV563" s="34"/>
      <c r="AW563" s="34"/>
      <c r="AX563" s="34"/>
      <c r="AY563" s="34"/>
      <c r="AZ563" s="44"/>
      <c r="BA563" s="34"/>
      <c r="BB563" s="34"/>
    </row>
    <row r="564" spans="1:54" x14ac:dyDescent="0.35" ht="15.0" customHeight="true">
      <c r="A564" s="51"/>
      <c r="B564" s="34"/>
      <c r="C564" s="34"/>
      <c r="D564" s="34"/>
      <c r="E564" s="34"/>
      <c r="F564" s="34"/>
      <c r="G564" s="44"/>
      <c r="H564" s="34"/>
      <c r="I564" s="54"/>
      <c r="J564" s="34"/>
      <c r="K564" s="54"/>
      <c r="L564" s="34"/>
      <c r="M564" s="44"/>
      <c r="N564" s="44"/>
      <c r="O564" s="34"/>
      <c r="P564" s="34"/>
      <c r="Q564" s="34"/>
      <c r="R564" s="34"/>
      <c r="U564" s="44"/>
      <c r="W564" s="95"/>
      <c r="X564" s="54"/>
      <c r="Y564" s="54"/>
      <c r="Z564" s="34"/>
      <c r="AA564" s="34"/>
      <c r="AB564" s="34"/>
      <c r="AC564" s="34"/>
      <c r="AD564" s="34"/>
      <c r="AE564" s="34"/>
      <c r="AF564" s="34"/>
      <c r="AG564" s="34"/>
      <c r="AH564" s="52"/>
      <c r="AI564" s="52"/>
      <c r="AK564" s="34"/>
      <c r="AL564" s="34"/>
      <c r="AM564" s="34"/>
      <c r="AN564" s="54"/>
      <c r="AO564" s="34"/>
      <c r="AP564" s="34"/>
      <c r="AQ564" s="54"/>
      <c r="AR564" s="54"/>
      <c r="AS564" s="54"/>
      <c r="AT564" s="54"/>
      <c r="AU564" s="34"/>
      <c r="AV564" s="34"/>
      <c r="AW564" s="34"/>
      <c r="AX564" s="34"/>
      <c r="AY564" s="34"/>
      <c r="AZ564" s="44"/>
      <c r="BA564" s="34"/>
      <c r="BB564" s="34"/>
    </row>
    <row r="565" spans="1:54" x14ac:dyDescent="0.35" ht="15.0" customHeight="true">
      <c r="A565" s="51"/>
      <c r="B565" s="34"/>
      <c r="C565" s="34"/>
      <c r="D565" s="34"/>
      <c r="E565" s="34"/>
      <c r="F565" s="34"/>
      <c r="G565" s="44"/>
      <c r="H565" s="34"/>
      <c r="I565" s="54"/>
      <c r="J565" s="34"/>
      <c r="K565" s="54"/>
      <c r="L565" s="34"/>
      <c r="M565" s="44"/>
      <c r="N565" s="44"/>
      <c r="O565" s="34"/>
      <c r="P565" s="34"/>
      <c r="Q565" s="34"/>
      <c r="R565" s="34"/>
      <c r="U565" s="44"/>
      <c r="W565" s="95"/>
      <c r="X565" s="54"/>
      <c r="Y565" s="54"/>
      <c r="Z565" s="34"/>
      <c r="AA565" s="34"/>
      <c r="AB565" s="34"/>
      <c r="AC565" s="34"/>
      <c r="AD565" s="34"/>
      <c r="AE565" s="34"/>
      <c r="AF565" s="34"/>
      <c r="AG565" s="34"/>
      <c r="AH565" s="52"/>
      <c r="AI565" s="52"/>
      <c r="AK565" s="34"/>
      <c r="AL565" s="34"/>
      <c r="AM565" s="34"/>
      <c r="AN565" s="54"/>
      <c r="AO565" s="34"/>
      <c r="AP565" s="34"/>
      <c r="AQ565" s="54"/>
      <c r="AR565" s="54"/>
      <c r="AS565" s="54"/>
      <c r="AT565" s="54"/>
      <c r="AU565" s="34"/>
      <c r="AV565" s="34"/>
      <c r="AW565" s="34"/>
      <c r="AX565" s="34"/>
      <c r="AY565" s="34"/>
      <c r="AZ565" s="44"/>
      <c r="BA565" s="34"/>
      <c r="BB565" s="34"/>
    </row>
    <row r="566" spans="1:54" x14ac:dyDescent="0.35" ht="15.0" customHeight="true">
      <c r="A566" s="51"/>
      <c r="B566" s="34"/>
      <c r="C566" s="34"/>
      <c r="D566" s="34"/>
      <c r="E566" s="34"/>
      <c r="F566" s="34"/>
      <c r="G566" s="44"/>
      <c r="H566" s="34"/>
      <c r="I566" s="54"/>
      <c r="J566" s="34"/>
      <c r="K566" s="54"/>
      <c r="L566" s="34"/>
      <c r="M566" s="44"/>
      <c r="N566" s="44"/>
      <c r="O566" s="34"/>
      <c r="P566" s="34"/>
      <c r="Q566" s="34"/>
      <c r="R566" s="34"/>
      <c r="U566" s="44"/>
      <c r="W566" s="95"/>
      <c r="X566" s="54"/>
      <c r="Y566" s="54"/>
      <c r="Z566" s="34"/>
      <c r="AA566" s="34"/>
      <c r="AB566" s="34"/>
      <c r="AC566" s="34"/>
      <c r="AD566" s="34"/>
      <c r="AE566" s="34"/>
      <c r="AF566" s="34"/>
      <c r="AG566" s="34"/>
      <c r="AH566" s="52"/>
      <c r="AI566" s="52"/>
      <c r="AK566" s="34"/>
      <c r="AL566" s="34"/>
      <c r="AM566" s="34"/>
      <c r="AN566" s="54"/>
      <c r="AO566" s="34"/>
      <c r="AP566" s="34"/>
      <c r="AQ566" s="54"/>
      <c r="AR566" s="54"/>
      <c r="AS566" s="54"/>
      <c r="AT566" s="54"/>
      <c r="AU566" s="34"/>
      <c r="AV566" s="34"/>
      <c r="AW566" s="34"/>
      <c r="AX566" s="34"/>
      <c r="AY566" s="34"/>
      <c r="AZ566" s="44"/>
      <c r="BA566" s="34"/>
      <c r="BB566" s="34"/>
    </row>
    <row r="567" spans="1:54" x14ac:dyDescent="0.35" ht="15.0" customHeight="true">
      <c r="A567" s="51"/>
      <c r="B567" s="34"/>
      <c r="C567" s="34"/>
      <c r="D567" s="34"/>
      <c r="E567" s="34"/>
      <c r="F567" s="34"/>
      <c r="G567" s="44"/>
      <c r="H567" s="34"/>
      <c r="I567" s="54"/>
      <c r="J567" s="34"/>
      <c r="K567" s="54"/>
      <c r="L567" s="34"/>
      <c r="M567" s="44"/>
      <c r="N567" s="44"/>
      <c r="O567" s="34"/>
      <c r="P567" s="34"/>
      <c r="Q567" s="34"/>
      <c r="R567" s="34"/>
      <c r="U567" s="44"/>
      <c r="W567" s="95"/>
      <c r="X567" s="54"/>
      <c r="Y567" s="54"/>
      <c r="Z567" s="34"/>
      <c r="AA567" s="34"/>
      <c r="AB567" s="34"/>
      <c r="AC567" s="34"/>
      <c r="AD567" s="34"/>
      <c r="AE567" s="34"/>
      <c r="AF567" s="34"/>
      <c r="AG567" s="34"/>
      <c r="AH567" s="52"/>
      <c r="AI567" s="52"/>
      <c r="AK567" s="34"/>
      <c r="AL567" s="34"/>
      <c r="AM567" s="34"/>
      <c r="AN567" s="54"/>
      <c r="AO567" s="34"/>
      <c r="AP567" s="34"/>
      <c r="AQ567" s="54"/>
      <c r="AR567" s="54"/>
      <c r="AS567" s="54"/>
      <c r="AT567" s="54"/>
      <c r="AU567" s="34"/>
      <c r="AV567" s="34"/>
      <c r="AW567" s="34"/>
      <c r="AX567" s="34"/>
      <c r="AY567" s="34"/>
      <c r="AZ567" s="44"/>
      <c r="BA567" s="34"/>
      <c r="BB567" s="34"/>
    </row>
    <row r="568" spans="1:54" x14ac:dyDescent="0.35" ht="15.0" customHeight="true">
      <c r="A568" s="51"/>
      <c r="B568" s="34"/>
      <c r="C568" s="34"/>
      <c r="D568" s="34"/>
      <c r="E568" s="34"/>
      <c r="F568" s="34"/>
      <c r="G568" s="44"/>
      <c r="H568" s="34"/>
      <c r="I568" s="54"/>
      <c r="J568" s="34"/>
      <c r="K568" s="54"/>
      <c r="L568" s="34"/>
      <c r="M568" s="44"/>
      <c r="N568" s="44"/>
      <c r="O568" s="34"/>
      <c r="P568" s="34"/>
      <c r="Q568" s="34"/>
      <c r="R568" s="34"/>
      <c r="U568" s="44"/>
      <c r="W568" s="95"/>
      <c r="X568" s="54"/>
      <c r="Y568" s="54"/>
      <c r="Z568" s="34"/>
      <c r="AA568" s="34"/>
      <c r="AB568" s="34"/>
      <c r="AC568" s="34"/>
      <c r="AD568" s="34"/>
      <c r="AE568" s="34"/>
      <c r="AF568" s="34"/>
      <c r="AG568" s="34"/>
      <c r="AH568" s="52"/>
      <c r="AI568" s="52"/>
      <c r="AK568" s="34"/>
      <c r="AL568" s="34"/>
      <c r="AM568" s="34"/>
      <c r="AN568" s="54"/>
      <c r="AO568" s="34"/>
      <c r="AP568" s="34"/>
      <c r="AQ568" s="54"/>
      <c r="AR568" s="54"/>
      <c r="AS568" s="54"/>
      <c r="AT568" s="54"/>
      <c r="AU568" s="34"/>
      <c r="AV568" s="34"/>
      <c r="AW568" s="34"/>
      <c r="AX568" s="34"/>
      <c r="AY568" s="34"/>
      <c r="AZ568" s="44"/>
      <c r="BA568" s="34"/>
      <c r="BB568" s="34"/>
    </row>
    <row r="569" spans="1:54" x14ac:dyDescent="0.35" ht="15.0" customHeight="true">
      <c r="A569" s="51"/>
      <c r="B569" s="34"/>
      <c r="C569" s="34"/>
      <c r="D569" s="34"/>
      <c r="E569" s="34"/>
      <c r="F569" s="34"/>
      <c r="G569" s="44"/>
      <c r="H569" s="34"/>
      <c r="I569" s="54"/>
      <c r="J569" s="34"/>
      <c r="K569" s="54"/>
      <c r="L569" s="34"/>
      <c r="M569" s="44"/>
      <c r="N569" s="44"/>
      <c r="O569" s="34"/>
      <c r="P569" s="34"/>
      <c r="Q569" s="34"/>
      <c r="R569" s="34"/>
      <c r="U569" s="44"/>
      <c r="W569" s="95"/>
      <c r="X569" s="54"/>
      <c r="Y569" s="54"/>
      <c r="Z569" s="34"/>
      <c r="AA569" s="34"/>
      <c r="AB569" s="34"/>
      <c r="AC569" s="34"/>
      <c r="AD569" s="34"/>
      <c r="AE569" s="34"/>
      <c r="AF569" s="34"/>
      <c r="AG569" s="34"/>
      <c r="AH569" s="52"/>
      <c r="AI569" s="52"/>
      <c r="AK569" s="34"/>
      <c r="AL569" s="34"/>
      <c r="AM569" s="34"/>
      <c r="AN569" s="54"/>
      <c r="AO569" s="34"/>
      <c r="AP569" s="34"/>
      <c r="AQ569" s="54"/>
      <c r="AR569" s="54"/>
      <c r="AS569" s="54"/>
      <c r="AT569" s="54"/>
      <c r="AU569" s="34"/>
      <c r="AV569" s="34"/>
      <c r="AW569" s="34"/>
      <c r="AX569" s="34"/>
      <c r="AY569" s="34"/>
      <c r="AZ569" s="44"/>
      <c r="BA569" s="34"/>
      <c r="BB569" s="34"/>
    </row>
    <row r="570" spans="1:54" x14ac:dyDescent="0.35" ht="15.0" customHeight="true">
      <c r="A570" s="51"/>
      <c r="B570" s="34"/>
      <c r="C570" s="34"/>
      <c r="D570" s="34"/>
      <c r="E570" s="34"/>
      <c r="F570" s="34"/>
      <c r="G570" s="44"/>
      <c r="H570" s="34"/>
      <c r="I570" s="54"/>
      <c r="J570" s="34"/>
      <c r="K570" s="54"/>
      <c r="L570" s="34"/>
      <c r="M570" s="44"/>
      <c r="N570" s="44"/>
      <c r="O570" s="34"/>
      <c r="P570" s="34"/>
      <c r="Q570" s="34"/>
      <c r="R570" s="34"/>
      <c r="U570" s="44"/>
      <c r="W570" s="95"/>
      <c r="X570" s="54"/>
      <c r="Y570" s="54"/>
      <c r="Z570" s="34"/>
      <c r="AA570" s="34"/>
      <c r="AB570" s="34"/>
      <c r="AC570" s="34"/>
      <c r="AD570" s="34"/>
      <c r="AE570" s="34"/>
      <c r="AF570" s="34"/>
      <c r="AG570" s="34"/>
      <c r="AH570" s="52"/>
      <c r="AI570" s="52"/>
      <c r="AK570" s="34"/>
      <c r="AL570" s="34"/>
      <c r="AM570" s="34"/>
      <c r="AN570" s="54"/>
      <c r="AO570" s="34"/>
      <c r="AP570" s="34"/>
      <c r="AQ570" s="54"/>
      <c r="AR570" s="54"/>
      <c r="AS570" s="54"/>
      <c r="AT570" s="54"/>
      <c r="AU570" s="34"/>
      <c r="AV570" s="34"/>
      <c r="AW570" s="34"/>
      <c r="AX570" s="34"/>
      <c r="AY570" s="34"/>
      <c r="AZ570" s="44"/>
      <c r="BA570" s="34"/>
      <c r="BB570" s="34"/>
    </row>
    <row r="571" spans="1:54" x14ac:dyDescent="0.35" ht="15.0" customHeight="true">
      <c r="A571" s="51"/>
      <c r="B571" s="34"/>
      <c r="C571" s="34"/>
      <c r="D571" s="34"/>
      <c r="E571" s="34"/>
      <c r="F571" s="34"/>
      <c r="G571" s="44"/>
      <c r="H571" s="34"/>
      <c r="I571" s="54"/>
      <c r="J571" s="34"/>
      <c r="K571" s="54"/>
      <c r="L571" s="34"/>
      <c r="M571" s="44"/>
      <c r="N571" s="44"/>
      <c r="O571" s="34"/>
      <c r="P571" s="34"/>
      <c r="Q571" s="34"/>
      <c r="R571" s="34"/>
      <c r="U571" s="44"/>
      <c r="W571" s="95"/>
      <c r="X571" s="54"/>
      <c r="Y571" s="54"/>
      <c r="Z571" s="34"/>
      <c r="AA571" s="34"/>
      <c r="AB571" s="34"/>
      <c r="AC571" s="34"/>
      <c r="AD571" s="34"/>
      <c r="AE571" s="34"/>
      <c r="AF571" s="34"/>
      <c r="AG571" s="34"/>
      <c r="AH571" s="52"/>
      <c r="AI571" s="52"/>
      <c r="AK571" s="34"/>
      <c r="AL571" s="34"/>
      <c r="AM571" s="34"/>
      <c r="AN571" s="54"/>
      <c r="AO571" s="34"/>
      <c r="AP571" s="34"/>
      <c r="AQ571" s="54"/>
      <c r="AR571" s="54"/>
      <c r="AS571" s="54"/>
      <c r="AT571" s="54"/>
      <c r="AU571" s="34"/>
      <c r="AV571" s="34"/>
      <c r="AW571" s="34"/>
      <c r="AX571" s="34"/>
      <c r="AY571" s="34"/>
      <c r="AZ571" s="44"/>
      <c r="BA571" s="34"/>
      <c r="BB571" s="34"/>
    </row>
    <row r="572" spans="1:54" x14ac:dyDescent="0.35" ht="15.0" customHeight="true">
      <c r="A572" s="51"/>
      <c r="B572" s="34"/>
      <c r="C572" s="34"/>
      <c r="D572" s="34"/>
      <c r="E572" s="34"/>
      <c r="F572" s="34"/>
      <c r="G572" s="44"/>
      <c r="H572" s="34"/>
      <c r="I572" s="54"/>
      <c r="J572" s="34"/>
      <c r="K572" s="54"/>
      <c r="L572" s="34"/>
      <c r="M572" s="44"/>
      <c r="N572" s="44"/>
      <c r="O572" s="34"/>
      <c r="P572" s="34"/>
      <c r="Q572" s="34"/>
      <c r="R572" s="34"/>
      <c r="U572" s="44"/>
      <c r="W572" s="95"/>
      <c r="X572" s="54"/>
      <c r="Y572" s="54"/>
      <c r="Z572" s="34"/>
      <c r="AA572" s="34"/>
      <c r="AB572" s="34"/>
      <c r="AC572" s="34"/>
      <c r="AD572" s="34"/>
      <c r="AE572" s="34"/>
      <c r="AF572" s="34"/>
      <c r="AG572" s="34"/>
      <c r="AH572" s="52"/>
      <c r="AI572" s="52"/>
      <c r="AK572" s="34"/>
      <c r="AL572" s="34"/>
      <c r="AM572" s="34"/>
      <c r="AN572" s="54"/>
      <c r="AO572" s="34"/>
      <c r="AP572" s="34"/>
      <c r="AQ572" s="54"/>
      <c r="AR572" s="54"/>
      <c r="AS572" s="54"/>
      <c r="AT572" s="54"/>
      <c r="AU572" s="34"/>
      <c r="AV572" s="34"/>
      <c r="AW572" s="34"/>
      <c r="AX572" s="34"/>
      <c r="AY572" s="34"/>
      <c r="AZ572" s="44"/>
      <c r="BA572" s="34"/>
      <c r="BB572" s="34"/>
    </row>
    <row r="573" spans="1:54" x14ac:dyDescent="0.35" ht="15.0" customHeight="true">
      <c r="A573" s="51"/>
      <c r="B573" s="34"/>
      <c r="C573" s="34"/>
      <c r="D573" s="34"/>
      <c r="E573" s="34"/>
      <c r="F573" s="34"/>
      <c r="G573" s="44"/>
      <c r="H573" s="34"/>
      <c r="I573" s="54"/>
      <c r="J573" s="34"/>
      <c r="K573" s="54"/>
      <c r="L573" s="34"/>
      <c r="M573" s="44"/>
      <c r="N573" s="44"/>
      <c r="O573" s="34"/>
      <c r="P573" s="34"/>
      <c r="Q573" s="34"/>
      <c r="R573" s="34"/>
      <c r="U573" s="44"/>
      <c r="W573" s="95"/>
      <c r="X573" s="54"/>
      <c r="Y573" s="54"/>
      <c r="Z573" s="34"/>
      <c r="AA573" s="34"/>
      <c r="AB573" s="34"/>
      <c r="AC573" s="34"/>
      <c r="AD573" s="34"/>
      <c r="AE573" s="34"/>
      <c r="AF573" s="34"/>
      <c r="AG573" s="34"/>
      <c r="AH573" s="52"/>
      <c r="AI573" s="52"/>
      <c r="AK573" s="34"/>
      <c r="AL573" s="34"/>
      <c r="AM573" s="34"/>
      <c r="AN573" s="54"/>
      <c r="AO573" s="34"/>
      <c r="AP573" s="34"/>
      <c r="AQ573" s="54"/>
      <c r="AR573" s="54"/>
      <c r="AS573" s="54"/>
      <c r="AT573" s="54"/>
      <c r="AU573" s="34"/>
      <c r="AV573" s="34"/>
      <c r="AW573" s="34"/>
      <c r="AX573" s="34"/>
      <c r="AY573" s="34"/>
      <c r="AZ573" s="44"/>
      <c r="BA573" s="34"/>
      <c r="BB573" s="34"/>
    </row>
    <row r="574" spans="1:54" x14ac:dyDescent="0.35" ht="15.0" customHeight="true">
      <c r="A574" s="51"/>
      <c r="B574" s="34"/>
      <c r="C574" s="34"/>
      <c r="D574" s="34"/>
      <c r="E574" s="34"/>
      <c r="F574" s="34"/>
      <c r="G574" s="44"/>
      <c r="H574" s="34"/>
      <c r="I574" s="54"/>
      <c r="J574" s="34"/>
      <c r="K574" s="54"/>
      <c r="L574" s="34"/>
      <c r="M574" s="44"/>
      <c r="N574" s="44"/>
      <c r="O574" s="34"/>
      <c r="P574" s="34"/>
      <c r="Q574" s="34"/>
      <c r="R574" s="34"/>
      <c r="U574" s="44"/>
      <c r="W574" s="95"/>
      <c r="X574" s="54"/>
      <c r="Y574" s="54"/>
      <c r="Z574" s="34"/>
      <c r="AA574" s="34"/>
      <c r="AB574" s="34"/>
      <c r="AC574" s="34"/>
      <c r="AD574" s="34"/>
      <c r="AE574" s="34"/>
      <c r="AF574" s="34"/>
      <c r="AG574" s="34"/>
      <c r="AH574" s="52"/>
      <c r="AI574" s="52"/>
      <c r="AK574" s="34"/>
      <c r="AL574" s="34"/>
      <c r="AM574" s="34"/>
      <c r="AN574" s="54"/>
      <c r="AO574" s="34"/>
      <c r="AP574" s="34"/>
      <c r="AQ574" s="54"/>
      <c r="AR574" s="54"/>
      <c r="AS574" s="54"/>
      <c r="AT574" s="54"/>
      <c r="AU574" s="34"/>
      <c r="AV574" s="34"/>
      <c r="AW574" s="34"/>
      <c r="AX574" s="34"/>
      <c r="AY574" s="34"/>
      <c r="AZ574" s="44"/>
      <c r="BA574" s="34"/>
      <c r="BB574" s="34"/>
    </row>
    <row r="575" spans="1:54" x14ac:dyDescent="0.35" ht="15.0" customHeight="true">
      <c r="A575" s="51"/>
      <c r="B575" s="34"/>
      <c r="C575" s="34"/>
      <c r="D575" s="34"/>
      <c r="E575" s="34"/>
      <c r="F575" s="34"/>
      <c r="G575" s="44"/>
      <c r="H575" s="34"/>
      <c r="I575" s="54"/>
      <c r="J575" s="34"/>
      <c r="K575" s="54"/>
      <c r="L575" s="34"/>
      <c r="M575" s="44"/>
      <c r="N575" s="44"/>
      <c r="O575" s="34"/>
      <c r="P575" s="34"/>
      <c r="Q575" s="34"/>
      <c r="R575" s="34"/>
      <c r="U575" s="44"/>
      <c r="W575" s="95"/>
      <c r="X575" s="54"/>
      <c r="Y575" s="54"/>
      <c r="Z575" s="34"/>
      <c r="AA575" s="34"/>
      <c r="AB575" s="34"/>
      <c r="AC575" s="34"/>
      <c r="AD575" s="34"/>
      <c r="AE575" s="34"/>
      <c r="AF575" s="34"/>
      <c r="AG575" s="34"/>
      <c r="AH575" s="52"/>
      <c r="AI575" s="52"/>
      <c r="AK575" s="34"/>
      <c r="AL575" s="34"/>
      <c r="AM575" s="34"/>
      <c r="AN575" s="54"/>
      <c r="AO575" s="34"/>
      <c r="AP575" s="34"/>
      <c r="AQ575" s="54"/>
      <c r="AR575" s="54"/>
      <c r="AS575" s="54"/>
      <c r="AT575" s="54"/>
      <c r="AU575" s="34"/>
      <c r="AV575" s="34"/>
      <c r="AW575" s="34"/>
      <c r="AX575" s="34"/>
      <c r="AY575" s="34"/>
      <c r="AZ575" s="44"/>
      <c r="BA575" s="34"/>
      <c r="BB575" s="34"/>
    </row>
    <row r="576" spans="1:54" x14ac:dyDescent="0.35" ht="15.0" customHeight="true">
      <c r="A576" s="51"/>
      <c r="B576" s="34"/>
      <c r="C576" s="34"/>
      <c r="D576" s="34"/>
      <c r="E576" s="34"/>
      <c r="F576" s="34"/>
      <c r="G576" s="44"/>
      <c r="H576" s="34"/>
      <c r="I576" s="54"/>
      <c r="J576" s="34"/>
      <c r="K576" s="54"/>
      <c r="L576" s="34"/>
      <c r="M576" s="44"/>
      <c r="N576" s="44"/>
      <c r="O576" s="34"/>
      <c r="P576" s="34"/>
      <c r="Q576" s="34"/>
      <c r="R576" s="34"/>
      <c r="U576" s="44"/>
      <c r="W576" s="95"/>
      <c r="X576" s="54"/>
      <c r="Y576" s="54"/>
      <c r="Z576" s="34"/>
      <c r="AA576" s="34"/>
      <c r="AB576" s="34"/>
      <c r="AC576" s="34"/>
      <c r="AD576" s="34"/>
      <c r="AE576" s="34"/>
      <c r="AF576" s="34"/>
      <c r="AG576" s="34"/>
      <c r="AH576" s="52"/>
      <c r="AI576" s="52"/>
      <c r="AK576" s="34"/>
      <c r="AL576" s="34"/>
      <c r="AM576" s="34"/>
      <c r="AN576" s="54"/>
      <c r="AO576" s="34"/>
      <c r="AP576" s="34"/>
      <c r="AQ576" s="54"/>
      <c r="AR576" s="54"/>
      <c r="AS576" s="54"/>
      <c r="AT576" s="54"/>
      <c r="AU576" s="34"/>
      <c r="AV576" s="34"/>
      <c r="AW576" s="34"/>
      <c r="AX576" s="34"/>
      <c r="AY576" s="34"/>
      <c r="AZ576" s="44"/>
      <c r="BA576" s="34"/>
      <c r="BB576" s="34"/>
    </row>
    <row r="577" spans="1:54" x14ac:dyDescent="0.35" ht="15.0" customHeight="true">
      <c r="A577" s="51"/>
      <c r="B577" s="34"/>
      <c r="C577" s="34"/>
      <c r="D577" s="34"/>
      <c r="E577" s="34"/>
      <c r="F577" s="34"/>
      <c r="G577" s="44"/>
      <c r="H577" s="34"/>
      <c r="I577" s="54"/>
      <c r="J577" s="34"/>
      <c r="K577" s="54"/>
      <c r="L577" s="34"/>
      <c r="M577" s="44"/>
      <c r="N577" s="44"/>
      <c r="O577" s="34"/>
      <c r="P577" s="34"/>
      <c r="Q577" s="34"/>
      <c r="R577" s="34"/>
      <c r="U577" s="44"/>
      <c r="W577" s="95"/>
      <c r="X577" s="54"/>
      <c r="Y577" s="54"/>
      <c r="Z577" s="34"/>
      <c r="AA577" s="34"/>
      <c r="AB577" s="34"/>
      <c r="AC577" s="34"/>
      <c r="AD577" s="34"/>
      <c r="AE577" s="34"/>
      <c r="AF577" s="34"/>
      <c r="AG577" s="34"/>
      <c r="AH577" s="52"/>
      <c r="AI577" s="52"/>
      <c r="AK577" s="34"/>
      <c r="AL577" s="34"/>
      <c r="AM577" s="34"/>
      <c r="AN577" s="54"/>
      <c r="AO577" s="34"/>
      <c r="AP577" s="34"/>
      <c r="AQ577" s="54"/>
      <c r="AR577" s="54"/>
      <c r="AS577" s="54"/>
      <c r="AT577" s="54"/>
      <c r="AU577" s="34"/>
      <c r="AV577" s="34"/>
      <c r="AW577" s="34"/>
      <c r="AX577" s="34"/>
      <c r="AY577" s="34"/>
      <c r="AZ577" s="44"/>
      <c r="BA577" s="34"/>
      <c r="BB577" s="34"/>
    </row>
    <row r="578" spans="1:54" x14ac:dyDescent="0.35" ht="15.0" customHeight="true">
      <c r="A578" s="51"/>
      <c r="B578" s="34"/>
      <c r="C578" s="34"/>
      <c r="D578" s="34"/>
      <c r="E578" s="34"/>
      <c r="F578" s="34"/>
      <c r="G578" s="44"/>
      <c r="H578" s="34"/>
      <c r="I578" s="54"/>
      <c r="J578" s="34"/>
      <c r="K578" s="54"/>
      <c r="L578" s="34"/>
      <c r="M578" s="44"/>
      <c r="N578" s="44"/>
      <c r="O578" s="34"/>
      <c r="P578" s="34"/>
      <c r="Q578" s="34"/>
      <c r="R578" s="34"/>
      <c r="U578" s="44"/>
      <c r="W578" s="95"/>
      <c r="X578" s="54"/>
      <c r="Y578" s="54"/>
      <c r="Z578" s="34"/>
      <c r="AA578" s="34"/>
      <c r="AB578" s="34"/>
      <c r="AC578" s="34"/>
      <c r="AD578" s="34"/>
      <c r="AE578" s="34"/>
      <c r="AF578" s="34"/>
      <c r="AG578" s="34"/>
      <c r="AH578" s="52"/>
      <c r="AI578" s="52"/>
      <c r="AK578" s="34"/>
      <c r="AL578" s="34"/>
      <c r="AM578" s="34"/>
      <c r="AN578" s="54"/>
      <c r="AO578" s="34"/>
      <c r="AP578" s="34"/>
      <c r="AQ578" s="54"/>
      <c r="AR578" s="54"/>
      <c r="AS578" s="54"/>
      <c r="AT578" s="54"/>
      <c r="AU578" s="34"/>
      <c r="AV578" s="34"/>
      <c r="AW578" s="34"/>
      <c r="AX578" s="34"/>
      <c r="AY578" s="34"/>
      <c r="AZ578" s="44"/>
      <c r="BA578" s="34"/>
      <c r="BB578" s="34"/>
    </row>
    <row r="579" spans="1:54" x14ac:dyDescent="0.35" ht="15.0" customHeight="true">
      <c r="A579" s="51"/>
      <c r="B579" s="34"/>
      <c r="C579" s="34"/>
      <c r="D579" s="34"/>
      <c r="E579" s="34"/>
      <c r="F579" s="34"/>
      <c r="G579" s="44"/>
      <c r="H579" s="34"/>
      <c r="I579" s="54"/>
      <c r="J579" s="34"/>
      <c r="K579" s="54"/>
      <c r="L579" s="34"/>
      <c r="M579" s="44"/>
      <c r="N579" s="44"/>
      <c r="O579" s="34"/>
      <c r="P579" s="34"/>
      <c r="Q579" s="34"/>
      <c r="R579" s="34"/>
      <c r="U579" s="44"/>
      <c r="W579" s="95"/>
      <c r="X579" s="54"/>
      <c r="Y579" s="54"/>
      <c r="Z579" s="34"/>
      <c r="AA579" s="34"/>
      <c r="AB579" s="34"/>
      <c r="AC579" s="34"/>
      <c r="AD579" s="34"/>
      <c r="AE579" s="34"/>
      <c r="AF579" s="34"/>
      <c r="AG579" s="34"/>
      <c r="AH579" s="52"/>
      <c r="AI579" s="52"/>
      <c r="AK579" s="34"/>
      <c r="AL579" s="34"/>
      <c r="AM579" s="34"/>
      <c r="AN579" s="54"/>
      <c r="AO579" s="34"/>
      <c r="AP579" s="34"/>
      <c r="AQ579" s="54"/>
      <c r="AR579" s="54"/>
      <c r="AS579" s="54"/>
      <c r="AT579" s="54"/>
      <c r="AU579" s="34"/>
      <c r="AV579" s="34"/>
      <c r="AW579" s="34"/>
      <c r="AX579" s="34"/>
      <c r="AY579" s="34"/>
      <c r="AZ579" s="44"/>
      <c r="BA579" s="34"/>
      <c r="BB579" s="34"/>
    </row>
    <row r="580" spans="1:54" x14ac:dyDescent="0.35" ht="15.0" customHeight="true">
      <c r="A580" s="51"/>
      <c r="B580" s="34"/>
      <c r="C580" s="34"/>
      <c r="D580" s="34"/>
      <c r="E580" s="34"/>
      <c r="F580" s="34"/>
      <c r="G580" s="44"/>
      <c r="H580" s="34"/>
      <c r="I580" s="54"/>
      <c r="J580" s="34"/>
      <c r="K580" s="54"/>
      <c r="L580" s="34"/>
      <c r="M580" s="44"/>
      <c r="N580" s="44"/>
      <c r="O580" s="34"/>
      <c r="P580" s="34"/>
      <c r="Q580" s="34"/>
      <c r="R580" s="34"/>
      <c r="U580" s="44"/>
      <c r="W580" s="95"/>
      <c r="X580" s="54"/>
      <c r="Y580" s="54"/>
      <c r="Z580" s="34"/>
      <c r="AA580" s="34"/>
      <c r="AB580" s="34"/>
      <c r="AC580" s="34"/>
      <c r="AD580" s="34"/>
      <c r="AE580" s="34"/>
      <c r="AF580" s="34"/>
      <c r="AG580" s="34"/>
      <c r="AH580" s="52"/>
      <c r="AI580" s="52"/>
      <c r="AK580" s="34"/>
      <c r="AL580" s="34"/>
      <c r="AM580" s="34"/>
      <c r="AN580" s="54"/>
      <c r="AO580" s="34"/>
      <c r="AP580" s="34"/>
      <c r="AQ580" s="54"/>
      <c r="AR580" s="54"/>
      <c r="AS580" s="54"/>
      <c r="AT580" s="54"/>
      <c r="AU580" s="34"/>
      <c r="AV580" s="34"/>
      <c r="AW580" s="34"/>
      <c r="AX580" s="34"/>
      <c r="AY580" s="34"/>
      <c r="AZ580" s="44"/>
      <c r="BA580" s="34"/>
      <c r="BB580" s="34"/>
    </row>
    <row r="581" spans="1:54" x14ac:dyDescent="0.35" ht="15.0" customHeight="true">
      <c r="A581" s="51"/>
      <c r="B581" s="34"/>
      <c r="C581" s="34"/>
      <c r="D581" s="34"/>
      <c r="E581" s="34"/>
      <c r="F581" s="34"/>
      <c r="G581" s="44"/>
      <c r="H581" s="34"/>
      <c r="I581" s="54"/>
      <c r="J581" s="34"/>
      <c r="K581" s="54"/>
      <c r="L581" s="34"/>
      <c r="M581" s="44"/>
      <c r="N581" s="44"/>
      <c r="O581" s="34"/>
      <c r="P581" s="34"/>
      <c r="Q581" s="34"/>
      <c r="R581" s="34"/>
      <c r="U581" s="44"/>
      <c r="W581" s="95"/>
      <c r="X581" s="54"/>
      <c r="Y581" s="54"/>
      <c r="Z581" s="34"/>
      <c r="AA581" s="34"/>
      <c r="AB581" s="34"/>
      <c r="AC581" s="34"/>
      <c r="AD581" s="34"/>
      <c r="AE581" s="34"/>
      <c r="AF581" s="34"/>
      <c r="AG581" s="34"/>
      <c r="AH581" s="52"/>
      <c r="AI581" s="52"/>
      <c r="AK581" s="34"/>
      <c r="AL581" s="34"/>
      <c r="AM581" s="34"/>
      <c r="AN581" s="54"/>
      <c r="AO581" s="34"/>
      <c r="AP581" s="34"/>
      <c r="AQ581" s="54"/>
      <c r="AR581" s="54"/>
      <c r="AS581" s="54"/>
      <c r="AT581" s="54"/>
      <c r="AU581" s="34"/>
      <c r="AV581" s="34"/>
      <c r="AW581" s="34"/>
      <c r="AX581" s="34"/>
      <c r="AY581" s="34"/>
      <c r="AZ581" s="44"/>
      <c r="BA581" s="34"/>
      <c r="BB581" s="34"/>
    </row>
    <row r="582" spans="1:54" x14ac:dyDescent="0.35" ht="15.0" customHeight="true">
      <c r="A582" s="51"/>
      <c r="B582" s="34"/>
      <c r="C582" s="34"/>
      <c r="D582" s="34"/>
      <c r="E582" s="34"/>
      <c r="F582" s="34"/>
      <c r="G582" s="44"/>
      <c r="H582" s="34"/>
      <c r="I582" s="54"/>
      <c r="J582" s="34"/>
      <c r="K582" s="54"/>
      <c r="L582" s="34"/>
      <c r="M582" s="44"/>
      <c r="N582" s="44"/>
      <c r="O582" s="34"/>
      <c r="P582" s="34"/>
      <c r="Q582" s="34"/>
      <c r="R582" s="34"/>
      <c r="U582" s="44"/>
      <c r="W582" s="95"/>
      <c r="X582" s="54"/>
      <c r="Y582" s="54"/>
      <c r="Z582" s="34"/>
      <c r="AA582" s="34"/>
      <c r="AB582" s="34"/>
      <c r="AC582" s="34"/>
      <c r="AD582" s="34"/>
      <c r="AE582" s="34"/>
      <c r="AF582" s="34"/>
      <c r="AG582" s="34"/>
      <c r="AH582" s="52"/>
      <c r="AI582" s="52"/>
      <c r="AK582" s="34"/>
      <c r="AL582" s="34"/>
      <c r="AM582" s="34"/>
      <c r="AN582" s="54"/>
      <c r="AO582" s="34"/>
      <c r="AP582" s="34"/>
      <c r="AQ582" s="54"/>
      <c r="AR582" s="54"/>
      <c r="AS582" s="54"/>
      <c r="AT582" s="54"/>
      <c r="AU582" s="34"/>
      <c r="AV582" s="34"/>
      <c r="AW582" s="34"/>
      <c r="AX582" s="34"/>
      <c r="AY582" s="34"/>
      <c r="AZ582" s="44"/>
      <c r="BA582" s="34"/>
      <c r="BB582" s="34"/>
    </row>
    <row r="583" spans="1:54" x14ac:dyDescent="0.35" ht="15.0" customHeight="true">
      <c r="A583" s="51"/>
      <c r="B583" s="34"/>
      <c r="C583" s="34"/>
      <c r="D583" s="34"/>
      <c r="E583" s="34"/>
      <c r="F583" s="34"/>
      <c r="G583" s="44"/>
      <c r="H583" s="34"/>
      <c r="I583" s="54"/>
      <c r="J583" s="34"/>
      <c r="K583" s="54"/>
      <c r="L583" s="34"/>
      <c r="M583" s="44"/>
      <c r="N583" s="44"/>
      <c r="O583" s="34"/>
      <c r="P583" s="34"/>
      <c r="Q583" s="34"/>
      <c r="R583" s="34"/>
      <c r="U583" s="44"/>
      <c r="W583" s="95"/>
      <c r="X583" s="54"/>
      <c r="Y583" s="54"/>
      <c r="Z583" s="34"/>
      <c r="AA583" s="34"/>
      <c r="AB583" s="34"/>
      <c r="AC583" s="34"/>
      <c r="AD583" s="34"/>
      <c r="AE583" s="34"/>
      <c r="AF583" s="34"/>
      <c r="AG583" s="34"/>
      <c r="AH583" s="52"/>
      <c r="AI583" s="52"/>
      <c r="AK583" s="34"/>
      <c r="AL583" s="34"/>
      <c r="AM583" s="34"/>
      <c r="AN583" s="54"/>
      <c r="AO583" s="34"/>
      <c r="AP583" s="34"/>
      <c r="AQ583" s="54"/>
      <c r="AR583" s="54"/>
      <c r="AS583" s="54"/>
      <c r="AT583" s="54"/>
      <c r="AU583" s="34"/>
      <c r="AV583" s="34"/>
      <c r="AW583" s="34"/>
      <c r="AX583" s="34"/>
      <c r="AY583" s="34"/>
      <c r="AZ583" s="44"/>
      <c r="BA583" s="34"/>
      <c r="BB583" s="34"/>
    </row>
    <row r="584" spans="1:54" x14ac:dyDescent="0.35" ht="15.0" customHeight="true">
      <c r="A584" s="51"/>
      <c r="B584" s="34"/>
      <c r="C584" s="34"/>
      <c r="D584" s="34"/>
      <c r="E584" s="34"/>
      <c r="F584" s="34"/>
      <c r="G584" s="44"/>
      <c r="H584" s="34"/>
      <c r="I584" s="54"/>
      <c r="J584" s="34"/>
      <c r="K584" s="54"/>
      <c r="L584" s="34"/>
      <c r="M584" s="44"/>
      <c r="N584" s="44"/>
      <c r="O584" s="34"/>
      <c r="P584" s="34"/>
      <c r="Q584" s="34"/>
      <c r="R584" s="34"/>
      <c r="U584" s="44"/>
      <c r="W584" s="95"/>
      <c r="X584" s="54"/>
      <c r="Y584" s="54"/>
      <c r="Z584" s="34"/>
      <c r="AA584" s="34"/>
      <c r="AB584" s="34"/>
      <c r="AC584" s="34"/>
      <c r="AD584" s="34"/>
      <c r="AE584" s="34"/>
      <c r="AF584" s="34"/>
      <c r="AG584" s="34"/>
      <c r="AH584" s="52"/>
      <c r="AI584" s="52"/>
      <c r="AK584" s="34"/>
      <c r="AL584" s="34"/>
      <c r="AM584" s="34"/>
      <c r="AN584" s="54"/>
      <c r="AO584" s="34"/>
      <c r="AP584" s="34"/>
      <c r="AQ584" s="54"/>
      <c r="AR584" s="54"/>
      <c r="AS584" s="54"/>
      <c r="AT584" s="54"/>
      <c r="AU584" s="34"/>
      <c r="AV584" s="34"/>
      <c r="AW584" s="34"/>
      <c r="AX584" s="34"/>
      <c r="AY584" s="34"/>
      <c r="AZ584" s="44"/>
      <c r="BA584" s="34"/>
      <c r="BB584" s="34"/>
    </row>
    <row r="585" spans="1:54" x14ac:dyDescent="0.35" ht="15.0" customHeight="true">
      <c r="A585" s="51"/>
      <c r="B585" s="34"/>
      <c r="C585" s="34"/>
      <c r="D585" s="34"/>
      <c r="E585" s="34"/>
      <c r="F585" s="34"/>
      <c r="G585" s="44"/>
      <c r="H585" s="34"/>
      <c r="I585" s="54"/>
      <c r="J585" s="34"/>
      <c r="K585" s="54"/>
      <c r="L585" s="34"/>
      <c r="M585" s="44"/>
      <c r="N585" s="44"/>
      <c r="O585" s="34"/>
      <c r="P585" s="34"/>
      <c r="Q585" s="34"/>
      <c r="R585" s="34"/>
      <c r="U585" s="44"/>
      <c r="W585" s="95"/>
      <c r="X585" s="54"/>
      <c r="Y585" s="54"/>
      <c r="Z585" s="34"/>
      <c r="AA585" s="34"/>
      <c r="AB585" s="34"/>
      <c r="AC585" s="34"/>
      <c r="AD585" s="34"/>
      <c r="AE585" s="34"/>
      <c r="AF585" s="34"/>
      <c r="AG585" s="34"/>
      <c r="AH585" s="52"/>
      <c r="AI585" s="52"/>
      <c r="AK585" s="34"/>
      <c r="AL585" s="34"/>
      <c r="AM585" s="34"/>
      <c r="AN585" s="54"/>
      <c r="AO585" s="34"/>
      <c r="AP585" s="34"/>
      <c r="AQ585" s="54"/>
      <c r="AR585" s="54"/>
      <c r="AS585" s="54"/>
      <c r="AT585" s="54"/>
      <c r="AU585" s="34"/>
      <c r="AV585" s="34"/>
      <c r="AW585" s="34"/>
      <c r="AX585" s="34"/>
      <c r="AY585" s="34"/>
      <c r="AZ585" s="44"/>
      <c r="BA585" s="34"/>
      <c r="BB585" s="34"/>
    </row>
    <row r="586" spans="1:54" x14ac:dyDescent="0.35" ht="15.0" customHeight="true">
      <c r="A586" s="51"/>
      <c r="B586" s="34"/>
      <c r="C586" s="34"/>
      <c r="D586" s="34"/>
      <c r="E586" s="34"/>
      <c r="F586" s="34"/>
      <c r="G586" s="44"/>
      <c r="H586" s="34"/>
      <c r="I586" s="54"/>
      <c r="J586" s="34"/>
      <c r="K586" s="54"/>
      <c r="L586" s="34"/>
      <c r="M586" s="44"/>
      <c r="N586" s="44"/>
      <c r="O586" s="34"/>
      <c r="P586" s="34"/>
      <c r="Q586" s="34"/>
      <c r="R586" s="34"/>
      <c r="U586" s="44"/>
      <c r="W586" s="95"/>
      <c r="X586" s="54"/>
      <c r="Y586" s="54"/>
      <c r="Z586" s="34"/>
      <c r="AA586" s="34"/>
      <c r="AB586" s="34"/>
      <c r="AC586" s="34"/>
      <c r="AD586" s="34"/>
      <c r="AE586" s="34"/>
      <c r="AF586" s="34"/>
      <c r="AG586" s="34"/>
      <c r="AH586" s="52"/>
      <c r="AI586" s="52"/>
      <c r="AK586" s="34"/>
      <c r="AL586" s="34"/>
      <c r="AM586" s="34"/>
      <c r="AN586" s="54"/>
      <c r="AO586" s="34"/>
      <c r="AP586" s="34"/>
      <c r="AQ586" s="54"/>
      <c r="AR586" s="54"/>
      <c r="AS586" s="54"/>
      <c r="AT586" s="54"/>
      <c r="AU586" s="34"/>
      <c r="AV586" s="34"/>
      <c r="AW586" s="34"/>
      <c r="AX586" s="34"/>
      <c r="AY586" s="34"/>
      <c r="AZ586" s="44"/>
      <c r="BA586" s="34"/>
      <c r="BB586" s="34"/>
    </row>
    <row r="587" spans="1:54" x14ac:dyDescent="0.35" ht="15.0" customHeight="true">
      <c r="A587" s="51"/>
      <c r="B587" s="34"/>
      <c r="C587" s="34"/>
      <c r="D587" s="34"/>
      <c r="E587" s="34"/>
      <c r="F587" s="34"/>
      <c r="G587" s="44"/>
      <c r="H587" s="34"/>
      <c r="I587" s="54"/>
      <c r="J587" s="34"/>
      <c r="K587" s="54"/>
      <c r="L587" s="34"/>
      <c r="M587" s="44"/>
      <c r="N587" s="44"/>
      <c r="O587" s="34"/>
      <c r="P587" s="34"/>
      <c r="Q587" s="34"/>
      <c r="R587" s="34"/>
      <c r="U587" s="44"/>
      <c r="W587" s="95"/>
      <c r="X587" s="54"/>
      <c r="Y587" s="54"/>
      <c r="Z587" s="34"/>
      <c r="AA587" s="34"/>
      <c r="AB587" s="34"/>
      <c r="AC587" s="34"/>
      <c r="AD587" s="34"/>
      <c r="AE587" s="34"/>
      <c r="AF587" s="34"/>
      <c r="AG587" s="34"/>
      <c r="AH587" s="52"/>
      <c r="AI587" s="52"/>
      <c r="AK587" s="34"/>
      <c r="AL587" s="34"/>
      <c r="AM587" s="34"/>
      <c r="AN587" s="54"/>
      <c r="AO587" s="34"/>
      <c r="AP587" s="34"/>
      <c r="AQ587" s="54"/>
      <c r="AR587" s="54"/>
      <c r="AS587" s="54"/>
      <c r="AT587" s="54"/>
      <c r="AU587" s="34"/>
      <c r="AV587" s="34"/>
      <c r="AW587" s="34"/>
      <c r="AX587" s="34"/>
      <c r="AY587" s="34"/>
      <c r="AZ587" s="44"/>
      <c r="BA587" s="34"/>
      <c r="BB587" s="34"/>
    </row>
    <row r="588" spans="1:54" x14ac:dyDescent="0.35" ht="15.0" customHeight="true">
      <c r="A588" s="51"/>
      <c r="B588" s="34"/>
      <c r="C588" s="34"/>
      <c r="D588" s="34"/>
      <c r="E588" s="34"/>
      <c r="F588" s="34"/>
      <c r="G588" s="44"/>
      <c r="H588" s="34"/>
      <c r="I588" s="54"/>
      <c r="J588" s="34"/>
      <c r="K588" s="54"/>
      <c r="L588" s="34"/>
      <c r="M588" s="44"/>
      <c r="N588" s="44"/>
      <c r="O588" s="34"/>
      <c r="P588" s="34"/>
      <c r="Q588" s="34"/>
      <c r="R588" s="34"/>
      <c r="U588" s="44"/>
      <c r="W588" s="95"/>
      <c r="X588" s="54"/>
      <c r="Y588" s="54"/>
      <c r="Z588" s="34"/>
      <c r="AA588" s="34"/>
      <c r="AB588" s="34"/>
      <c r="AC588" s="34"/>
      <c r="AD588" s="34"/>
      <c r="AE588" s="34"/>
      <c r="AF588" s="34"/>
      <c r="AG588" s="34"/>
      <c r="AH588" s="52"/>
      <c r="AI588" s="52"/>
      <c r="AK588" s="34"/>
      <c r="AL588" s="34"/>
      <c r="AM588" s="34"/>
      <c r="AN588" s="54"/>
      <c r="AO588" s="34"/>
      <c r="AP588" s="34"/>
      <c r="AQ588" s="54"/>
      <c r="AR588" s="54"/>
      <c r="AS588" s="54"/>
      <c r="AT588" s="54"/>
      <c r="AU588" s="34"/>
      <c r="AV588" s="34"/>
      <c r="AW588" s="34"/>
      <c r="AX588" s="34"/>
      <c r="AY588" s="34"/>
      <c r="AZ588" s="44"/>
      <c r="BA588" s="34"/>
      <c r="BB588" s="34"/>
    </row>
    <row r="589" spans="1:54" x14ac:dyDescent="0.35" ht="15.0" customHeight="true">
      <c r="A589" s="51"/>
      <c r="B589" s="34"/>
      <c r="C589" s="34"/>
      <c r="D589" s="34"/>
      <c r="E589" s="34"/>
      <c r="F589" s="34"/>
      <c r="G589" s="44"/>
      <c r="H589" s="34"/>
      <c r="I589" s="54"/>
      <c r="J589" s="34"/>
      <c r="K589" s="54"/>
      <c r="L589" s="34"/>
      <c r="M589" s="44"/>
      <c r="N589" s="44"/>
      <c r="O589" s="34"/>
      <c r="P589" s="34"/>
      <c r="Q589" s="34"/>
      <c r="R589" s="34"/>
      <c r="U589" s="44"/>
      <c r="W589" s="95"/>
      <c r="X589" s="54"/>
      <c r="Y589" s="54"/>
      <c r="Z589" s="34"/>
      <c r="AA589" s="34"/>
      <c r="AB589" s="34"/>
      <c r="AC589" s="34"/>
      <c r="AD589" s="34"/>
      <c r="AE589" s="34"/>
      <c r="AF589" s="34"/>
      <c r="AG589" s="34"/>
      <c r="AH589" s="52"/>
      <c r="AI589" s="52"/>
      <c r="AK589" s="34"/>
      <c r="AL589" s="34"/>
      <c r="AM589" s="34"/>
      <c r="AN589" s="54"/>
      <c r="AO589" s="34"/>
      <c r="AP589" s="34"/>
      <c r="AQ589" s="54"/>
      <c r="AR589" s="54"/>
      <c r="AS589" s="54"/>
      <c r="AT589" s="54"/>
      <c r="AU589" s="34"/>
      <c r="AV589" s="34"/>
      <c r="AW589" s="34"/>
      <c r="AX589" s="34"/>
      <c r="AY589" s="34"/>
      <c r="AZ589" s="44"/>
      <c r="BA589" s="34"/>
      <c r="BB589" s="34"/>
    </row>
    <row r="590" spans="1:54" x14ac:dyDescent="0.35" ht="15.0" customHeight="true">
      <c r="A590" s="51"/>
      <c r="B590" s="34"/>
      <c r="C590" s="34"/>
      <c r="D590" s="34"/>
      <c r="E590" s="34"/>
      <c r="F590" s="34"/>
      <c r="G590" s="44"/>
      <c r="H590" s="34"/>
      <c r="I590" s="54"/>
      <c r="J590" s="34"/>
      <c r="K590" s="54"/>
      <c r="L590" s="34"/>
      <c r="M590" s="44"/>
      <c r="N590" s="44"/>
      <c r="O590" s="34"/>
      <c r="P590" s="34"/>
      <c r="Q590" s="34"/>
      <c r="R590" s="34"/>
      <c r="U590" s="44"/>
      <c r="W590" s="95"/>
      <c r="X590" s="54"/>
      <c r="Y590" s="54"/>
      <c r="Z590" s="34"/>
      <c r="AA590" s="34"/>
      <c r="AB590" s="34"/>
      <c r="AC590" s="34"/>
      <c r="AD590" s="34"/>
      <c r="AE590" s="34"/>
      <c r="AF590" s="34"/>
      <c r="AG590" s="34"/>
      <c r="AH590" s="52"/>
      <c r="AI590" s="52"/>
      <c r="AK590" s="34"/>
      <c r="AL590" s="34"/>
      <c r="AM590" s="34"/>
      <c r="AN590" s="54"/>
      <c r="AO590" s="34"/>
      <c r="AP590" s="34"/>
      <c r="AQ590" s="54"/>
      <c r="AR590" s="54"/>
      <c r="AS590" s="54"/>
      <c r="AT590" s="54"/>
      <c r="AU590" s="34"/>
      <c r="AV590" s="34"/>
      <c r="AW590" s="34"/>
      <c r="AX590" s="34"/>
      <c r="AY590" s="34"/>
      <c r="AZ590" s="44"/>
      <c r="BA590" s="34"/>
      <c r="BB590" s="34"/>
    </row>
    <row r="591" spans="1:54" x14ac:dyDescent="0.35" ht="15.0" customHeight="true">
      <c r="A591" s="51"/>
      <c r="B591" s="34"/>
      <c r="C591" s="34"/>
      <c r="D591" s="34"/>
      <c r="E591" s="34"/>
      <c r="F591" s="34"/>
      <c r="G591" s="44"/>
      <c r="H591" s="34"/>
      <c r="I591" s="54"/>
      <c r="J591" s="34"/>
      <c r="K591" s="54"/>
      <c r="L591" s="34"/>
      <c r="M591" s="44"/>
      <c r="N591" s="44"/>
      <c r="O591" s="34"/>
      <c r="P591" s="34"/>
      <c r="Q591" s="34"/>
      <c r="R591" s="34"/>
      <c r="U591" s="44"/>
      <c r="W591" s="95"/>
      <c r="X591" s="54"/>
      <c r="Y591" s="54"/>
      <c r="Z591" s="34"/>
      <c r="AA591" s="34"/>
      <c r="AB591" s="34"/>
      <c r="AC591" s="34"/>
      <c r="AD591" s="34"/>
      <c r="AE591" s="34"/>
      <c r="AF591" s="34"/>
      <c r="AG591" s="34"/>
      <c r="AH591" s="52"/>
      <c r="AI591" s="52"/>
      <c r="AK591" s="34"/>
      <c r="AL591" s="34"/>
      <c r="AM591" s="34"/>
      <c r="AN591" s="54"/>
      <c r="AO591" s="34"/>
      <c r="AP591" s="34"/>
      <c r="AQ591" s="54"/>
      <c r="AR591" s="54"/>
      <c r="AS591" s="54"/>
      <c r="AT591" s="54"/>
      <c r="AU591" s="34"/>
      <c r="AV591" s="34"/>
      <c r="AW591" s="34"/>
      <c r="AX591" s="34"/>
      <c r="AY591" s="34"/>
      <c r="AZ591" s="44"/>
      <c r="BA591" s="34"/>
      <c r="BB591" s="34"/>
    </row>
    <row r="592" spans="1:54" x14ac:dyDescent="0.35" ht="15.0" customHeight="true">
      <c r="A592" s="51"/>
      <c r="B592" s="34"/>
      <c r="C592" s="34"/>
      <c r="D592" s="34"/>
      <c r="E592" s="34"/>
      <c r="F592" s="34"/>
      <c r="G592" s="44"/>
      <c r="H592" s="34"/>
      <c r="I592" s="54"/>
      <c r="J592" s="34"/>
      <c r="K592" s="54"/>
      <c r="L592" s="34"/>
      <c r="M592" s="44"/>
      <c r="N592" s="44"/>
      <c r="O592" s="34"/>
      <c r="P592" s="34"/>
      <c r="Q592" s="34"/>
      <c r="R592" s="34"/>
      <c r="U592" s="44"/>
      <c r="W592" s="95"/>
      <c r="X592" s="54"/>
      <c r="Y592" s="54"/>
      <c r="Z592" s="34"/>
      <c r="AA592" s="34"/>
      <c r="AB592" s="34"/>
      <c r="AC592" s="34"/>
      <c r="AD592" s="34"/>
      <c r="AE592" s="34"/>
      <c r="AF592" s="34"/>
      <c r="AG592" s="34"/>
      <c r="AH592" s="52"/>
      <c r="AI592" s="52"/>
      <c r="AK592" s="34"/>
      <c r="AL592" s="34"/>
      <c r="AM592" s="34"/>
      <c r="AN592" s="54"/>
      <c r="AO592" s="34"/>
      <c r="AP592" s="34"/>
      <c r="AQ592" s="54"/>
      <c r="AR592" s="54"/>
      <c r="AS592" s="54"/>
      <c r="AT592" s="54"/>
      <c r="AU592" s="34"/>
      <c r="AV592" s="34"/>
      <c r="AW592" s="34"/>
      <c r="AX592" s="34"/>
      <c r="AY592" s="34"/>
      <c r="AZ592" s="44"/>
      <c r="BA592" s="34"/>
      <c r="BB592" s="34"/>
    </row>
    <row r="593" spans="1:54" x14ac:dyDescent="0.35" ht="15.0" customHeight="true">
      <c r="A593" s="51"/>
      <c r="B593" s="34"/>
      <c r="C593" s="34"/>
      <c r="D593" s="34"/>
      <c r="E593" s="34"/>
      <c r="F593" s="34"/>
      <c r="G593" s="44"/>
      <c r="H593" s="34"/>
      <c r="I593" s="54"/>
      <c r="J593" s="34"/>
      <c r="K593" s="54"/>
      <c r="L593" s="34"/>
      <c r="M593" s="44"/>
      <c r="N593" s="44"/>
      <c r="O593" s="34"/>
      <c r="P593" s="34"/>
      <c r="Q593" s="34"/>
      <c r="R593" s="34"/>
      <c r="U593" s="44"/>
      <c r="W593" s="95"/>
      <c r="X593" s="54"/>
      <c r="Y593" s="54"/>
      <c r="Z593" s="34"/>
      <c r="AA593" s="34"/>
      <c r="AB593" s="34"/>
      <c r="AC593" s="34"/>
      <c r="AD593" s="34"/>
      <c r="AE593" s="34"/>
      <c r="AF593" s="34"/>
      <c r="AG593" s="34"/>
      <c r="AH593" s="52"/>
      <c r="AI593" s="52"/>
      <c r="AK593" s="34"/>
      <c r="AL593" s="34"/>
      <c r="AM593" s="34"/>
      <c r="AN593" s="54"/>
      <c r="AO593" s="34"/>
      <c r="AP593" s="34"/>
      <c r="AQ593" s="54"/>
      <c r="AR593" s="54"/>
      <c r="AS593" s="54"/>
      <c r="AT593" s="54"/>
      <c r="AU593" s="34"/>
      <c r="AV593" s="34"/>
      <c r="AW593" s="34"/>
      <c r="AX593" s="34"/>
      <c r="AY593" s="34"/>
      <c r="AZ593" s="44"/>
      <c r="BA593" s="34"/>
      <c r="BB593" s="34"/>
    </row>
    <row r="594" spans="1:54" x14ac:dyDescent="0.35" ht="15.0" customHeight="true">
      <c r="A594" s="51"/>
      <c r="B594" s="34"/>
      <c r="C594" s="34"/>
      <c r="D594" s="34"/>
      <c r="E594" s="34"/>
      <c r="F594" s="34"/>
      <c r="G594" s="44"/>
      <c r="H594" s="34"/>
      <c r="I594" s="54"/>
      <c r="J594" s="34"/>
      <c r="K594" s="54"/>
      <c r="L594" s="34"/>
      <c r="M594" s="44"/>
      <c r="N594" s="44"/>
      <c r="O594" s="34"/>
      <c r="P594" s="34"/>
      <c r="Q594" s="34"/>
      <c r="R594" s="34"/>
      <c r="U594" s="44"/>
      <c r="W594" s="95"/>
      <c r="X594" s="54"/>
      <c r="Y594" s="54"/>
      <c r="Z594" s="34"/>
      <c r="AA594" s="34"/>
      <c r="AB594" s="34"/>
      <c r="AC594" s="34"/>
      <c r="AD594" s="34"/>
      <c r="AE594" s="34"/>
      <c r="AF594" s="34"/>
      <c r="AG594" s="34"/>
      <c r="AH594" s="52"/>
      <c r="AI594" s="52"/>
      <c r="AK594" s="34"/>
      <c r="AL594" s="34"/>
      <c r="AM594" s="34"/>
      <c r="AN594" s="54"/>
      <c r="AO594" s="34"/>
      <c r="AP594" s="34"/>
      <c r="AQ594" s="54"/>
      <c r="AR594" s="54"/>
      <c r="AS594" s="54"/>
      <c r="AT594" s="54"/>
      <c r="AU594" s="34"/>
      <c r="AV594" s="34"/>
      <c r="AW594" s="34"/>
      <c r="AX594" s="34"/>
      <c r="AY594" s="34"/>
      <c r="AZ594" s="44"/>
      <c r="BA594" s="34"/>
      <c r="BB594" s="34"/>
    </row>
    <row r="595" spans="1:54" x14ac:dyDescent="0.35" ht="15.0" customHeight="true">
      <c r="A595" s="51"/>
      <c r="B595" s="34"/>
      <c r="C595" s="34"/>
      <c r="D595" s="34"/>
      <c r="E595" s="34"/>
      <c r="F595" s="34"/>
      <c r="G595" s="44"/>
      <c r="H595" s="34"/>
      <c r="I595" s="54"/>
      <c r="J595" s="34"/>
      <c r="K595" s="54"/>
      <c r="L595" s="34"/>
      <c r="M595" s="44"/>
      <c r="N595" s="44"/>
      <c r="O595" s="34"/>
      <c r="P595" s="34"/>
      <c r="Q595" s="34"/>
      <c r="R595" s="34"/>
      <c r="U595" s="44"/>
      <c r="W595" s="95"/>
      <c r="X595" s="54"/>
      <c r="Y595" s="54"/>
      <c r="Z595" s="34"/>
      <c r="AA595" s="34"/>
      <c r="AB595" s="34"/>
      <c r="AC595" s="34"/>
      <c r="AD595" s="34"/>
      <c r="AE595" s="34"/>
      <c r="AF595" s="34"/>
      <c r="AG595" s="34"/>
      <c r="AH595" s="52"/>
      <c r="AI595" s="52"/>
      <c r="AK595" s="34"/>
      <c r="AL595" s="34"/>
      <c r="AM595" s="34"/>
      <c r="AN595" s="54"/>
      <c r="AO595" s="34"/>
      <c r="AP595" s="34"/>
      <c r="AQ595" s="54"/>
      <c r="AR595" s="54"/>
      <c r="AS595" s="54"/>
      <c r="AT595" s="54"/>
      <c r="AU595" s="34"/>
      <c r="AV595" s="34"/>
      <c r="AW595" s="34"/>
      <c r="AX595" s="34"/>
      <c r="AY595" s="34"/>
      <c r="AZ595" s="44"/>
      <c r="BA595" s="34"/>
      <c r="BB595" s="34"/>
    </row>
    <row r="596" spans="1:54" x14ac:dyDescent="0.35" ht="15.0" customHeight="true">
      <c r="A596" s="51"/>
      <c r="B596" s="34"/>
      <c r="C596" s="34"/>
      <c r="D596" s="34"/>
      <c r="E596" s="34"/>
      <c r="F596" s="34"/>
      <c r="G596" s="44"/>
      <c r="H596" s="34"/>
      <c r="I596" s="54"/>
      <c r="J596" s="34"/>
      <c r="K596" s="54"/>
      <c r="L596" s="34"/>
      <c r="M596" s="44"/>
      <c r="N596" s="44"/>
      <c r="O596" s="34"/>
      <c r="P596" s="34"/>
      <c r="Q596" s="34"/>
      <c r="R596" s="34"/>
      <c r="U596" s="44"/>
      <c r="W596" s="95"/>
      <c r="X596" s="54"/>
      <c r="Y596" s="54"/>
      <c r="Z596" s="34"/>
      <c r="AA596" s="34"/>
      <c r="AB596" s="34"/>
      <c r="AC596" s="34"/>
      <c r="AD596" s="34"/>
      <c r="AE596" s="34"/>
      <c r="AF596" s="34"/>
      <c r="AG596" s="34"/>
      <c r="AH596" s="52"/>
      <c r="AI596" s="52"/>
      <c r="AK596" s="34"/>
      <c r="AL596" s="34"/>
      <c r="AM596" s="34"/>
      <c r="AN596" s="54"/>
      <c r="AO596" s="34"/>
      <c r="AP596" s="34"/>
      <c r="AQ596" s="54"/>
      <c r="AR596" s="54"/>
      <c r="AS596" s="54"/>
      <c r="AT596" s="54"/>
      <c r="AU596" s="34"/>
      <c r="AV596" s="34"/>
      <c r="AW596" s="34"/>
      <c r="AX596" s="34"/>
      <c r="AY596" s="34"/>
      <c r="AZ596" s="44"/>
      <c r="BA596" s="34"/>
      <c r="BB596" s="34"/>
    </row>
    <row r="597" spans="1:54" x14ac:dyDescent="0.35" ht="15.0" customHeight="true">
      <c r="A597" s="51"/>
      <c r="B597" s="34"/>
      <c r="C597" s="34"/>
      <c r="D597" s="34"/>
      <c r="E597" s="34"/>
      <c r="F597" s="34"/>
      <c r="G597" s="44"/>
      <c r="H597" s="34"/>
      <c r="I597" s="54"/>
      <c r="J597" s="34"/>
      <c r="K597" s="54"/>
      <c r="L597" s="34"/>
      <c r="M597" s="44"/>
      <c r="N597" s="44"/>
      <c r="O597" s="34"/>
      <c r="P597" s="34"/>
      <c r="Q597" s="34"/>
      <c r="R597" s="34"/>
      <c r="U597" s="44"/>
      <c r="W597" s="95"/>
      <c r="X597" s="54"/>
      <c r="Y597" s="54"/>
      <c r="Z597" s="34"/>
      <c r="AA597" s="34"/>
      <c r="AB597" s="34"/>
      <c r="AC597" s="34"/>
      <c r="AD597" s="34"/>
      <c r="AE597" s="34"/>
      <c r="AF597" s="34"/>
      <c r="AG597" s="34"/>
      <c r="AH597" s="52"/>
      <c r="AI597" s="52"/>
      <c r="AK597" s="34"/>
      <c r="AL597" s="34"/>
      <c r="AM597" s="34"/>
      <c r="AN597" s="54"/>
      <c r="AO597" s="34"/>
      <c r="AP597" s="34"/>
      <c r="AQ597" s="54"/>
      <c r="AR597" s="54"/>
      <c r="AS597" s="54"/>
      <c r="AT597" s="54"/>
      <c r="AU597" s="34"/>
      <c r="AV597" s="34"/>
      <c r="AW597" s="34"/>
      <c r="AX597" s="34"/>
      <c r="AY597" s="34"/>
      <c r="AZ597" s="44"/>
      <c r="BA597" s="34"/>
      <c r="BB597" s="34"/>
    </row>
    <row r="598" spans="1:54" x14ac:dyDescent="0.35" ht="15.0" customHeight="true">
      <c r="A598" s="51"/>
      <c r="B598" s="34"/>
      <c r="C598" s="34"/>
      <c r="D598" s="34"/>
      <c r="E598" s="34"/>
      <c r="F598" s="34"/>
      <c r="G598" s="44"/>
      <c r="H598" s="34"/>
      <c r="I598" s="54"/>
      <c r="J598" s="34"/>
      <c r="K598" s="54"/>
      <c r="L598" s="34"/>
      <c r="M598" s="44"/>
      <c r="N598" s="44"/>
      <c r="O598" s="34"/>
      <c r="P598" s="34"/>
      <c r="Q598" s="34"/>
      <c r="R598" s="34"/>
      <c r="U598" s="44"/>
      <c r="W598" s="95"/>
      <c r="X598" s="54"/>
      <c r="Y598" s="54"/>
      <c r="Z598" s="34"/>
      <c r="AA598" s="34"/>
      <c r="AB598" s="34"/>
      <c r="AC598" s="34"/>
      <c r="AD598" s="34"/>
      <c r="AE598" s="34"/>
      <c r="AF598" s="34"/>
      <c r="AG598" s="34"/>
      <c r="AH598" s="52"/>
      <c r="AI598" s="52"/>
      <c r="AK598" s="34"/>
      <c r="AL598" s="34"/>
      <c r="AM598" s="34"/>
      <c r="AN598" s="54"/>
      <c r="AO598" s="34"/>
      <c r="AP598" s="34"/>
      <c r="AQ598" s="54"/>
      <c r="AR598" s="54"/>
      <c r="AS598" s="54"/>
      <c r="AT598" s="54"/>
      <c r="AU598" s="34"/>
      <c r="AV598" s="34"/>
      <c r="AW598" s="34"/>
      <c r="AX598" s="34"/>
      <c r="AY598" s="34"/>
      <c r="AZ598" s="44"/>
      <c r="BA598" s="34"/>
      <c r="BB598" s="34"/>
    </row>
    <row r="599" spans="1:54" x14ac:dyDescent="0.35" ht="15.0" customHeight="true">
      <c r="A599" s="51"/>
      <c r="B599" s="34"/>
      <c r="C599" s="34"/>
      <c r="D599" s="34"/>
      <c r="E599" s="34"/>
      <c r="F599" s="34"/>
      <c r="G599" s="44"/>
      <c r="H599" s="34"/>
      <c r="I599" s="54"/>
      <c r="J599" s="34"/>
      <c r="K599" s="54"/>
      <c r="L599" s="34"/>
      <c r="M599" s="44"/>
      <c r="N599" s="44"/>
      <c r="O599" s="34"/>
      <c r="P599" s="34"/>
      <c r="Q599" s="34"/>
      <c r="R599" s="34"/>
      <c r="U599" s="44"/>
      <c r="W599" s="95"/>
      <c r="X599" s="54"/>
      <c r="Y599" s="54"/>
      <c r="Z599" s="34"/>
      <c r="AA599" s="34"/>
      <c r="AB599" s="34"/>
      <c r="AC599" s="34"/>
      <c r="AD599" s="34"/>
      <c r="AE599" s="34"/>
      <c r="AF599" s="34"/>
      <c r="AG599" s="34"/>
      <c r="AH599" s="52"/>
      <c r="AI599" s="52"/>
      <c r="AK599" s="34"/>
      <c r="AL599" s="34"/>
      <c r="AM599" s="34"/>
      <c r="AN599" s="54"/>
      <c r="AO599" s="34"/>
      <c r="AP599" s="34"/>
      <c r="AQ599" s="54"/>
      <c r="AR599" s="54"/>
      <c r="AS599" s="54"/>
      <c r="AT599" s="54"/>
      <c r="AU599" s="34"/>
      <c r="AV599" s="34"/>
      <c r="AW599" s="34"/>
      <c r="AX599" s="34"/>
      <c r="AY599" s="34"/>
      <c r="AZ599" s="44"/>
      <c r="BA599" s="34"/>
      <c r="BB599" s="34"/>
    </row>
    <row r="600" spans="1:54" x14ac:dyDescent="0.35" ht="15.0" customHeight="true">
      <c r="A600" s="51"/>
      <c r="B600" s="34"/>
      <c r="C600" s="34"/>
      <c r="D600" s="34"/>
      <c r="E600" s="34"/>
      <c r="F600" s="34"/>
      <c r="G600" s="44"/>
      <c r="H600" s="34"/>
      <c r="I600" s="54"/>
      <c r="J600" s="34"/>
      <c r="K600" s="54"/>
      <c r="L600" s="34"/>
      <c r="M600" s="44"/>
      <c r="N600" s="44"/>
      <c r="O600" s="34"/>
      <c r="P600" s="34"/>
      <c r="Q600" s="34"/>
      <c r="R600" s="34"/>
      <c r="U600" s="44"/>
      <c r="W600" s="95"/>
      <c r="X600" s="54"/>
      <c r="Y600" s="54"/>
      <c r="Z600" s="34"/>
      <c r="AA600" s="34"/>
      <c r="AB600" s="34"/>
      <c r="AC600" s="34"/>
      <c r="AD600" s="34"/>
      <c r="AE600" s="34"/>
      <c r="AF600" s="34"/>
      <c r="AG600" s="34"/>
      <c r="AH600" s="52"/>
      <c r="AI600" s="52"/>
      <c r="AK600" s="34"/>
      <c r="AL600" s="34"/>
      <c r="AM600" s="34"/>
      <c r="AN600" s="54"/>
      <c r="AO600" s="34"/>
      <c r="AP600" s="34"/>
      <c r="AQ600" s="54"/>
      <c r="AR600" s="54"/>
      <c r="AS600" s="54"/>
      <c r="AT600" s="54"/>
      <c r="AU600" s="34"/>
      <c r="AV600" s="34"/>
      <c r="AW600" s="34"/>
      <c r="AX600" s="34"/>
      <c r="AY600" s="34"/>
      <c r="AZ600" s="44"/>
      <c r="BA600" s="34"/>
      <c r="BB600" s="34"/>
    </row>
    <row r="601" spans="1:54" x14ac:dyDescent="0.35" ht="15.0" customHeight="true">
      <c r="A601" s="51"/>
      <c r="B601" s="34"/>
      <c r="C601" s="34"/>
      <c r="D601" s="34"/>
      <c r="E601" s="34"/>
      <c r="F601" s="34"/>
      <c r="G601" s="44"/>
      <c r="H601" s="34"/>
      <c r="I601" s="54"/>
      <c r="J601" s="34"/>
      <c r="K601" s="54"/>
      <c r="L601" s="34"/>
      <c r="M601" s="44"/>
      <c r="N601" s="44"/>
      <c r="O601" s="34"/>
      <c r="P601" s="34"/>
      <c r="Q601" s="34"/>
      <c r="R601" s="34"/>
      <c r="U601" s="44"/>
      <c r="W601" s="95"/>
      <c r="X601" s="54"/>
      <c r="Y601" s="54"/>
      <c r="Z601" s="34"/>
      <c r="AA601" s="34"/>
      <c r="AB601" s="34"/>
      <c r="AC601" s="34"/>
      <c r="AD601" s="34"/>
      <c r="AE601" s="34"/>
      <c r="AF601" s="34"/>
      <c r="AG601" s="34"/>
      <c r="AH601" s="52"/>
      <c r="AI601" s="52"/>
      <c r="AK601" s="34"/>
      <c r="AL601" s="34"/>
      <c r="AM601" s="34"/>
      <c r="AN601" s="54"/>
      <c r="AO601" s="34"/>
      <c r="AP601" s="34"/>
      <c r="AQ601" s="54"/>
      <c r="AR601" s="54"/>
      <c r="AS601" s="54"/>
      <c r="AT601" s="54"/>
      <c r="AU601" s="34"/>
      <c r="AV601" s="34"/>
      <c r="AW601" s="34"/>
      <c r="AX601" s="34"/>
      <c r="AY601" s="34"/>
      <c r="AZ601" s="44"/>
      <c r="BA601" s="34"/>
      <c r="BB601" s="34"/>
    </row>
    <row r="602" spans="1:54" x14ac:dyDescent="0.35" ht="15.0" customHeight="true">
      <c r="A602" s="51"/>
      <c r="B602" s="34"/>
      <c r="C602" s="34"/>
      <c r="D602" s="34"/>
      <c r="E602" s="34"/>
      <c r="F602" s="34"/>
      <c r="G602" s="44"/>
      <c r="H602" s="34"/>
      <c r="I602" s="54"/>
      <c r="J602" s="34"/>
      <c r="K602" s="54"/>
      <c r="L602" s="34"/>
      <c r="M602" s="44"/>
      <c r="N602" s="44"/>
      <c r="O602" s="34"/>
      <c r="P602" s="34"/>
      <c r="Q602" s="34"/>
      <c r="R602" s="34"/>
      <c r="U602" s="44"/>
      <c r="W602" s="95"/>
      <c r="X602" s="54"/>
      <c r="Y602" s="54"/>
      <c r="Z602" s="34"/>
      <c r="AA602" s="34"/>
      <c r="AB602" s="34"/>
      <c r="AC602" s="34"/>
      <c r="AD602" s="34"/>
      <c r="AE602" s="34"/>
      <c r="AF602" s="34"/>
      <c r="AG602" s="34"/>
      <c r="AH602" s="52"/>
      <c r="AI602" s="52"/>
      <c r="AK602" s="34"/>
      <c r="AL602" s="34"/>
      <c r="AM602" s="34"/>
      <c r="AN602" s="54"/>
      <c r="AO602" s="34"/>
      <c r="AP602" s="34"/>
      <c r="AQ602" s="54"/>
      <c r="AR602" s="54"/>
      <c r="AS602" s="54"/>
      <c r="AT602" s="54"/>
      <c r="AU602" s="34"/>
      <c r="AV602" s="34"/>
      <c r="AW602" s="34"/>
      <c r="AX602" s="34"/>
      <c r="AY602" s="34"/>
      <c r="AZ602" s="44"/>
      <c r="BA602" s="34"/>
      <c r="BB602" s="34"/>
    </row>
    <row r="603" spans="1:54" x14ac:dyDescent="0.35" ht="15.0" customHeight="true">
      <c r="A603" s="51"/>
      <c r="B603" s="34"/>
      <c r="C603" s="34"/>
      <c r="D603" s="34"/>
      <c r="E603" s="34"/>
      <c r="F603" s="34"/>
      <c r="G603" s="44"/>
      <c r="H603" s="34"/>
      <c r="I603" s="54"/>
      <c r="J603" s="34"/>
      <c r="K603" s="54"/>
      <c r="L603" s="34"/>
      <c r="M603" s="44"/>
      <c r="N603" s="44"/>
      <c r="O603" s="34"/>
      <c r="P603" s="34"/>
      <c r="Q603" s="34"/>
      <c r="R603" s="34"/>
      <c r="U603" s="44"/>
      <c r="W603" s="95"/>
      <c r="X603" s="54"/>
      <c r="Y603" s="54"/>
      <c r="Z603" s="34"/>
      <c r="AA603" s="34"/>
      <c r="AB603" s="34"/>
      <c r="AC603" s="34"/>
      <c r="AD603" s="34"/>
      <c r="AE603" s="34"/>
      <c r="AF603" s="34"/>
      <c r="AG603" s="34"/>
      <c r="AH603" s="52"/>
      <c r="AI603" s="52"/>
      <c r="AK603" s="34"/>
      <c r="AL603" s="34"/>
      <c r="AM603" s="34"/>
      <c r="AN603" s="54"/>
      <c r="AO603" s="34"/>
      <c r="AP603" s="34"/>
      <c r="AQ603" s="54"/>
      <c r="AR603" s="54"/>
      <c r="AS603" s="54"/>
      <c r="AT603" s="54"/>
      <c r="AU603" s="34"/>
      <c r="AV603" s="34"/>
      <c r="AW603" s="34"/>
      <c r="AX603" s="34"/>
      <c r="AY603" s="34"/>
      <c r="AZ603" s="44"/>
      <c r="BA603" s="34"/>
      <c r="BB603" s="34"/>
    </row>
    <row r="604" spans="1:54" x14ac:dyDescent="0.35" ht="15.0" customHeight="true">
      <c r="A604" s="51"/>
      <c r="B604" s="34"/>
      <c r="C604" s="34"/>
      <c r="D604" s="34"/>
      <c r="E604" s="34"/>
      <c r="F604" s="34"/>
      <c r="G604" s="44"/>
      <c r="H604" s="34"/>
      <c r="I604" s="54"/>
      <c r="J604" s="34"/>
      <c r="K604" s="54"/>
      <c r="L604" s="34"/>
      <c r="M604" s="44"/>
      <c r="N604" s="44"/>
      <c r="O604" s="34"/>
      <c r="P604" s="34"/>
      <c r="Q604" s="34"/>
      <c r="R604" s="34"/>
      <c r="U604" s="44"/>
      <c r="W604" s="95"/>
      <c r="X604" s="54"/>
      <c r="Y604" s="54"/>
      <c r="Z604" s="34"/>
      <c r="AA604" s="34"/>
      <c r="AB604" s="34"/>
      <c r="AC604" s="34"/>
      <c r="AD604" s="34"/>
      <c r="AE604" s="34"/>
      <c r="AF604" s="34"/>
      <c r="AG604" s="34"/>
      <c r="AH604" s="52"/>
      <c r="AI604" s="52"/>
      <c r="AK604" s="34"/>
      <c r="AL604" s="34"/>
      <c r="AM604" s="34"/>
      <c r="AN604" s="54"/>
      <c r="AO604" s="34"/>
      <c r="AP604" s="34"/>
      <c r="AQ604" s="54"/>
      <c r="AR604" s="54"/>
      <c r="AS604" s="54"/>
      <c r="AT604" s="54"/>
      <c r="AU604" s="34"/>
      <c r="AV604" s="34"/>
      <c r="AW604" s="34"/>
      <c r="AX604" s="34"/>
      <c r="AY604" s="34"/>
      <c r="AZ604" s="44"/>
      <c r="BA604" s="34"/>
      <c r="BB604" s="34"/>
    </row>
    <row r="605" spans="1:54" x14ac:dyDescent="0.35" ht="15.0" customHeight="true">
      <c r="A605" s="51"/>
      <c r="B605" s="34"/>
      <c r="C605" s="34"/>
      <c r="D605" s="34"/>
      <c r="E605" s="34"/>
      <c r="F605" s="34"/>
      <c r="G605" s="44"/>
      <c r="H605" s="34"/>
      <c r="I605" s="54"/>
      <c r="J605" s="34"/>
      <c r="K605" s="54"/>
      <c r="L605" s="34"/>
      <c r="M605" s="44"/>
      <c r="N605" s="44"/>
      <c r="O605" s="34"/>
      <c r="P605" s="34"/>
      <c r="Q605" s="34"/>
      <c r="R605" s="34"/>
      <c r="U605" s="44"/>
      <c r="W605" s="95"/>
      <c r="X605" s="54"/>
      <c r="Y605" s="54"/>
      <c r="Z605" s="34"/>
      <c r="AA605" s="34"/>
      <c r="AB605" s="34"/>
      <c r="AC605" s="34"/>
      <c r="AD605" s="34"/>
      <c r="AE605" s="34"/>
      <c r="AF605" s="34"/>
      <c r="AG605" s="34"/>
      <c r="AH605" s="52"/>
      <c r="AI605" s="52"/>
      <c r="AK605" s="34"/>
      <c r="AL605" s="34"/>
      <c r="AM605" s="34"/>
      <c r="AN605" s="54"/>
      <c r="AO605" s="34"/>
      <c r="AP605" s="34"/>
      <c r="AQ605" s="54"/>
      <c r="AR605" s="54"/>
      <c r="AS605" s="54"/>
      <c r="AT605" s="54"/>
      <c r="AU605" s="34"/>
      <c r="AV605" s="34"/>
      <c r="AW605" s="34"/>
      <c r="AX605" s="34"/>
      <c r="AY605" s="34"/>
      <c r="AZ605" s="44"/>
      <c r="BA605" s="34"/>
      <c r="BB605" s="34"/>
    </row>
    <row r="606" spans="1:54" x14ac:dyDescent="0.35" ht="15.0" customHeight="true">
      <c r="A606" s="51"/>
      <c r="B606" s="34"/>
      <c r="C606" s="34"/>
      <c r="D606" s="34"/>
      <c r="E606" s="34"/>
      <c r="F606" s="34"/>
      <c r="G606" s="44"/>
      <c r="H606" s="34"/>
      <c r="I606" s="54"/>
      <c r="J606" s="34"/>
      <c r="K606" s="54"/>
      <c r="L606" s="34"/>
      <c r="M606" s="44"/>
      <c r="N606" s="44"/>
      <c r="O606" s="34"/>
      <c r="P606" s="34"/>
      <c r="Q606" s="34"/>
      <c r="R606" s="34"/>
      <c r="U606" s="44"/>
      <c r="W606" s="95"/>
      <c r="X606" s="54"/>
      <c r="Y606" s="54"/>
      <c r="Z606" s="34"/>
      <c r="AA606" s="34"/>
      <c r="AB606" s="34"/>
      <c r="AC606" s="34"/>
      <c r="AD606" s="34"/>
      <c r="AE606" s="34"/>
      <c r="AF606" s="34"/>
      <c r="AG606" s="34"/>
      <c r="AH606" s="52"/>
      <c r="AI606" s="52"/>
      <c r="AK606" s="34"/>
      <c r="AL606" s="34"/>
      <c r="AM606" s="34"/>
      <c r="AN606" s="54"/>
      <c r="AO606" s="34"/>
      <c r="AP606" s="34"/>
      <c r="AQ606" s="54"/>
      <c r="AR606" s="54"/>
      <c r="AS606" s="54"/>
      <c r="AT606" s="54"/>
      <c r="AU606" s="34"/>
      <c r="AV606" s="34"/>
      <c r="AW606" s="34"/>
      <c r="AX606" s="34"/>
      <c r="AY606" s="34"/>
      <c r="AZ606" s="44"/>
      <c r="BA606" s="34"/>
      <c r="BB606" s="34"/>
    </row>
    <row r="607" spans="1:54" x14ac:dyDescent="0.35" ht="15.0" customHeight="true">
      <c r="A607" s="51"/>
      <c r="B607" s="34"/>
      <c r="C607" s="34"/>
      <c r="D607" s="34"/>
      <c r="E607" s="34"/>
      <c r="F607" s="34"/>
      <c r="G607" s="44"/>
      <c r="H607" s="34"/>
      <c r="I607" s="54"/>
      <c r="J607" s="34"/>
      <c r="K607" s="54"/>
      <c r="L607" s="34"/>
      <c r="M607" s="44"/>
      <c r="N607" s="44"/>
      <c r="O607" s="34"/>
      <c r="P607" s="34"/>
      <c r="Q607" s="34"/>
      <c r="R607" s="34"/>
      <c r="U607" s="44"/>
      <c r="W607" s="95"/>
      <c r="X607" s="54"/>
      <c r="Y607" s="54"/>
      <c r="Z607" s="34"/>
      <c r="AA607" s="34"/>
      <c r="AB607" s="34"/>
      <c r="AC607" s="34"/>
      <c r="AD607" s="34"/>
      <c r="AE607" s="34"/>
      <c r="AF607" s="34"/>
      <c r="AG607" s="34"/>
      <c r="AH607" s="52"/>
      <c r="AI607" s="52"/>
      <c r="AK607" s="34"/>
      <c r="AL607" s="34"/>
      <c r="AM607" s="34"/>
      <c r="AN607" s="54"/>
      <c r="AO607" s="34"/>
      <c r="AP607" s="34"/>
      <c r="AQ607" s="54"/>
      <c r="AR607" s="54"/>
      <c r="AS607" s="54"/>
      <c r="AT607" s="54"/>
      <c r="AU607" s="34"/>
      <c r="AV607" s="34"/>
      <c r="AW607" s="34"/>
      <c r="AX607" s="34"/>
      <c r="AY607" s="34"/>
      <c r="AZ607" s="44"/>
      <c r="BA607" s="34"/>
      <c r="BB607" s="34"/>
    </row>
    <row r="608" spans="1:54" x14ac:dyDescent="0.35" ht="15.0" customHeight="true">
      <c r="A608" s="51"/>
      <c r="B608" s="34"/>
      <c r="C608" s="34"/>
      <c r="D608" s="34"/>
      <c r="E608" s="34"/>
      <c r="F608" s="34"/>
      <c r="G608" s="44"/>
      <c r="H608" s="34"/>
      <c r="I608" s="54"/>
      <c r="J608" s="34"/>
      <c r="K608" s="54"/>
      <c r="L608" s="34"/>
      <c r="M608" s="44"/>
      <c r="N608" s="44"/>
      <c r="O608" s="34"/>
      <c r="P608" s="34"/>
      <c r="Q608" s="34"/>
      <c r="R608" s="34"/>
      <c r="U608" s="44"/>
      <c r="W608" s="95"/>
      <c r="X608" s="54"/>
      <c r="Y608" s="54"/>
      <c r="Z608" s="34"/>
      <c r="AA608" s="34"/>
      <c r="AB608" s="34"/>
      <c r="AC608" s="34"/>
      <c r="AD608" s="34"/>
      <c r="AE608" s="34"/>
      <c r="AF608" s="34"/>
      <c r="AG608" s="34"/>
      <c r="AH608" s="52"/>
      <c r="AI608" s="52"/>
      <c r="AK608" s="34"/>
      <c r="AL608" s="34"/>
      <c r="AM608" s="34"/>
      <c r="AN608" s="54"/>
      <c r="AO608" s="34"/>
      <c r="AP608" s="34"/>
      <c r="AQ608" s="54"/>
      <c r="AR608" s="54"/>
      <c r="AS608" s="54"/>
      <c r="AT608" s="54"/>
      <c r="AU608" s="34"/>
      <c r="AV608" s="34"/>
      <c r="AW608" s="34"/>
      <c r="AX608" s="34"/>
      <c r="AY608" s="34"/>
      <c r="AZ608" s="44"/>
      <c r="BA608" s="34"/>
      <c r="BB608" s="34"/>
    </row>
    <row r="609" spans="1:54" x14ac:dyDescent="0.35" ht="15.0" customHeight="true">
      <c r="A609" s="51"/>
      <c r="B609" s="34"/>
      <c r="C609" s="34"/>
      <c r="D609" s="34"/>
      <c r="E609" s="34"/>
      <c r="F609" s="34"/>
      <c r="G609" s="44"/>
      <c r="H609" s="34"/>
      <c r="I609" s="54"/>
      <c r="J609" s="34"/>
      <c r="K609" s="54"/>
      <c r="L609" s="34"/>
      <c r="M609" s="44"/>
      <c r="N609" s="44"/>
      <c r="O609" s="34"/>
      <c r="P609" s="34"/>
      <c r="Q609" s="34"/>
      <c r="R609" s="34"/>
      <c r="U609" s="44"/>
      <c r="W609" s="95"/>
      <c r="X609" s="54"/>
      <c r="Y609" s="54"/>
      <c r="Z609" s="34"/>
      <c r="AA609" s="34"/>
      <c r="AB609" s="34"/>
      <c r="AC609" s="34"/>
      <c r="AD609" s="34"/>
      <c r="AE609" s="34"/>
      <c r="AF609" s="34"/>
      <c r="AG609" s="34"/>
      <c r="AH609" s="52"/>
      <c r="AI609" s="52"/>
      <c r="AK609" s="34"/>
      <c r="AL609" s="34"/>
      <c r="AM609" s="34"/>
      <c r="AN609" s="54"/>
      <c r="AO609" s="34"/>
      <c r="AP609" s="34"/>
      <c r="AQ609" s="54"/>
      <c r="AR609" s="54"/>
      <c r="AS609" s="54"/>
      <c r="AT609" s="54"/>
      <c r="AU609" s="34"/>
      <c r="AV609" s="34"/>
      <c r="AW609" s="34"/>
      <c r="AX609" s="34"/>
      <c r="AY609" s="34"/>
      <c r="AZ609" s="44"/>
      <c r="BA609" s="34"/>
      <c r="BB609" s="34"/>
    </row>
    <row r="610" spans="1:54" x14ac:dyDescent="0.35" ht="15.0" customHeight="true">
      <c r="A610" s="51"/>
      <c r="B610" s="34"/>
      <c r="C610" s="34"/>
      <c r="D610" s="34"/>
      <c r="E610" s="34"/>
      <c r="F610" s="34"/>
      <c r="G610" s="44"/>
      <c r="H610" s="34"/>
      <c r="I610" s="54"/>
      <c r="J610" s="34"/>
      <c r="K610" s="54"/>
      <c r="L610" s="34"/>
      <c r="M610" s="44"/>
      <c r="N610" s="44"/>
      <c r="O610" s="34"/>
      <c r="P610" s="34"/>
      <c r="Q610" s="34"/>
      <c r="R610" s="34"/>
      <c r="U610" s="44"/>
      <c r="W610" s="95"/>
      <c r="X610" s="54"/>
      <c r="Y610" s="54"/>
      <c r="Z610" s="34"/>
      <c r="AA610" s="34"/>
      <c r="AB610" s="34"/>
      <c r="AC610" s="34"/>
      <c r="AD610" s="34"/>
      <c r="AE610" s="34"/>
      <c r="AF610" s="34"/>
      <c r="AG610" s="34"/>
      <c r="AH610" s="52"/>
      <c r="AI610" s="52"/>
      <c r="AK610" s="34"/>
      <c r="AL610" s="34"/>
      <c r="AM610" s="34"/>
      <c r="AN610" s="54"/>
      <c r="AO610" s="34"/>
      <c r="AP610" s="34"/>
      <c r="AQ610" s="54"/>
      <c r="AR610" s="54"/>
      <c r="AS610" s="54"/>
      <c r="AT610" s="54"/>
      <c r="AU610" s="34"/>
      <c r="AV610" s="34"/>
      <c r="AW610" s="34"/>
      <c r="AX610" s="34"/>
      <c r="AY610" s="34"/>
      <c r="AZ610" s="44"/>
      <c r="BA610" s="34"/>
      <c r="BB610" s="34"/>
    </row>
    <row r="611" spans="1:54" x14ac:dyDescent="0.35" ht="15.0" customHeight="true">
      <c r="A611" s="51"/>
      <c r="B611" s="34"/>
      <c r="C611" s="34"/>
      <c r="D611" s="34"/>
      <c r="E611" s="34"/>
      <c r="F611" s="34"/>
      <c r="G611" s="44"/>
      <c r="H611" s="34"/>
      <c r="I611" s="54"/>
      <c r="J611" s="34"/>
      <c r="K611" s="54"/>
      <c r="L611" s="34"/>
      <c r="M611" s="44"/>
      <c r="N611" s="44"/>
      <c r="O611" s="34"/>
      <c r="P611" s="34"/>
      <c r="Q611" s="34"/>
      <c r="R611" s="34"/>
      <c r="U611" s="44"/>
      <c r="W611" s="95"/>
      <c r="X611" s="54"/>
      <c r="Y611" s="54"/>
      <c r="Z611" s="34"/>
      <c r="AA611" s="34"/>
      <c r="AB611" s="34"/>
      <c r="AC611" s="34"/>
      <c r="AD611" s="34"/>
      <c r="AE611" s="34"/>
      <c r="AF611" s="34"/>
      <c r="AG611" s="34"/>
      <c r="AH611" s="52"/>
      <c r="AI611" s="52"/>
      <c r="AK611" s="34"/>
      <c r="AL611" s="34"/>
      <c r="AM611" s="34"/>
      <c r="AN611" s="54"/>
      <c r="AO611" s="34"/>
      <c r="AP611" s="34"/>
      <c r="AQ611" s="54"/>
      <c r="AR611" s="54"/>
      <c r="AS611" s="54"/>
      <c r="AT611" s="54"/>
      <c r="AU611" s="34"/>
      <c r="AV611" s="34"/>
      <c r="AW611" s="34"/>
      <c r="AX611" s="34"/>
      <c r="AY611" s="34"/>
      <c r="AZ611" s="44"/>
      <c r="BA611" s="34"/>
      <c r="BB611" s="34"/>
    </row>
    <row r="612" spans="1:54" x14ac:dyDescent="0.35" ht="15.0" customHeight="true">
      <c r="A612" s="51"/>
      <c r="B612" s="34"/>
      <c r="C612" s="34"/>
      <c r="D612" s="34"/>
      <c r="E612" s="34"/>
      <c r="F612" s="34"/>
      <c r="G612" s="44"/>
      <c r="H612" s="34"/>
      <c r="I612" s="54"/>
      <c r="J612" s="34"/>
      <c r="K612" s="54"/>
      <c r="L612" s="34"/>
      <c r="M612" s="44"/>
      <c r="N612" s="44"/>
      <c r="O612" s="34"/>
      <c r="P612" s="34"/>
      <c r="Q612" s="34"/>
      <c r="R612" s="34"/>
      <c r="U612" s="44"/>
      <c r="W612" s="95"/>
      <c r="X612" s="54"/>
      <c r="Y612" s="54"/>
      <c r="Z612" s="34"/>
      <c r="AA612" s="34"/>
      <c r="AB612" s="34"/>
      <c r="AC612" s="34"/>
      <c r="AD612" s="34"/>
      <c r="AE612" s="34"/>
      <c r="AF612" s="34"/>
      <c r="AG612" s="34"/>
      <c r="AH612" s="52"/>
      <c r="AI612" s="52"/>
      <c r="AK612" s="34"/>
      <c r="AL612" s="34"/>
      <c r="AM612" s="34"/>
      <c r="AN612" s="54"/>
      <c r="AO612" s="34"/>
      <c r="AP612" s="34"/>
      <c r="AQ612" s="54"/>
      <c r="AR612" s="54"/>
      <c r="AS612" s="54"/>
      <c r="AT612" s="54"/>
      <c r="AU612" s="34"/>
      <c r="AV612" s="34"/>
      <c r="AW612" s="34"/>
      <c r="AX612" s="34"/>
      <c r="AY612" s="34"/>
      <c r="AZ612" s="44"/>
      <c r="BA612" s="34"/>
      <c r="BB612" s="34"/>
    </row>
    <row r="613" spans="1:54" x14ac:dyDescent="0.35" ht="15.0" customHeight="true">
      <c r="A613" s="51"/>
      <c r="B613" s="34"/>
      <c r="C613" s="34"/>
      <c r="D613" s="34"/>
      <c r="E613" s="34"/>
      <c r="F613" s="34"/>
      <c r="G613" s="44"/>
      <c r="H613" s="34"/>
      <c r="I613" s="54"/>
      <c r="J613" s="34"/>
      <c r="K613" s="54"/>
      <c r="L613" s="34"/>
      <c r="M613" s="44"/>
      <c r="N613" s="44"/>
      <c r="O613" s="34"/>
      <c r="P613" s="34"/>
      <c r="Q613" s="34"/>
      <c r="R613" s="34"/>
      <c r="U613" s="44"/>
      <c r="W613" s="95"/>
      <c r="X613" s="54"/>
      <c r="Y613" s="54"/>
      <c r="Z613" s="34"/>
      <c r="AA613" s="34"/>
      <c r="AB613" s="34"/>
      <c r="AC613" s="34"/>
      <c r="AD613" s="34"/>
      <c r="AE613" s="34"/>
      <c r="AF613" s="34"/>
      <c r="AG613" s="34"/>
      <c r="AH613" s="52"/>
      <c r="AI613" s="52"/>
      <c r="AK613" s="34"/>
      <c r="AL613" s="34"/>
      <c r="AM613" s="34"/>
      <c r="AN613" s="54"/>
      <c r="AO613" s="34"/>
      <c r="AP613" s="34"/>
      <c r="AQ613" s="54"/>
      <c r="AR613" s="54"/>
      <c r="AS613" s="54"/>
      <c r="AT613" s="54"/>
      <c r="AU613" s="34"/>
      <c r="AV613" s="34"/>
      <c r="AW613" s="34"/>
      <c r="AX613" s="34"/>
      <c r="AY613" s="34"/>
      <c r="AZ613" s="44"/>
      <c r="BA613" s="34"/>
      <c r="BB613" s="34"/>
    </row>
    <row r="614" spans="1:54" x14ac:dyDescent="0.35" ht="15.0" customHeight="true">
      <c r="A614" s="51"/>
      <c r="B614" s="34"/>
      <c r="C614" s="34"/>
      <c r="D614" s="34"/>
      <c r="E614" s="34"/>
      <c r="F614" s="34"/>
      <c r="G614" s="44"/>
      <c r="H614" s="34"/>
      <c r="I614" s="54"/>
      <c r="J614" s="34"/>
      <c r="K614" s="54"/>
      <c r="L614" s="34"/>
      <c r="M614" s="44"/>
      <c r="N614" s="44"/>
      <c r="O614" s="34"/>
      <c r="P614" s="34"/>
      <c r="Q614" s="34"/>
      <c r="R614" s="34"/>
      <c r="U614" s="44"/>
      <c r="W614" s="95"/>
      <c r="X614" s="54"/>
      <c r="Y614" s="54"/>
      <c r="Z614" s="34"/>
      <c r="AA614" s="34"/>
      <c r="AB614" s="34"/>
      <c r="AC614" s="34"/>
      <c r="AD614" s="34"/>
      <c r="AE614" s="34"/>
      <c r="AF614" s="34"/>
      <c r="AG614" s="34"/>
      <c r="AH614" s="52"/>
      <c r="AI614" s="52"/>
      <c r="AK614" s="34"/>
      <c r="AL614" s="34"/>
      <c r="AM614" s="34"/>
      <c r="AN614" s="54"/>
      <c r="AO614" s="34"/>
      <c r="AP614" s="34"/>
      <c r="AQ614" s="54"/>
      <c r="AR614" s="54"/>
      <c r="AS614" s="54"/>
      <c r="AT614" s="54"/>
      <c r="AU614" s="34"/>
      <c r="AV614" s="34"/>
      <c r="AW614" s="34"/>
      <c r="AX614" s="34"/>
      <c r="AY614" s="34"/>
      <c r="AZ614" s="44"/>
      <c r="BA614" s="34"/>
      <c r="BB614" s="34"/>
    </row>
    <row r="615" spans="1:54" x14ac:dyDescent="0.35" ht="15.0" customHeight="true">
      <c r="A615" s="51"/>
      <c r="B615" s="34"/>
      <c r="C615" s="34"/>
      <c r="D615" s="34"/>
      <c r="E615" s="34"/>
      <c r="F615" s="34"/>
      <c r="G615" s="44"/>
      <c r="H615" s="34"/>
      <c r="I615" s="54"/>
      <c r="J615" s="34"/>
      <c r="K615" s="54"/>
      <c r="L615" s="34"/>
      <c r="M615" s="44"/>
      <c r="N615" s="44"/>
      <c r="O615" s="34"/>
      <c r="P615" s="34"/>
      <c r="Q615" s="34"/>
      <c r="R615" s="34"/>
      <c r="U615" s="44"/>
      <c r="W615" s="95"/>
      <c r="X615" s="54"/>
      <c r="Y615" s="54"/>
      <c r="Z615" s="34"/>
      <c r="AA615" s="34"/>
      <c r="AB615" s="34"/>
      <c r="AC615" s="34"/>
      <c r="AD615" s="34"/>
      <c r="AE615" s="34"/>
      <c r="AF615" s="34"/>
      <c r="AG615" s="34"/>
      <c r="AH615" s="52"/>
      <c r="AI615" s="52"/>
      <c r="AK615" s="34"/>
      <c r="AL615" s="34"/>
      <c r="AM615" s="34"/>
      <c r="AN615" s="54"/>
      <c r="AO615" s="34"/>
      <c r="AP615" s="34"/>
      <c r="AQ615" s="54"/>
      <c r="AR615" s="54"/>
      <c r="AS615" s="54"/>
      <c r="AT615" s="54"/>
      <c r="AU615" s="34"/>
      <c r="AV615" s="34"/>
      <c r="AW615" s="34"/>
      <c r="AX615" s="34"/>
      <c r="AY615" s="34"/>
      <c r="AZ615" s="44"/>
      <c r="BA615" s="34"/>
      <c r="BB615" s="34"/>
    </row>
    <row r="616" spans="1:54" x14ac:dyDescent="0.35" ht="15.0" customHeight="true">
      <c r="A616" s="51"/>
      <c r="B616" s="34"/>
      <c r="C616" s="34"/>
      <c r="D616" s="34"/>
      <c r="E616" s="34"/>
      <c r="F616" s="34"/>
      <c r="G616" s="44"/>
      <c r="H616" s="34"/>
      <c r="I616" s="54"/>
      <c r="J616" s="34"/>
      <c r="K616" s="54"/>
      <c r="L616" s="34"/>
      <c r="M616" s="44"/>
      <c r="N616" s="44"/>
      <c r="O616" s="34"/>
      <c r="P616" s="34"/>
      <c r="Q616" s="34"/>
      <c r="R616" s="34"/>
      <c r="U616" s="44"/>
      <c r="W616" s="95"/>
      <c r="X616" s="54"/>
      <c r="Y616" s="54"/>
      <c r="Z616" s="34"/>
      <c r="AA616" s="34"/>
      <c r="AB616" s="34"/>
      <c r="AC616" s="34"/>
      <c r="AD616" s="34"/>
      <c r="AE616" s="34"/>
      <c r="AF616" s="34"/>
      <c r="AG616" s="34"/>
      <c r="AH616" s="52"/>
      <c r="AI616" s="52"/>
      <c r="AK616" s="34"/>
      <c r="AL616" s="34"/>
      <c r="AM616" s="34"/>
      <c r="AN616" s="54"/>
      <c r="AO616" s="34"/>
      <c r="AP616" s="34"/>
      <c r="AQ616" s="54"/>
      <c r="AR616" s="54"/>
      <c r="AS616" s="54"/>
      <c r="AT616" s="54"/>
      <c r="AU616" s="34"/>
      <c r="AV616" s="34"/>
      <c r="AW616" s="34"/>
      <c r="AX616" s="34"/>
      <c r="AY616" s="34"/>
      <c r="AZ616" s="44"/>
      <c r="BA616" s="34"/>
      <c r="BB616" s="34"/>
    </row>
    <row r="617" spans="1:54" x14ac:dyDescent="0.35" ht="15.0" customHeight="true">
      <c r="A617" s="51"/>
      <c r="B617" s="34"/>
      <c r="C617" s="34"/>
      <c r="D617" s="34"/>
      <c r="E617" s="34"/>
      <c r="F617" s="34"/>
      <c r="G617" s="44"/>
      <c r="H617" s="34"/>
      <c r="I617" s="54"/>
      <c r="J617" s="34"/>
      <c r="K617" s="54"/>
      <c r="L617" s="34"/>
      <c r="M617" s="44"/>
      <c r="N617" s="44"/>
      <c r="O617" s="34"/>
      <c r="P617" s="34"/>
      <c r="Q617" s="34"/>
      <c r="R617" s="34"/>
      <c r="U617" s="44"/>
      <c r="W617" s="95"/>
      <c r="X617" s="54"/>
      <c r="Y617" s="54"/>
      <c r="Z617" s="34"/>
      <c r="AA617" s="34"/>
      <c r="AB617" s="34"/>
      <c r="AC617" s="34"/>
      <c r="AD617" s="34"/>
      <c r="AE617" s="34"/>
      <c r="AF617" s="34"/>
      <c r="AG617" s="34"/>
      <c r="AH617" s="52"/>
      <c r="AI617" s="52"/>
      <c r="AK617" s="34"/>
      <c r="AL617" s="34"/>
      <c r="AM617" s="34"/>
      <c r="AN617" s="54"/>
      <c r="AO617" s="34"/>
      <c r="AP617" s="34"/>
      <c r="AQ617" s="54"/>
      <c r="AR617" s="54"/>
      <c r="AS617" s="54"/>
      <c r="AT617" s="54"/>
      <c r="AU617" s="34"/>
      <c r="AV617" s="34"/>
      <c r="AW617" s="34"/>
      <c r="AX617" s="34"/>
      <c r="AY617" s="34"/>
      <c r="AZ617" s="44"/>
      <c r="BA617" s="34"/>
      <c r="BB617" s="34"/>
    </row>
    <row r="618" spans="1:54" x14ac:dyDescent="0.35" ht="15.0" customHeight="true">
      <c r="A618" s="51"/>
      <c r="B618" s="34"/>
      <c r="C618" s="34"/>
      <c r="D618" s="34"/>
      <c r="E618" s="34"/>
      <c r="F618" s="34"/>
      <c r="G618" s="44"/>
      <c r="H618" s="34"/>
      <c r="I618" s="54"/>
      <c r="J618" s="34"/>
      <c r="K618" s="54"/>
      <c r="L618" s="34"/>
      <c r="M618" s="44"/>
      <c r="N618" s="44"/>
      <c r="O618" s="34"/>
      <c r="P618" s="34"/>
      <c r="Q618" s="34"/>
      <c r="R618" s="34"/>
      <c r="U618" s="44"/>
      <c r="W618" s="95"/>
      <c r="X618" s="54"/>
      <c r="Y618" s="54"/>
      <c r="Z618" s="34"/>
      <c r="AA618" s="34"/>
      <c r="AB618" s="34"/>
      <c r="AC618" s="34"/>
      <c r="AD618" s="34"/>
      <c r="AE618" s="34"/>
      <c r="AF618" s="34"/>
      <c r="AG618" s="34"/>
      <c r="AH618" s="52"/>
      <c r="AI618" s="52"/>
      <c r="AK618" s="34"/>
      <c r="AL618" s="34"/>
      <c r="AM618" s="34"/>
      <c r="AN618" s="54"/>
      <c r="AO618" s="34"/>
      <c r="AP618" s="34"/>
      <c r="AQ618" s="54"/>
      <c r="AR618" s="54"/>
      <c r="AS618" s="54"/>
      <c r="AT618" s="54"/>
      <c r="AU618" s="34"/>
      <c r="AV618" s="34"/>
      <c r="AW618" s="34"/>
      <c r="AX618" s="34"/>
      <c r="AY618" s="34"/>
      <c r="AZ618" s="44"/>
      <c r="BA618" s="34"/>
      <c r="BB618" s="34"/>
    </row>
    <row r="619" spans="1:54" x14ac:dyDescent="0.35" ht="15.0" customHeight="true">
      <c r="A619" s="51"/>
      <c r="B619" s="34"/>
      <c r="C619" s="34"/>
      <c r="D619" s="34"/>
      <c r="E619" s="34"/>
      <c r="F619" s="34"/>
      <c r="G619" s="44"/>
      <c r="H619" s="34"/>
      <c r="I619" s="54"/>
      <c r="J619" s="34"/>
      <c r="K619" s="54"/>
      <c r="L619" s="34"/>
      <c r="M619" s="44"/>
      <c r="N619" s="44"/>
      <c r="O619" s="34"/>
      <c r="P619" s="34"/>
      <c r="Q619" s="34"/>
      <c r="R619" s="34"/>
      <c r="U619" s="44"/>
      <c r="W619" s="95"/>
      <c r="X619" s="54"/>
      <c r="Y619" s="54"/>
      <c r="Z619" s="34"/>
      <c r="AA619" s="34"/>
      <c r="AB619" s="34"/>
      <c r="AC619" s="34"/>
      <c r="AD619" s="34"/>
      <c r="AE619" s="34"/>
      <c r="AF619" s="34"/>
      <c r="AG619" s="34"/>
      <c r="AH619" s="52"/>
      <c r="AI619" s="52"/>
      <c r="AK619" s="34"/>
      <c r="AL619" s="34"/>
      <c r="AM619" s="34"/>
      <c r="AN619" s="54"/>
      <c r="AO619" s="34"/>
      <c r="AP619" s="34"/>
      <c r="AQ619" s="54"/>
      <c r="AR619" s="54"/>
      <c r="AS619" s="54"/>
      <c r="AT619" s="54"/>
      <c r="AU619" s="34"/>
      <c r="AV619" s="34"/>
      <c r="AW619" s="34"/>
      <c r="AX619" s="34"/>
      <c r="AY619" s="34"/>
      <c r="AZ619" s="44"/>
      <c r="BA619" s="34"/>
      <c r="BB619" s="34"/>
    </row>
    <row r="620" spans="1:54" x14ac:dyDescent="0.35" ht="15.0" customHeight="true">
      <c r="A620" s="51"/>
      <c r="B620" s="34"/>
      <c r="C620" s="34"/>
      <c r="D620" s="34"/>
      <c r="E620" s="34"/>
      <c r="F620" s="34"/>
      <c r="G620" s="44"/>
      <c r="H620" s="34"/>
      <c r="I620" s="54"/>
      <c r="J620" s="34"/>
      <c r="K620" s="54"/>
      <c r="L620" s="34"/>
      <c r="M620" s="44"/>
      <c r="N620" s="44"/>
      <c r="O620" s="34"/>
      <c r="P620" s="34"/>
      <c r="Q620" s="34"/>
      <c r="R620" s="34"/>
      <c r="U620" s="44"/>
      <c r="W620" s="95"/>
      <c r="X620" s="54"/>
      <c r="Y620" s="54"/>
      <c r="Z620" s="34"/>
      <c r="AA620" s="34"/>
      <c r="AB620" s="34"/>
      <c r="AC620" s="34"/>
      <c r="AD620" s="34"/>
      <c r="AE620" s="34"/>
      <c r="AF620" s="34"/>
      <c r="AG620" s="34"/>
      <c r="AH620" s="52"/>
      <c r="AI620" s="52"/>
      <c r="AK620" s="34"/>
      <c r="AL620" s="34"/>
      <c r="AM620" s="34"/>
      <c r="AN620" s="54"/>
      <c r="AO620" s="34"/>
      <c r="AP620" s="34"/>
      <c r="AQ620" s="54"/>
      <c r="AR620" s="54"/>
      <c r="AS620" s="54"/>
      <c r="AT620" s="54"/>
      <c r="AU620" s="34"/>
      <c r="AV620" s="34"/>
      <c r="AW620" s="34"/>
      <c r="AX620" s="34"/>
      <c r="AY620" s="34"/>
      <c r="AZ620" s="44"/>
      <c r="BA620" s="34"/>
      <c r="BB620" s="34"/>
    </row>
    <row r="621" spans="1:54" x14ac:dyDescent="0.35" ht="15.0" customHeight="true">
      <c r="A621" s="51"/>
      <c r="B621" s="34"/>
      <c r="C621" s="34"/>
      <c r="D621" s="34"/>
      <c r="E621" s="34"/>
      <c r="F621" s="34"/>
      <c r="G621" s="44"/>
      <c r="H621" s="34"/>
      <c r="I621" s="54"/>
      <c r="J621" s="34"/>
      <c r="K621" s="54"/>
      <c r="L621" s="34"/>
      <c r="M621" s="44"/>
      <c r="N621" s="44"/>
      <c r="O621" s="34"/>
      <c r="P621" s="34"/>
      <c r="Q621" s="34"/>
      <c r="R621" s="34"/>
      <c r="U621" s="44"/>
      <c r="W621" s="95"/>
      <c r="X621" s="54"/>
      <c r="Y621" s="54"/>
      <c r="Z621" s="34"/>
      <c r="AA621" s="34"/>
      <c r="AB621" s="34"/>
      <c r="AC621" s="34"/>
      <c r="AD621" s="34"/>
      <c r="AE621" s="34"/>
      <c r="AF621" s="34"/>
      <c r="AG621" s="34"/>
      <c r="AH621" s="52"/>
      <c r="AI621" s="52"/>
      <c r="AK621" s="34"/>
      <c r="AL621" s="34"/>
      <c r="AM621" s="34"/>
      <c r="AN621" s="54"/>
      <c r="AO621" s="34"/>
      <c r="AP621" s="34"/>
      <c r="AQ621" s="54"/>
      <c r="AR621" s="54"/>
      <c r="AS621" s="54"/>
      <c r="AT621" s="54"/>
      <c r="AU621" s="34"/>
      <c r="AV621" s="34"/>
      <c r="AW621" s="34"/>
      <c r="AX621" s="34"/>
      <c r="AY621" s="34"/>
      <c r="AZ621" s="44"/>
      <c r="BA621" s="34"/>
      <c r="BB621" s="34"/>
    </row>
    <row r="622" spans="1:54" x14ac:dyDescent="0.35" ht="15.0" customHeight="true">
      <c r="A622" s="51"/>
      <c r="B622" s="34"/>
      <c r="C622" s="34"/>
      <c r="D622" s="34"/>
      <c r="E622" s="34"/>
      <c r="F622" s="34"/>
      <c r="G622" s="44"/>
      <c r="H622" s="34"/>
      <c r="I622" s="54"/>
      <c r="J622" s="34"/>
      <c r="K622" s="54"/>
      <c r="L622" s="34"/>
      <c r="M622" s="44"/>
      <c r="N622" s="44"/>
      <c r="O622" s="34"/>
      <c r="P622" s="34"/>
      <c r="Q622" s="34"/>
      <c r="R622" s="34"/>
      <c r="U622" s="44"/>
      <c r="W622" s="95"/>
      <c r="X622" s="54"/>
      <c r="Y622" s="54"/>
      <c r="Z622" s="34"/>
      <c r="AA622" s="34"/>
      <c r="AB622" s="34"/>
      <c r="AC622" s="34"/>
      <c r="AD622" s="34"/>
      <c r="AE622" s="34"/>
      <c r="AF622" s="34"/>
      <c r="AG622" s="34"/>
      <c r="AH622" s="52"/>
      <c r="AI622" s="52"/>
      <c r="AK622" s="34"/>
      <c r="AL622" s="34"/>
      <c r="AM622" s="34"/>
      <c r="AN622" s="54"/>
      <c r="AO622" s="34"/>
      <c r="AP622" s="34"/>
      <c r="AQ622" s="54"/>
      <c r="AR622" s="54"/>
      <c r="AS622" s="54"/>
      <c r="AT622" s="54"/>
      <c r="AU622" s="34"/>
      <c r="AV622" s="34"/>
      <c r="AW622" s="34"/>
      <c r="AX622" s="34"/>
      <c r="AY622" s="34"/>
      <c r="AZ622" s="44"/>
      <c r="BA622" s="34"/>
      <c r="BB622" s="34"/>
    </row>
    <row r="623" spans="1:54" x14ac:dyDescent="0.35" ht="15.0" customHeight="true">
      <c r="A623" s="51"/>
      <c r="B623" s="34"/>
      <c r="C623" s="34"/>
      <c r="D623" s="34"/>
      <c r="E623" s="34"/>
      <c r="F623" s="34"/>
      <c r="G623" s="44"/>
      <c r="H623" s="34"/>
      <c r="I623" s="54"/>
      <c r="J623" s="34"/>
      <c r="K623" s="54"/>
      <c r="L623" s="34"/>
      <c r="M623" s="44"/>
      <c r="N623" s="44"/>
      <c r="O623" s="34"/>
      <c r="P623" s="34"/>
      <c r="Q623" s="34"/>
      <c r="R623" s="34"/>
      <c r="U623" s="44"/>
      <c r="W623" s="95"/>
      <c r="X623" s="54"/>
      <c r="Y623" s="54"/>
      <c r="Z623" s="34"/>
      <c r="AA623" s="34"/>
      <c r="AB623" s="34"/>
      <c r="AC623" s="34"/>
      <c r="AD623" s="34"/>
      <c r="AE623" s="34"/>
      <c r="AF623" s="34"/>
      <c r="AG623" s="34"/>
      <c r="AH623" s="52"/>
      <c r="AI623" s="52"/>
      <c r="AK623" s="34"/>
      <c r="AL623" s="34"/>
      <c r="AM623" s="34"/>
      <c r="AN623" s="54"/>
      <c r="AO623" s="34"/>
      <c r="AP623" s="34"/>
      <c r="AQ623" s="54"/>
      <c r="AR623" s="54"/>
      <c r="AS623" s="54"/>
      <c r="AT623" s="54"/>
      <c r="AU623" s="34"/>
      <c r="AV623" s="34"/>
      <c r="AW623" s="34"/>
      <c r="AX623" s="34"/>
      <c r="AY623" s="34"/>
      <c r="AZ623" s="44"/>
      <c r="BA623" s="34"/>
      <c r="BB623" s="34"/>
    </row>
    <row r="624" spans="1:54" x14ac:dyDescent="0.35" ht="15.0" customHeight="true">
      <c r="A624" s="51"/>
      <c r="B624" s="34"/>
      <c r="C624" s="34"/>
      <c r="D624" s="34"/>
      <c r="E624" s="34"/>
      <c r="F624" s="34"/>
      <c r="G624" s="44"/>
      <c r="H624" s="34"/>
      <c r="I624" s="54"/>
      <c r="J624" s="34"/>
      <c r="K624" s="54"/>
      <c r="L624" s="34"/>
      <c r="M624" s="44"/>
      <c r="N624" s="44"/>
      <c r="O624" s="34"/>
      <c r="P624" s="34"/>
      <c r="Q624" s="34"/>
      <c r="R624" s="34"/>
      <c r="U624" s="44"/>
      <c r="W624" s="95"/>
      <c r="X624" s="54"/>
      <c r="Y624" s="54"/>
      <c r="Z624" s="34"/>
      <c r="AA624" s="34"/>
      <c r="AB624" s="34"/>
      <c r="AC624" s="34"/>
      <c r="AD624" s="34"/>
      <c r="AE624" s="34"/>
      <c r="AF624" s="34"/>
      <c r="AG624" s="34"/>
      <c r="AH624" s="52"/>
      <c r="AI624" s="52"/>
      <c r="AK624" s="34"/>
      <c r="AL624" s="34"/>
      <c r="AM624" s="34"/>
      <c r="AN624" s="54"/>
      <c r="AO624" s="34"/>
      <c r="AP624" s="34"/>
      <c r="AQ624" s="54"/>
      <c r="AR624" s="54"/>
      <c r="AS624" s="54"/>
      <c r="AT624" s="54"/>
      <c r="AU624" s="34"/>
      <c r="AV624" s="34"/>
      <c r="AW624" s="34"/>
      <c r="AX624" s="34"/>
      <c r="AY624" s="34"/>
      <c r="AZ624" s="44"/>
      <c r="BA624" s="34"/>
      <c r="BB624" s="34"/>
    </row>
    <row r="625" spans="1:54" x14ac:dyDescent="0.35" ht="15.0" customHeight="true">
      <c r="A625" s="51"/>
      <c r="B625" s="34"/>
      <c r="C625" s="34"/>
      <c r="D625" s="34"/>
      <c r="E625" s="34"/>
      <c r="F625" s="34"/>
      <c r="G625" s="44"/>
      <c r="H625" s="34"/>
      <c r="I625" s="54"/>
      <c r="J625" s="34"/>
      <c r="K625" s="54"/>
      <c r="L625" s="34"/>
      <c r="M625" s="44"/>
      <c r="N625" s="44"/>
      <c r="O625" s="34"/>
      <c r="P625" s="34"/>
      <c r="Q625" s="34"/>
      <c r="R625" s="34"/>
      <c r="U625" s="44"/>
      <c r="W625" s="95"/>
      <c r="X625" s="54"/>
      <c r="Y625" s="54"/>
      <c r="Z625" s="34"/>
      <c r="AA625" s="34"/>
      <c r="AB625" s="34"/>
      <c r="AC625" s="34"/>
      <c r="AD625" s="34"/>
      <c r="AE625" s="34"/>
      <c r="AF625" s="34"/>
      <c r="AG625" s="34"/>
      <c r="AH625" s="52"/>
      <c r="AI625" s="52"/>
      <c r="AK625" s="34"/>
      <c r="AL625" s="34"/>
      <c r="AM625" s="34"/>
      <c r="AN625" s="54"/>
      <c r="AO625" s="34"/>
      <c r="AP625" s="34"/>
      <c r="AQ625" s="54"/>
      <c r="AR625" s="54"/>
      <c r="AS625" s="54"/>
      <c r="AT625" s="54"/>
      <c r="AU625" s="34"/>
      <c r="AV625" s="34"/>
      <c r="AW625" s="34"/>
      <c r="AX625" s="34"/>
      <c r="AY625" s="34"/>
      <c r="AZ625" s="44"/>
      <c r="BA625" s="34"/>
      <c r="BB625" s="34"/>
    </row>
    <row r="626" spans="1:54" x14ac:dyDescent="0.35" ht="15.0" customHeight="true">
      <c r="A626" s="51"/>
      <c r="B626" s="34"/>
      <c r="C626" s="34"/>
      <c r="D626" s="34"/>
      <c r="E626" s="34"/>
      <c r="F626" s="34"/>
      <c r="G626" s="44"/>
      <c r="H626" s="34"/>
      <c r="I626" s="54"/>
      <c r="J626" s="34"/>
      <c r="K626" s="54"/>
      <c r="L626" s="34"/>
      <c r="M626" s="44"/>
      <c r="N626" s="44"/>
      <c r="O626" s="34"/>
      <c r="P626" s="34"/>
      <c r="Q626" s="34"/>
      <c r="R626" s="34"/>
      <c r="U626" s="44"/>
      <c r="W626" s="95"/>
      <c r="X626" s="54"/>
      <c r="Y626" s="54"/>
      <c r="Z626" s="34"/>
      <c r="AA626" s="34"/>
      <c r="AB626" s="34"/>
      <c r="AC626" s="34"/>
      <c r="AD626" s="34"/>
      <c r="AE626" s="34"/>
      <c r="AF626" s="34"/>
      <c r="AG626" s="34"/>
      <c r="AH626" s="52"/>
      <c r="AI626" s="52"/>
      <c r="AK626" s="34"/>
      <c r="AL626" s="34"/>
      <c r="AM626" s="34"/>
      <c r="AN626" s="54"/>
      <c r="AO626" s="34"/>
      <c r="AP626" s="34"/>
      <c r="AQ626" s="54"/>
      <c r="AR626" s="54"/>
      <c r="AS626" s="54"/>
      <c r="AT626" s="54"/>
      <c r="AU626" s="34"/>
      <c r="AV626" s="34"/>
      <c r="AW626" s="34"/>
      <c r="AX626" s="34"/>
      <c r="AY626" s="34"/>
      <c r="AZ626" s="44"/>
      <c r="BA626" s="34"/>
      <c r="BB626" s="34"/>
    </row>
    <row r="627" spans="1:54" x14ac:dyDescent="0.35" ht="15.0" customHeight="true">
      <c r="A627" s="51"/>
      <c r="B627" s="34"/>
      <c r="C627" s="34"/>
      <c r="D627" s="34"/>
      <c r="E627" s="34"/>
      <c r="F627" s="34"/>
      <c r="G627" s="44"/>
      <c r="H627" s="34"/>
      <c r="I627" s="54"/>
      <c r="J627" s="34"/>
      <c r="K627" s="54"/>
      <c r="L627" s="34"/>
      <c r="M627" s="44"/>
      <c r="N627" s="44"/>
      <c r="O627" s="34"/>
      <c r="P627" s="34"/>
      <c r="Q627" s="34"/>
      <c r="R627" s="34"/>
      <c r="U627" s="44"/>
      <c r="W627" s="95"/>
      <c r="X627" s="54"/>
      <c r="Y627" s="54"/>
      <c r="Z627" s="34"/>
      <c r="AA627" s="34"/>
      <c r="AB627" s="34"/>
      <c r="AC627" s="34"/>
      <c r="AD627" s="34"/>
      <c r="AE627" s="34"/>
      <c r="AF627" s="34"/>
      <c r="AG627" s="34"/>
      <c r="AH627" s="52"/>
      <c r="AI627" s="52"/>
      <c r="AK627" s="34"/>
      <c r="AL627" s="34"/>
      <c r="AM627" s="34"/>
      <c r="AN627" s="54"/>
      <c r="AO627" s="34"/>
      <c r="AP627" s="34"/>
      <c r="AQ627" s="54"/>
      <c r="AR627" s="54"/>
      <c r="AS627" s="54"/>
      <c r="AT627" s="54"/>
      <c r="AU627" s="34"/>
      <c r="AV627" s="34"/>
      <c r="AW627" s="34"/>
      <c r="AX627" s="34"/>
      <c r="AY627" s="34"/>
      <c r="AZ627" s="44"/>
      <c r="BA627" s="34"/>
      <c r="BB627" s="34"/>
    </row>
    <row r="628" spans="1:54" x14ac:dyDescent="0.35" ht="15.0" customHeight="true">
      <c r="A628" s="51"/>
      <c r="B628" s="34"/>
      <c r="C628" s="34"/>
      <c r="D628" s="34"/>
      <c r="E628" s="34"/>
      <c r="F628" s="34"/>
      <c r="G628" s="44"/>
      <c r="H628" s="34"/>
      <c r="I628" s="54"/>
      <c r="J628" s="34"/>
      <c r="K628" s="54"/>
      <c r="L628" s="34"/>
      <c r="M628" s="44"/>
      <c r="N628" s="44"/>
      <c r="O628" s="34"/>
      <c r="P628" s="34"/>
      <c r="Q628" s="34"/>
      <c r="R628" s="34"/>
      <c r="U628" s="44"/>
      <c r="W628" s="95"/>
      <c r="X628" s="54"/>
      <c r="Y628" s="54"/>
      <c r="Z628" s="34"/>
      <c r="AA628" s="34"/>
      <c r="AB628" s="34"/>
      <c r="AC628" s="34"/>
      <c r="AD628" s="34"/>
      <c r="AE628" s="34"/>
      <c r="AF628" s="34"/>
      <c r="AG628" s="34"/>
      <c r="AH628" s="52"/>
      <c r="AI628" s="52"/>
      <c r="AK628" s="34"/>
      <c r="AL628" s="34"/>
      <c r="AM628" s="34"/>
      <c r="AN628" s="54"/>
      <c r="AO628" s="34"/>
      <c r="AP628" s="34"/>
      <c r="AQ628" s="54"/>
      <c r="AR628" s="54"/>
      <c r="AS628" s="54"/>
      <c r="AT628" s="54"/>
      <c r="AU628" s="34"/>
      <c r="AV628" s="34"/>
      <c r="AW628" s="34"/>
      <c r="AX628" s="34"/>
      <c r="AY628" s="34"/>
      <c r="AZ628" s="44"/>
      <c r="BA628" s="34"/>
      <c r="BB628" s="34"/>
    </row>
    <row r="629" spans="1:54" x14ac:dyDescent="0.35" ht="15.0" customHeight="true">
      <c r="A629" s="51"/>
      <c r="B629" s="34"/>
      <c r="C629" s="34"/>
      <c r="D629" s="34"/>
      <c r="E629" s="34"/>
      <c r="F629" s="34"/>
      <c r="G629" s="44"/>
      <c r="H629" s="34"/>
      <c r="I629" s="54"/>
      <c r="J629" s="34"/>
      <c r="K629" s="54"/>
      <c r="L629" s="34"/>
      <c r="M629" s="44"/>
      <c r="N629" s="44"/>
      <c r="O629" s="34"/>
      <c r="P629" s="34"/>
      <c r="Q629" s="34"/>
      <c r="R629" s="34"/>
      <c r="U629" s="44"/>
      <c r="W629" s="95"/>
      <c r="X629" s="54"/>
      <c r="Y629" s="54"/>
      <c r="Z629" s="34"/>
      <c r="AA629" s="34"/>
      <c r="AB629" s="34"/>
      <c r="AC629" s="34"/>
      <c r="AD629" s="34"/>
      <c r="AE629" s="34"/>
      <c r="AF629" s="34"/>
      <c r="AG629" s="34"/>
      <c r="AH629" s="52"/>
      <c r="AI629" s="52"/>
      <c r="AK629" s="34"/>
      <c r="AL629" s="34"/>
      <c r="AM629" s="34"/>
      <c r="AN629" s="54"/>
      <c r="AO629" s="34"/>
      <c r="AP629" s="34"/>
      <c r="AQ629" s="54"/>
      <c r="AR629" s="54"/>
      <c r="AS629" s="54"/>
      <c r="AT629" s="54"/>
      <c r="AU629" s="34"/>
      <c r="AV629" s="34"/>
      <c r="AW629" s="34"/>
      <c r="AX629" s="34"/>
      <c r="AY629" s="34"/>
      <c r="AZ629" s="44"/>
      <c r="BA629" s="34"/>
      <c r="BB629" s="34"/>
    </row>
    <row r="630" spans="1:54" x14ac:dyDescent="0.35" ht="15.0" customHeight="true">
      <c r="A630" s="51"/>
      <c r="B630" s="34"/>
      <c r="C630" s="34"/>
      <c r="D630" s="34"/>
      <c r="E630" s="34"/>
      <c r="F630" s="34"/>
      <c r="G630" s="44"/>
      <c r="H630" s="34"/>
      <c r="I630" s="54"/>
      <c r="J630" s="34"/>
      <c r="K630" s="54"/>
      <c r="L630" s="34"/>
      <c r="M630" s="44"/>
      <c r="N630" s="44"/>
      <c r="O630" s="34"/>
      <c r="P630" s="34"/>
      <c r="Q630" s="34"/>
      <c r="R630" s="34"/>
      <c r="U630" s="44"/>
      <c r="W630" s="95"/>
      <c r="X630" s="54"/>
      <c r="Y630" s="54"/>
      <c r="Z630" s="34"/>
      <c r="AA630" s="34"/>
      <c r="AB630" s="34"/>
      <c r="AC630" s="34"/>
      <c r="AD630" s="34"/>
      <c r="AE630" s="34"/>
      <c r="AF630" s="34"/>
      <c r="AG630" s="34"/>
      <c r="AH630" s="52"/>
      <c r="AI630" s="52"/>
      <c r="AK630" s="34"/>
      <c r="AL630" s="34"/>
      <c r="AM630" s="34"/>
      <c r="AN630" s="54"/>
      <c r="AO630" s="34"/>
      <c r="AP630" s="34"/>
      <c r="AQ630" s="54"/>
      <c r="AR630" s="54"/>
      <c r="AS630" s="54"/>
      <c r="AT630" s="54"/>
      <c r="AU630" s="34"/>
      <c r="AV630" s="34"/>
      <c r="AW630" s="34"/>
      <c r="AX630" s="34"/>
      <c r="AY630" s="34"/>
      <c r="AZ630" s="44"/>
      <c r="BA630" s="34"/>
      <c r="BB630" s="34"/>
    </row>
    <row r="631" spans="1:54" x14ac:dyDescent="0.35" ht="15.0" customHeight="true">
      <c r="A631" s="51"/>
      <c r="B631" s="34"/>
      <c r="C631" s="34"/>
      <c r="D631" s="34"/>
      <c r="E631" s="34"/>
      <c r="F631" s="34"/>
      <c r="G631" s="44"/>
      <c r="H631" s="34"/>
      <c r="I631" s="54"/>
      <c r="J631" s="34"/>
      <c r="K631" s="54"/>
      <c r="L631" s="34"/>
      <c r="M631" s="44"/>
      <c r="N631" s="44"/>
      <c r="O631" s="34"/>
      <c r="P631" s="34"/>
      <c r="Q631" s="34"/>
      <c r="R631" s="34"/>
      <c r="U631" s="44"/>
      <c r="W631" s="95"/>
      <c r="X631" s="54"/>
      <c r="Y631" s="54"/>
      <c r="Z631" s="34"/>
      <c r="AA631" s="34"/>
      <c r="AB631" s="34"/>
      <c r="AC631" s="34"/>
      <c r="AD631" s="34"/>
      <c r="AE631" s="34"/>
      <c r="AF631" s="34"/>
      <c r="AG631" s="34"/>
      <c r="AH631" s="52"/>
      <c r="AI631" s="52"/>
      <c r="AK631" s="34"/>
      <c r="AL631" s="34"/>
      <c r="AM631" s="34"/>
      <c r="AN631" s="54"/>
      <c r="AO631" s="34"/>
      <c r="AP631" s="34"/>
      <c r="AQ631" s="54"/>
      <c r="AR631" s="54"/>
      <c r="AS631" s="54"/>
      <c r="AT631" s="54"/>
      <c r="AU631" s="34"/>
      <c r="AV631" s="34"/>
      <c r="AW631" s="34"/>
      <c r="AX631" s="34"/>
      <c r="AY631" s="34"/>
      <c r="AZ631" s="44"/>
      <c r="BA631" s="34"/>
      <c r="BB631" s="34"/>
    </row>
    <row r="632" spans="1:54" x14ac:dyDescent="0.35" ht="15.0" customHeight="true">
      <c r="A632" s="51"/>
      <c r="B632" s="34"/>
      <c r="C632" s="34"/>
      <c r="D632" s="34"/>
      <c r="E632" s="34"/>
      <c r="F632" s="34"/>
      <c r="G632" s="44"/>
      <c r="H632" s="34"/>
      <c r="I632" s="54"/>
      <c r="J632" s="34"/>
      <c r="K632" s="54"/>
      <c r="L632" s="34"/>
      <c r="M632" s="44"/>
      <c r="N632" s="44"/>
      <c r="O632" s="34"/>
      <c r="P632" s="34"/>
      <c r="Q632" s="34"/>
      <c r="R632" s="34"/>
      <c r="U632" s="44"/>
      <c r="W632" s="95"/>
      <c r="X632" s="54"/>
      <c r="Y632" s="54"/>
      <c r="Z632" s="34"/>
      <c r="AA632" s="34"/>
      <c r="AB632" s="34"/>
      <c r="AC632" s="34"/>
      <c r="AD632" s="34"/>
      <c r="AE632" s="34"/>
      <c r="AF632" s="34"/>
      <c r="AG632" s="34"/>
      <c r="AH632" s="52"/>
      <c r="AI632" s="52"/>
      <c r="AK632" s="34"/>
      <c r="AL632" s="34"/>
      <c r="AM632" s="34"/>
      <c r="AN632" s="54"/>
      <c r="AO632" s="34"/>
      <c r="AP632" s="34"/>
      <c r="AQ632" s="54"/>
      <c r="AR632" s="54"/>
      <c r="AS632" s="54"/>
      <c r="AT632" s="54"/>
      <c r="AU632" s="34"/>
      <c r="AV632" s="34"/>
      <c r="AW632" s="34"/>
      <c r="AX632" s="34"/>
      <c r="AY632" s="34"/>
      <c r="AZ632" s="44"/>
      <c r="BA632" s="34"/>
      <c r="BB632" s="34"/>
    </row>
    <row r="633" spans="1:54" x14ac:dyDescent="0.35" ht="15.0" customHeight="true">
      <c r="A633" s="51"/>
      <c r="B633" s="34"/>
      <c r="C633" s="34"/>
      <c r="D633" s="34"/>
      <c r="E633" s="34"/>
      <c r="F633" s="34"/>
      <c r="G633" s="44"/>
      <c r="H633" s="34"/>
      <c r="I633" s="54"/>
      <c r="J633" s="34"/>
      <c r="K633" s="54"/>
      <c r="L633" s="34"/>
      <c r="M633" s="44"/>
      <c r="N633" s="44"/>
      <c r="O633" s="34"/>
      <c r="P633" s="34"/>
      <c r="Q633" s="34"/>
      <c r="R633" s="34"/>
      <c r="U633" s="44"/>
      <c r="W633" s="95"/>
      <c r="X633" s="54"/>
      <c r="Y633" s="54"/>
      <c r="Z633" s="34"/>
      <c r="AA633" s="34"/>
      <c r="AB633" s="34"/>
      <c r="AC633" s="34"/>
      <c r="AD633" s="34"/>
      <c r="AE633" s="34"/>
      <c r="AF633" s="34"/>
      <c r="AG633" s="34"/>
      <c r="AH633" s="52"/>
      <c r="AI633" s="52"/>
      <c r="AK633" s="34"/>
      <c r="AL633" s="34"/>
      <c r="AM633" s="34"/>
      <c r="AN633" s="54"/>
      <c r="AO633" s="34"/>
      <c r="AP633" s="34"/>
      <c r="AQ633" s="54"/>
      <c r="AR633" s="54"/>
      <c r="AS633" s="54"/>
      <c r="AT633" s="54"/>
      <c r="AU633" s="34"/>
      <c r="AV633" s="34"/>
      <c r="AW633" s="34"/>
      <c r="AX633" s="34"/>
      <c r="AY633" s="34"/>
      <c r="AZ633" s="44"/>
      <c r="BA633" s="34"/>
      <c r="BB633" s="34"/>
    </row>
    <row r="634" spans="1:54" x14ac:dyDescent="0.35" ht="15.0" customHeight="true">
      <c r="A634" s="51"/>
      <c r="B634" s="34"/>
      <c r="C634" s="34"/>
      <c r="D634" s="34"/>
      <c r="E634" s="34"/>
      <c r="F634" s="34"/>
      <c r="G634" s="44"/>
      <c r="H634" s="34"/>
      <c r="I634" s="54"/>
      <c r="J634" s="34"/>
      <c r="K634" s="54"/>
      <c r="L634" s="34"/>
      <c r="M634" s="44"/>
      <c r="N634" s="44"/>
      <c r="O634" s="34"/>
      <c r="P634" s="34"/>
      <c r="Q634" s="34"/>
      <c r="R634" s="34"/>
      <c r="U634" s="44"/>
      <c r="W634" s="95"/>
      <c r="X634" s="54"/>
      <c r="Y634" s="54"/>
      <c r="Z634" s="34"/>
      <c r="AA634" s="34"/>
      <c r="AB634" s="34"/>
      <c r="AC634" s="34"/>
      <c r="AD634" s="34"/>
      <c r="AE634" s="34"/>
      <c r="AF634" s="34"/>
      <c r="AG634" s="34"/>
      <c r="AH634" s="52"/>
      <c r="AI634" s="52"/>
      <c r="AK634" s="34"/>
      <c r="AL634" s="34"/>
      <c r="AM634" s="34"/>
      <c r="AN634" s="54"/>
      <c r="AO634" s="34"/>
      <c r="AP634" s="34"/>
      <c r="AQ634" s="54"/>
      <c r="AR634" s="54"/>
      <c r="AS634" s="54"/>
      <c r="AT634" s="54"/>
      <c r="AU634" s="34"/>
      <c r="AV634" s="34"/>
      <c r="AW634" s="34"/>
      <c r="AX634" s="34"/>
      <c r="AY634" s="34"/>
      <c r="AZ634" s="44"/>
      <c r="BA634" s="34"/>
      <c r="BB634" s="34"/>
    </row>
    <row r="635" spans="1:54" x14ac:dyDescent="0.35" ht="15.0" customHeight="true">
      <c r="A635" s="51"/>
      <c r="B635" s="34"/>
      <c r="C635" s="34"/>
      <c r="D635" s="34"/>
      <c r="E635" s="34"/>
      <c r="F635" s="34"/>
      <c r="G635" s="44"/>
      <c r="H635" s="34"/>
      <c r="I635" s="54"/>
      <c r="J635" s="34"/>
      <c r="K635" s="54"/>
      <c r="L635" s="34"/>
      <c r="M635" s="44"/>
      <c r="N635" s="44"/>
      <c r="O635" s="34"/>
      <c r="P635" s="34"/>
      <c r="Q635" s="34"/>
      <c r="R635" s="34"/>
      <c r="U635" s="44"/>
      <c r="W635" s="95"/>
      <c r="X635" s="54"/>
      <c r="Y635" s="54"/>
      <c r="Z635" s="34"/>
      <c r="AA635" s="34"/>
      <c r="AB635" s="34"/>
      <c r="AC635" s="34"/>
      <c r="AD635" s="34"/>
      <c r="AE635" s="34"/>
      <c r="AF635" s="34"/>
      <c r="AG635" s="34"/>
      <c r="AH635" s="52"/>
      <c r="AI635" s="52"/>
      <c r="AK635" s="34"/>
      <c r="AL635" s="34"/>
      <c r="AM635" s="34"/>
      <c r="AN635" s="54"/>
      <c r="AO635" s="34"/>
      <c r="AP635" s="34"/>
      <c r="AQ635" s="54"/>
      <c r="AR635" s="54"/>
      <c r="AS635" s="54"/>
      <c r="AT635" s="54"/>
      <c r="AU635" s="34"/>
      <c r="AV635" s="34"/>
      <c r="AW635" s="34"/>
      <c r="AX635" s="34"/>
      <c r="AY635" s="34"/>
      <c r="AZ635" s="44"/>
      <c r="BA635" s="34"/>
      <c r="BB635" s="34"/>
    </row>
    <row r="636" spans="1:54" x14ac:dyDescent="0.35" ht="15.0" customHeight="true">
      <c r="A636" s="51"/>
      <c r="B636" s="34"/>
      <c r="C636" s="34"/>
      <c r="D636" s="34"/>
      <c r="E636" s="34"/>
      <c r="F636" s="34"/>
      <c r="G636" s="44"/>
      <c r="H636" s="34"/>
      <c r="I636" s="54"/>
      <c r="J636" s="34"/>
      <c r="K636" s="54"/>
      <c r="L636" s="34"/>
      <c r="M636" s="44"/>
      <c r="N636" s="44"/>
      <c r="O636" s="34"/>
      <c r="P636" s="34"/>
      <c r="Q636" s="34"/>
      <c r="R636" s="34"/>
      <c r="U636" s="44"/>
      <c r="W636" s="95"/>
      <c r="X636" s="54"/>
      <c r="Y636" s="54"/>
      <c r="Z636" s="34"/>
      <c r="AA636" s="34"/>
      <c r="AB636" s="34"/>
      <c r="AC636" s="34"/>
      <c r="AD636" s="34"/>
      <c r="AE636" s="34"/>
      <c r="AF636" s="34"/>
      <c r="AG636" s="34"/>
      <c r="AH636" s="52"/>
      <c r="AI636" s="52"/>
      <c r="AK636" s="34"/>
      <c r="AL636" s="34"/>
      <c r="AM636" s="34"/>
      <c r="AN636" s="54"/>
      <c r="AO636" s="34"/>
      <c r="AP636" s="34"/>
      <c r="AQ636" s="54"/>
      <c r="AR636" s="54"/>
      <c r="AS636" s="54"/>
      <c r="AT636" s="54"/>
      <c r="AU636" s="34"/>
      <c r="AV636" s="34"/>
      <c r="AW636" s="34"/>
      <c r="AX636" s="34"/>
      <c r="AY636" s="34"/>
      <c r="AZ636" s="44"/>
      <c r="BA636" s="34"/>
      <c r="BB636" s="34"/>
    </row>
    <row r="637" spans="1:54" x14ac:dyDescent="0.35" ht="15.0" customHeight="true">
      <c r="A637" s="51"/>
      <c r="B637" s="34"/>
      <c r="C637" s="34"/>
      <c r="D637" s="34"/>
      <c r="E637" s="34"/>
      <c r="F637" s="34"/>
      <c r="G637" s="44"/>
      <c r="H637" s="34"/>
      <c r="I637" s="54"/>
      <c r="J637" s="34"/>
      <c r="K637" s="54"/>
      <c r="L637" s="34"/>
      <c r="M637" s="44"/>
      <c r="N637" s="44"/>
      <c r="O637" s="34"/>
      <c r="P637" s="34"/>
      <c r="Q637" s="34"/>
      <c r="R637" s="34"/>
      <c r="U637" s="44"/>
      <c r="W637" s="95"/>
      <c r="X637" s="54"/>
      <c r="Y637" s="54"/>
      <c r="Z637" s="34"/>
      <c r="AA637" s="34"/>
      <c r="AB637" s="34"/>
      <c r="AC637" s="34"/>
      <c r="AD637" s="34"/>
      <c r="AE637" s="34"/>
      <c r="AF637" s="34"/>
      <c r="AG637" s="34"/>
      <c r="AH637" s="52"/>
      <c r="AI637" s="52"/>
      <c r="AK637" s="34"/>
      <c r="AL637" s="34"/>
      <c r="AM637" s="34"/>
      <c r="AN637" s="54"/>
      <c r="AO637" s="34"/>
      <c r="AP637" s="34"/>
      <c r="AQ637" s="54"/>
      <c r="AR637" s="54"/>
      <c r="AS637" s="54"/>
      <c r="AT637" s="54"/>
      <c r="AU637" s="34"/>
      <c r="AV637" s="34"/>
      <c r="AW637" s="34"/>
      <c r="AX637" s="34"/>
      <c r="AY637" s="34"/>
      <c r="AZ637" s="44"/>
      <c r="BA637" s="34"/>
      <c r="BB637" s="34"/>
    </row>
    <row r="638" spans="1:54" x14ac:dyDescent="0.35" ht="15.0" customHeight="true">
      <c r="A638" s="51"/>
      <c r="B638" s="34"/>
      <c r="C638" s="34"/>
      <c r="D638" s="34"/>
      <c r="E638" s="34"/>
      <c r="F638" s="34"/>
      <c r="G638" s="44"/>
      <c r="H638" s="34"/>
      <c r="I638" s="54"/>
      <c r="J638" s="34"/>
      <c r="K638" s="54"/>
      <c r="L638" s="34"/>
      <c r="M638" s="44"/>
      <c r="N638" s="44"/>
      <c r="O638" s="34"/>
      <c r="P638" s="34"/>
      <c r="Q638" s="34"/>
      <c r="R638" s="34"/>
      <c r="U638" s="44"/>
      <c r="W638" s="95"/>
      <c r="X638" s="54"/>
      <c r="Y638" s="54"/>
      <c r="Z638" s="34"/>
      <c r="AA638" s="34"/>
      <c r="AB638" s="34"/>
      <c r="AC638" s="34"/>
      <c r="AD638" s="34"/>
      <c r="AE638" s="34"/>
      <c r="AF638" s="34"/>
      <c r="AG638" s="34"/>
      <c r="AH638" s="52"/>
      <c r="AI638" s="52"/>
      <c r="AK638" s="34"/>
      <c r="AL638" s="34"/>
      <c r="AM638" s="34"/>
      <c r="AN638" s="54"/>
      <c r="AO638" s="34"/>
      <c r="AP638" s="34"/>
      <c r="AQ638" s="54"/>
      <c r="AR638" s="54"/>
      <c r="AS638" s="54"/>
      <c r="AT638" s="54"/>
      <c r="AU638" s="34"/>
      <c r="AV638" s="34"/>
      <c r="AW638" s="34"/>
      <c r="AX638" s="34"/>
      <c r="AY638" s="34"/>
      <c r="AZ638" s="44"/>
      <c r="BA638" s="34"/>
      <c r="BB638" s="34"/>
    </row>
    <row r="639" spans="1:54" x14ac:dyDescent="0.35" ht="15.0" customHeight="true">
      <c r="A639" s="51"/>
      <c r="B639" s="34"/>
      <c r="C639" s="34"/>
      <c r="D639" s="34"/>
      <c r="E639" s="34"/>
      <c r="F639" s="34"/>
      <c r="G639" s="44"/>
      <c r="H639" s="34"/>
      <c r="I639" s="54"/>
      <c r="J639" s="34"/>
      <c r="K639" s="54"/>
      <c r="L639" s="34"/>
      <c r="M639" s="44"/>
      <c r="N639" s="44"/>
      <c r="O639" s="34"/>
      <c r="P639" s="34"/>
      <c r="Q639" s="34"/>
      <c r="R639" s="34"/>
      <c r="U639" s="44"/>
      <c r="W639" s="95"/>
      <c r="X639" s="54"/>
      <c r="Y639" s="54"/>
      <c r="Z639" s="34"/>
      <c r="AA639" s="34"/>
      <c r="AB639" s="34"/>
      <c r="AC639" s="34"/>
      <c r="AD639" s="34"/>
      <c r="AE639" s="34"/>
      <c r="AF639" s="34"/>
      <c r="AG639" s="34"/>
      <c r="AH639" s="52"/>
      <c r="AI639" s="52"/>
      <c r="AK639" s="34"/>
      <c r="AL639" s="34"/>
      <c r="AM639" s="34"/>
      <c r="AN639" s="54"/>
      <c r="AO639" s="34"/>
      <c r="AP639" s="34"/>
      <c r="AQ639" s="54"/>
      <c r="AR639" s="54"/>
      <c r="AS639" s="54"/>
      <c r="AT639" s="54"/>
      <c r="AU639" s="34"/>
      <c r="AV639" s="34"/>
      <c r="AW639" s="34"/>
      <c r="AX639" s="34"/>
      <c r="AY639" s="34"/>
      <c r="AZ639" s="44"/>
      <c r="BA639" s="34"/>
      <c r="BB639" s="34"/>
    </row>
    <row r="640" spans="1:54" x14ac:dyDescent="0.35" ht="15.0" customHeight="true">
      <c r="A640" s="51"/>
      <c r="B640" s="34"/>
      <c r="C640" s="34"/>
      <c r="D640" s="34"/>
      <c r="E640" s="34"/>
      <c r="F640" s="34"/>
      <c r="G640" s="44"/>
      <c r="H640" s="34"/>
      <c r="I640" s="54"/>
      <c r="J640" s="34"/>
      <c r="K640" s="54"/>
      <c r="L640" s="34"/>
      <c r="M640" s="44"/>
      <c r="N640" s="44"/>
      <c r="O640" s="34"/>
      <c r="P640" s="34"/>
      <c r="Q640" s="34"/>
      <c r="R640" s="34"/>
      <c r="U640" s="44"/>
      <c r="W640" s="95"/>
      <c r="X640" s="54"/>
      <c r="Y640" s="54"/>
      <c r="Z640" s="34"/>
      <c r="AA640" s="34"/>
      <c r="AB640" s="34"/>
      <c r="AC640" s="34"/>
      <c r="AD640" s="34"/>
      <c r="AE640" s="34"/>
      <c r="AF640" s="34"/>
      <c r="AG640" s="34"/>
      <c r="AH640" s="52"/>
      <c r="AI640" s="52"/>
      <c r="AK640" s="34"/>
      <c r="AL640" s="34"/>
      <c r="AM640" s="34"/>
      <c r="AN640" s="54"/>
      <c r="AO640" s="34"/>
      <c r="AP640" s="34"/>
      <c r="AQ640" s="54"/>
      <c r="AR640" s="54"/>
      <c r="AS640" s="54"/>
      <c r="AT640" s="54"/>
      <c r="AU640" s="34"/>
      <c r="AV640" s="34"/>
      <c r="AW640" s="34"/>
      <c r="AX640" s="34"/>
      <c r="AY640" s="34"/>
      <c r="AZ640" s="44"/>
      <c r="BA640" s="34"/>
      <c r="BB640" s="34"/>
    </row>
    <row r="641" spans="1:54" x14ac:dyDescent="0.35" ht="15.0" customHeight="true">
      <c r="A641" s="51"/>
      <c r="B641" s="34"/>
      <c r="C641" s="34"/>
      <c r="D641" s="34"/>
      <c r="E641" s="34"/>
      <c r="F641" s="34"/>
      <c r="G641" s="44"/>
      <c r="H641" s="34"/>
      <c r="I641" s="54"/>
      <c r="J641" s="34"/>
      <c r="K641" s="54"/>
      <c r="L641" s="34"/>
      <c r="M641" s="44"/>
      <c r="N641" s="44"/>
      <c r="O641" s="34"/>
      <c r="P641" s="34"/>
      <c r="Q641" s="34"/>
      <c r="R641" s="34"/>
      <c r="U641" s="44"/>
      <c r="W641" s="95"/>
      <c r="X641" s="54"/>
      <c r="Y641" s="54"/>
      <c r="Z641" s="34"/>
      <c r="AA641" s="34"/>
      <c r="AB641" s="34"/>
      <c r="AC641" s="34"/>
      <c r="AD641" s="34"/>
      <c r="AE641" s="34"/>
      <c r="AF641" s="34"/>
      <c r="AG641" s="34"/>
      <c r="AH641" s="52"/>
      <c r="AI641" s="52"/>
      <c r="AK641" s="34"/>
      <c r="AL641" s="34"/>
      <c r="AM641" s="34"/>
      <c r="AN641" s="54"/>
      <c r="AO641" s="34"/>
      <c r="AP641" s="34"/>
      <c r="AQ641" s="54"/>
      <c r="AR641" s="54"/>
      <c r="AS641" s="54"/>
      <c r="AT641" s="54"/>
      <c r="AU641" s="34"/>
      <c r="AV641" s="34"/>
      <c r="AW641" s="34"/>
      <c r="AX641" s="34"/>
      <c r="AY641" s="34"/>
      <c r="AZ641" s="44"/>
      <c r="BA641" s="34"/>
      <c r="BB641" s="34"/>
    </row>
    <row r="642" spans="1:54" x14ac:dyDescent="0.35" ht="15.0" customHeight="true">
      <c r="A642" s="51"/>
      <c r="B642" s="34"/>
      <c r="C642" s="34"/>
      <c r="D642" s="34"/>
      <c r="E642" s="34"/>
      <c r="F642" s="34"/>
      <c r="G642" s="44"/>
      <c r="H642" s="34"/>
      <c r="I642" s="54"/>
      <c r="J642" s="34"/>
      <c r="K642" s="54"/>
      <c r="L642" s="34"/>
      <c r="M642" s="44"/>
      <c r="N642" s="44"/>
      <c r="O642" s="34"/>
      <c r="P642" s="34"/>
      <c r="Q642" s="34"/>
      <c r="R642" s="34"/>
      <c r="U642" s="44"/>
      <c r="W642" s="95"/>
      <c r="X642" s="54"/>
      <c r="Y642" s="54"/>
      <c r="Z642" s="34"/>
      <c r="AA642" s="34"/>
      <c r="AB642" s="34"/>
      <c r="AC642" s="34"/>
      <c r="AD642" s="34"/>
      <c r="AE642" s="34"/>
      <c r="AF642" s="34"/>
      <c r="AG642" s="34"/>
      <c r="AH642" s="52"/>
      <c r="AI642" s="52"/>
      <c r="AK642" s="34"/>
      <c r="AL642" s="34"/>
      <c r="AM642" s="34"/>
      <c r="AN642" s="54"/>
      <c r="AO642" s="34"/>
      <c r="AP642" s="34"/>
      <c r="AQ642" s="54"/>
      <c r="AR642" s="54"/>
      <c r="AS642" s="54"/>
      <c r="AT642" s="54"/>
      <c r="AU642" s="34"/>
      <c r="AV642" s="34"/>
      <c r="AW642" s="34"/>
      <c r="AX642" s="34"/>
      <c r="AY642" s="34"/>
      <c r="AZ642" s="44"/>
      <c r="BA642" s="34"/>
      <c r="BB642" s="34"/>
    </row>
    <row r="643" spans="1:54" x14ac:dyDescent="0.35" ht="15.0" customHeight="true">
      <c r="A643" s="51"/>
      <c r="B643" s="34"/>
      <c r="C643" s="34"/>
      <c r="D643" s="34"/>
      <c r="E643" s="34"/>
      <c r="F643" s="34"/>
      <c r="G643" s="44"/>
      <c r="H643" s="34"/>
      <c r="I643" s="54"/>
      <c r="J643" s="34"/>
      <c r="K643" s="54"/>
      <c r="L643" s="34"/>
      <c r="M643" s="44"/>
      <c r="N643" s="44"/>
      <c r="O643" s="34"/>
      <c r="P643" s="34"/>
      <c r="Q643" s="34"/>
      <c r="R643" s="34"/>
      <c r="U643" s="44"/>
      <c r="W643" s="95"/>
      <c r="X643" s="54"/>
      <c r="Y643" s="54"/>
      <c r="Z643" s="34"/>
      <c r="AA643" s="34"/>
      <c r="AB643" s="34"/>
      <c r="AC643" s="34"/>
      <c r="AD643" s="34"/>
      <c r="AE643" s="34"/>
      <c r="AF643" s="34"/>
      <c r="AG643" s="34"/>
      <c r="AH643" s="52"/>
      <c r="AI643" s="52"/>
      <c r="AK643" s="34"/>
      <c r="AL643" s="34"/>
      <c r="AM643" s="34"/>
      <c r="AN643" s="54"/>
      <c r="AO643" s="34"/>
      <c r="AP643" s="34"/>
      <c r="AQ643" s="54"/>
      <c r="AR643" s="54"/>
      <c r="AS643" s="54"/>
      <c r="AT643" s="54"/>
      <c r="AU643" s="34"/>
      <c r="AV643" s="34"/>
      <c r="AW643" s="34"/>
      <c r="AX643" s="34"/>
      <c r="AY643" s="34"/>
      <c r="AZ643" s="44"/>
      <c r="BA643" s="34"/>
      <c r="BB643" s="34"/>
    </row>
    <row r="644" spans="1:54" x14ac:dyDescent="0.35" ht="15.0" customHeight="true">
      <c r="A644" s="51"/>
      <c r="B644" s="34"/>
      <c r="C644" s="34"/>
      <c r="D644" s="34"/>
      <c r="E644" s="34"/>
      <c r="F644" s="34"/>
      <c r="G644" s="44"/>
      <c r="H644" s="34"/>
      <c r="I644" s="54"/>
      <c r="J644" s="34"/>
      <c r="K644" s="54"/>
      <c r="L644" s="34"/>
      <c r="M644" s="44"/>
      <c r="N644" s="44"/>
      <c r="O644" s="34"/>
      <c r="P644" s="34"/>
      <c r="Q644" s="34"/>
      <c r="R644" s="34"/>
      <c r="U644" s="44"/>
      <c r="W644" s="95"/>
      <c r="X644" s="54"/>
      <c r="Y644" s="54"/>
      <c r="Z644" s="34"/>
      <c r="AA644" s="34"/>
      <c r="AB644" s="34"/>
      <c r="AC644" s="34"/>
      <c r="AD644" s="34"/>
      <c r="AE644" s="34"/>
      <c r="AF644" s="34"/>
      <c r="AG644" s="34"/>
      <c r="AH644" s="52"/>
      <c r="AI644" s="52"/>
      <c r="AK644" s="34"/>
      <c r="AL644" s="34"/>
      <c r="AM644" s="34"/>
      <c r="AN644" s="54"/>
      <c r="AO644" s="34"/>
      <c r="AP644" s="34"/>
      <c r="AQ644" s="54"/>
      <c r="AR644" s="54"/>
      <c r="AS644" s="54"/>
      <c r="AT644" s="54"/>
      <c r="AU644" s="34"/>
      <c r="AV644" s="34"/>
      <c r="AW644" s="34"/>
      <c r="AX644" s="34"/>
      <c r="AY644" s="34"/>
      <c r="AZ644" s="44"/>
      <c r="BA644" s="34"/>
      <c r="BB644" s="34"/>
    </row>
    <row r="645" spans="1:54" x14ac:dyDescent="0.35" ht="15.0" customHeight="true">
      <c r="A645" s="51"/>
      <c r="B645" s="34"/>
      <c r="C645" s="34"/>
      <c r="D645" s="34"/>
      <c r="E645" s="34"/>
      <c r="F645" s="34"/>
      <c r="G645" s="44"/>
      <c r="H645" s="34"/>
      <c r="I645" s="54"/>
      <c r="J645" s="34"/>
      <c r="K645" s="54"/>
      <c r="L645" s="34"/>
      <c r="M645" s="44"/>
      <c r="N645" s="44"/>
      <c r="O645" s="34"/>
      <c r="P645" s="34"/>
      <c r="Q645" s="34"/>
      <c r="R645" s="34"/>
      <c r="U645" s="44"/>
      <c r="W645" s="95"/>
      <c r="X645" s="54"/>
      <c r="Y645" s="54"/>
      <c r="Z645" s="34"/>
      <c r="AA645" s="34"/>
      <c r="AB645" s="34"/>
      <c r="AC645" s="34"/>
      <c r="AD645" s="34"/>
      <c r="AE645" s="34"/>
      <c r="AF645" s="34"/>
      <c r="AG645" s="34"/>
      <c r="AH645" s="52"/>
      <c r="AI645" s="52"/>
      <c r="AK645" s="34"/>
      <c r="AL645" s="34"/>
      <c r="AM645" s="34"/>
      <c r="AN645" s="54"/>
      <c r="AO645" s="34"/>
      <c r="AP645" s="34"/>
      <c r="AQ645" s="54"/>
      <c r="AR645" s="54"/>
      <c r="AS645" s="54"/>
      <c r="AT645" s="54"/>
      <c r="AU645" s="34"/>
      <c r="AV645" s="34"/>
      <c r="AW645" s="34"/>
      <c r="AX645" s="34"/>
      <c r="AY645" s="34"/>
      <c r="AZ645" s="44"/>
      <c r="BA645" s="34"/>
      <c r="BB645" s="34"/>
    </row>
    <row r="646" spans="1:54" x14ac:dyDescent="0.35" ht="15.0" customHeight="true">
      <c r="A646" s="51"/>
      <c r="B646" s="34"/>
      <c r="C646" s="34"/>
      <c r="D646" s="34"/>
      <c r="E646" s="34"/>
      <c r="F646" s="34"/>
      <c r="G646" s="44"/>
      <c r="H646" s="34"/>
      <c r="I646" s="54"/>
      <c r="J646" s="34"/>
      <c r="K646" s="54"/>
      <c r="L646" s="34"/>
      <c r="M646" s="44"/>
      <c r="N646" s="44"/>
      <c r="O646" s="34"/>
      <c r="P646" s="34"/>
      <c r="Q646" s="34"/>
      <c r="R646" s="34"/>
      <c r="U646" s="44"/>
      <c r="W646" s="95"/>
      <c r="X646" s="54"/>
      <c r="Y646" s="54"/>
      <c r="Z646" s="34"/>
      <c r="AA646" s="34"/>
      <c r="AB646" s="34"/>
      <c r="AC646" s="34"/>
      <c r="AD646" s="34"/>
      <c r="AE646" s="34"/>
      <c r="AF646" s="34"/>
      <c r="AG646" s="34"/>
      <c r="AH646" s="52"/>
      <c r="AI646" s="52"/>
      <c r="AK646" s="34"/>
      <c r="AL646" s="34"/>
      <c r="AM646" s="34"/>
      <c r="AN646" s="54"/>
      <c r="AO646" s="34"/>
      <c r="AP646" s="34"/>
      <c r="AQ646" s="54"/>
      <c r="AR646" s="54"/>
      <c r="AS646" s="54"/>
      <c r="AT646" s="54"/>
      <c r="AU646" s="34"/>
      <c r="AV646" s="34"/>
      <c r="AW646" s="34"/>
      <c r="AX646" s="34"/>
      <c r="AY646" s="34"/>
      <c r="AZ646" s="44"/>
      <c r="BA646" s="34"/>
      <c r="BB646" s="34"/>
    </row>
    <row r="647" spans="1:54" x14ac:dyDescent="0.35" ht="15.0" customHeight="true">
      <c r="A647" s="51"/>
      <c r="B647" s="34"/>
      <c r="C647" s="34"/>
      <c r="D647" s="34"/>
      <c r="E647" s="34"/>
      <c r="F647" s="34"/>
      <c r="G647" s="44"/>
      <c r="H647" s="34"/>
      <c r="I647" s="54"/>
      <c r="J647" s="34"/>
      <c r="K647" s="54"/>
      <c r="L647" s="34"/>
      <c r="M647" s="44"/>
      <c r="N647" s="44"/>
      <c r="O647" s="34"/>
      <c r="P647" s="34"/>
      <c r="Q647" s="34"/>
      <c r="R647" s="34"/>
      <c r="U647" s="44"/>
      <c r="W647" s="95"/>
      <c r="X647" s="54"/>
      <c r="Y647" s="54"/>
      <c r="Z647" s="34"/>
      <c r="AA647" s="34"/>
      <c r="AB647" s="34"/>
      <c r="AC647" s="34"/>
      <c r="AD647" s="34"/>
      <c r="AE647" s="34"/>
      <c r="AF647" s="34"/>
      <c r="AG647" s="34"/>
      <c r="AH647" s="52"/>
      <c r="AI647" s="52"/>
      <c r="AK647" s="34"/>
      <c r="AL647" s="34"/>
      <c r="AM647" s="34"/>
      <c r="AN647" s="54"/>
      <c r="AO647" s="34"/>
      <c r="AP647" s="34"/>
      <c r="AQ647" s="54"/>
      <c r="AR647" s="54"/>
      <c r="AS647" s="54"/>
      <c r="AT647" s="54"/>
      <c r="AU647" s="34"/>
      <c r="AV647" s="34"/>
      <c r="AW647" s="34"/>
      <c r="AX647" s="34"/>
      <c r="AY647" s="34"/>
      <c r="AZ647" s="44"/>
      <c r="BA647" s="34"/>
      <c r="BB647" s="34"/>
    </row>
    <row r="648" spans="1:54" x14ac:dyDescent="0.35" ht="15.0" customHeight="true">
      <c r="A648" s="51"/>
      <c r="B648" s="34"/>
      <c r="C648" s="34"/>
      <c r="D648" s="34"/>
      <c r="E648" s="34"/>
      <c r="F648" s="34"/>
      <c r="G648" s="44"/>
      <c r="H648" s="34"/>
      <c r="I648" s="54"/>
      <c r="J648" s="34"/>
      <c r="K648" s="54"/>
      <c r="L648" s="34"/>
      <c r="M648" s="44"/>
      <c r="N648" s="44"/>
      <c r="O648" s="34"/>
      <c r="P648" s="34"/>
      <c r="Q648" s="34"/>
      <c r="R648" s="34"/>
      <c r="U648" s="44"/>
      <c r="W648" s="95"/>
      <c r="X648" s="54"/>
      <c r="Y648" s="54"/>
      <c r="Z648" s="34"/>
      <c r="AA648" s="34"/>
      <c r="AB648" s="34"/>
      <c r="AC648" s="34"/>
      <c r="AD648" s="34"/>
      <c r="AE648" s="34"/>
      <c r="AF648" s="34"/>
      <c r="AG648" s="34"/>
      <c r="AH648" s="52"/>
      <c r="AI648" s="52"/>
      <c r="AK648" s="34"/>
      <c r="AL648" s="34"/>
      <c r="AM648" s="34"/>
      <c r="AN648" s="54"/>
      <c r="AO648" s="34"/>
      <c r="AP648" s="34"/>
      <c r="AQ648" s="54"/>
      <c r="AR648" s="54"/>
      <c r="AS648" s="54"/>
      <c r="AT648" s="54"/>
      <c r="AU648" s="34"/>
      <c r="AV648" s="34"/>
      <c r="AW648" s="34"/>
      <c r="AX648" s="34"/>
      <c r="AY648" s="34"/>
      <c r="AZ648" s="44"/>
      <c r="BA648" s="34"/>
      <c r="BB648" s="34"/>
    </row>
    <row r="649" spans="1:54" x14ac:dyDescent="0.35" ht="15.0" customHeight="true">
      <c r="A649" s="51"/>
      <c r="B649" s="34"/>
      <c r="C649" s="34"/>
      <c r="D649" s="34"/>
      <c r="E649" s="34"/>
      <c r="F649" s="34"/>
      <c r="G649" s="44"/>
      <c r="H649" s="34"/>
      <c r="I649" s="54"/>
      <c r="J649" s="34"/>
      <c r="K649" s="54"/>
      <c r="L649" s="34"/>
      <c r="M649" s="44"/>
      <c r="N649" s="44"/>
      <c r="O649" s="34"/>
      <c r="P649" s="34"/>
      <c r="Q649" s="34"/>
      <c r="R649" s="34"/>
      <c r="U649" s="44"/>
      <c r="W649" s="95"/>
      <c r="X649" s="54"/>
      <c r="Y649" s="54"/>
      <c r="Z649" s="34"/>
      <c r="AA649" s="34"/>
      <c r="AB649" s="34"/>
      <c r="AC649" s="34"/>
      <c r="AD649" s="34"/>
      <c r="AE649" s="34"/>
      <c r="AF649" s="34"/>
      <c r="AG649" s="34"/>
      <c r="AH649" s="52"/>
      <c r="AI649" s="52"/>
      <c r="AK649" s="34"/>
      <c r="AL649" s="34"/>
      <c r="AM649" s="34"/>
      <c r="AN649" s="54"/>
      <c r="AO649" s="34"/>
      <c r="AP649" s="34"/>
      <c r="AQ649" s="54"/>
      <c r="AR649" s="54"/>
      <c r="AS649" s="54"/>
      <c r="AT649" s="54"/>
      <c r="AU649" s="34"/>
      <c r="AV649" s="34"/>
      <c r="AW649" s="34"/>
      <c r="AX649" s="34"/>
      <c r="AY649" s="34"/>
      <c r="AZ649" s="44"/>
      <c r="BA649" s="34"/>
      <c r="BB649" s="34"/>
    </row>
    <row r="650" spans="1:54" x14ac:dyDescent="0.35" ht="15.0" customHeight="true">
      <c r="A650" s="51"/>
      <c r="B650" s="34"/>
      <c r="C650" s="34"/>
      <c r="D650" s="34"/>
      <c r="E650" s="34"/>
      <c r="F650" s="34"/>
      <c r="G650" s="44"/>
      <c r="H650" s="34"/>
      <c r="I650" s="54"/>
      <c r="J650" s="34"/>
      <c r="K650" s="54"/>
      <c r="L650" s="34"/>
      <c r="M650" s="44"/>
      <c r="N650" s="44"/>
      <c r="O650" s="34"/>
      <c r="P650" s="34"/>
      <c r="Q650" s="34"/>
      <c r="R650" s="34"/>
      <c r="U650" s="44"/>
      <c r="W650" s="95"/>
      <c r="X650" s="54"/>
      <c r="Y650" s="54"/>
      <c r="Z650" s="34"/>
      <c r="AA650" s="34"/>
      <c r="AB650" s="34"/>
      <c r="AC650" s="34"/>
      <c r="AD650" s="34"/>
      <c r="AE650" s="34"/>
      <c r="AF650" s="34"/>
      <c r="AG650" s="34"/>
      <c r="AH650" s="52"/>
      <c r="AI650" s="52"/>
      <c r="AK650" s="34"/>
      <c r="AL650" s="34"/>
      <c r="AM650" s="34"/>
      <c r="AN650" s="54"/>
      <c r="AO650" s="34"/>
      <c r="AP650" s="34"/>
      <c r="AQ650" s="54"/>
      <c r="AR650" s="54"/>
      <c r="AS650" s="54"/>
      <c r="AT650" s="54"/>
      <c r="AU650" s="34"/>
      <c r="AV650" s="34"/>
      <c r="AW650" s="34"/>
      <c r="AX650" s="34"/>
      <c r="AY650" s="34"/>
      <c r="AZ650" s="44"/>
      <c r="BA650" s="34"/>
      <c r="BB650" s="34"/>
    </row>
    <row r="651" spans="1:54" x14ac:dyDescent="0.35" ht="15.0" customHeight="true">
      <c r="A651" s="51"/>
      <c r="B651" s="34"/>
      <c r="C651" s="34"/>
      <c r="D651" s="34"/>
      <c r="E651" s="34"/>
      <c r="F651" s="34"/>
      <c r="G651" s="44"/>
      <c r="H651" s="34"/>
      <c r="I651" s="54"/>
      <c r="J651" s="34"/>
      <c r="K651" s="54"/>
      <c r="L651" s="34"/>
      <c r="M651" s="44"/>
      <c r="N651" s="44"/>
      <c r="O651" s="34"/>
      <c r="P651" s="34"/>
      <c r="Q651" s="34"/>
      <c r="R651" s="34"/>
      <c r="U651" s="44"/>
      <c r="W651" s="95"/>
      <c r="X651" s="54"/>
      <c r="Y651" s="54"/>
      <c r="Z651" s="34"/>
      <c r="AA651" s="34"/>
      <c r="AB651" s="34"/>
      <c r="AC651" s="34"/>
      <c r="AD651" s="34"/>
      <c r="AE651" s="34"/>
      <c r="AF651" s="34"/>
      <c r="AG651" s="34"/>
      <c r="AH651" s="52"/>
      <c r="AI651" s="52"/>
      <c r="AK651" s="34"/>
      <c r="AL651" s="34"/>
      <c r="AM651" s="34"/>
      <c r="AN651" s="54"/>
      <c r="AO651" s="34"/>
      <c r="AP651" s="34"/>
      <c r="AQ651" s="54"/>
      <c r="AR651" s="54"/>
      <c r="AS651" s="54"/>
      <c r="AT651" s="54"/>
      <c r="AU651" s="34"/>
      <c r="AV651" s="34"/>
      <c r="AW651" s="34"/>
      <c r="AX651" s="34"/>
      <c r="AY651" s="34"/>
      <c r="AZ651" s="44"/>
      <c r="BA651" s="34"/>
      <c r="BB651" s="34"/>
    </row>
    <row r="652" spans="1:54" x14ac:dyDescent="0.35" ht="15.0" customHeight="true">
      <c r="A652" s="51"/>
      <c r="B652" s="34"/>
      <c r="C652" s="34"/>
      <c r="D652" s="34"/>
      <c r="E652" s="34"/>
      <c r="F652" s="34"/>
      <c r="G652" s="44"/>
      <c r="H652" s="34"/>
      <c r="I652" s="54"/>
      <c r="J652" s="34"/>
      <c r="K652" s="54"/>
      <c r="L652" s="34"/>
      <c r="M652" s="44"/>
      <c r="N652" s="44"/>
      <c r="O652" s="34"/>
      <c r="P652" s="34"/>
      <c r="Q652" s="34"/>
      <c r="R652" s="34"/>
      <c r="U652" s="44"/>
      <c r="W652" s="95"/>
      <c r="X652" s="54"/>
      <c r="Y652" s="54"/>
      <c r="Z652" s="34"/>
      <c r="AA652" s="34"/>
      <c r="AB652" s="34"/>
      <c r="AC652" s="34"/>
      <c r="AD652" s="34"/>
      <c r="AE652" s="34"/>
      <c r="AF652" s="34"/>
      <c r="AG652" s="34"/>
      <c r="AH652" s="52"/>
      <c r="AI652" s="52"/>
      <c r="AK652" s="34"/>
      <c r="AL652" s="34"/>
      <c r="AM652" s="34"/>
      <c r="AN652" s="54"/>
      <c r="AO652" s="34"/>
      <c r="AP652" s="34"/>
      <c r="AQ652" s="54"/>
      <c r="AR652" s="54"/>
      <c r="AS652" s="54"/>
      <c r="AT652" s="54"/>
      <c r="AU652" s="34"/>
      <c r="AV652" s="34"/>
      <c r="AW652" s="34"/>
      <c r="AX652" s="34"/>
      <c r="AY652" s="34"/>
      <c r="AZ652" s="44"/>
      <c r="BA652" s="34"/>
      <c r="BB652" s="34"/>
    </row>
    <row r="653" spans="1:54" x14ac:dyDescent="0.35" ht="15.0" customHeight="true">
      <c r="A653" s="51"/>
      <c r="B653" s="34"/>
      <c r="C653" s="34"/>
      <c r="D653" s="34"/>
      <c r="E653" s="34"/>
      <c r="F653" s="34"/>
      <c r="G653" s="44"/>
      <c r="H653" s="34"/>
      <c r="I653" s="54"/>
      <c r="J653" s="34"/>
      <c r="K653" s="54"/>
      <c r="L653" s="34"/>
      <c r="M653" s="44"/>
      <c r="N653" s="44"/>
      <c r="O653" s="34"/>
      <c r="P653" s="34"/>
      <c r="Q653" s="34"/>
      <c r="R653" s="34"/>
      <c r="U653" s="44"/>
      <c r="W653" s="95"/>
      <c r="X653" s="54"/>
      <c r="Y653" s="54"/>
      <c r="Z653" s="34"/>
      <c r="AA653" s="34"/>
      <c r="AB653" s="34"/>
      <c r="AC653" s="34"/>
      <c r="AD653" s="34"/>
      <c r="AE653" s="34"/>
      <c r="AF653" s="34"/>
      <c r="AG653" s="34"/>
      <c r="AH653" s="52"/>
      <c r="AI653" s="52"/>
      <c r="AK653" s="34"/>
      <c r="AL653" s="34"/>
      <c r="AM653" s="34"/>
      <c r="AN653" s="54"/>
      <c r="AO653" s="34"/>
      <c r="AP653" s="34"/>
      <c r="AQ653" s="54"/>
      <c r="AR653" s="54"/>
      <c r="AS653" s="54"/>
      <c r="AT653" s="54"/>
      <c r="AU653" s="34"/>
      <c r="AV653" s="34"/>
      <c r="AW653" s="34"/>
      <c r="AX653" s="34"/>
      <c r="AY653" s="34"/>
      <c r="AZ653" s="44"/>
      <c r="BA653" s="34"/>
      <c r="BB653" s="34"/>
    </row>
    <row r="654" spans="1:54" x14ac:dyDescent="0.35" ht="15.0" customHeight="true">
      <c r="A654" s="51"/>
      <c r="B654" s="34"/>
      <c r="C654" s="34"/>
      <c r="D654" s="34"/>
      <c r="E654" s="34"/>
      <c r="F654" s="34"/>
      <c r="G654" s="44"/>
      <c r="H654" s="34"/>
      <c r="I654" s="54"/>
      <c r="J654" s="34"/>
      <c r="K654" s="54"/>
      <c r="L654" s="34"/>
      <c r="M654" s="44"/>
      <c r="N654" s="44"/>
      <c r="O654" s="34"/>
      <c r="P654" s="34"/>
      <c r="Q654" s="34"/>
      <c r="R654" s="34"/>
      <c r="U654" s="44"/>
      <c r="W654" s="95"/>
      <c r="X654" s="54"/>
      <c r="Y654" s="54"/>
      <c r="Z654" s="34"/>
      <c r="AA654" s="34"/>
      <c r="AB654" s="34"/>
      <c r="AC654" s="34"/>
      <c r="AD654" s="34"/>
      <c r="AE654" s="34"/>
      <c r="AF654" s="34"/>
      <c r="AG654" s="34"/>
      <c r="AH654" s="52"/>
      <c r="AI654" s="52"/>
      <c r="AK654" s="34"/>
      <c r="AL654" s="34"/>
      <c r="AM654" s="34"/>
      <c r="AN654" s="54"/>
      <c r="AO654" s="34"/>
      <c r="AP654" s="34"/>
      <c r="AQ654" s="54"/>
      <c r="AR654" s="54"/>
      <c r="AS654" s="54"/>
      <c r="AT654" s="54"/>
      <c r="AU654" s="34"/>
      <c r="AV654" s="34"/>
      <c r="AW654" s="34"/>
      <c r="AX654" s="34"/>
      <c r="AY654" s="34"/>
      <c r="AZ654" s="44"/>
      <c r="BA654" s="34"/>
      <c r="BB654" s="34"/>
    </row>
    <row r="655" spans="1:54" x14ac:dyDescent="0.35" ht="15.0" customHeight="true">
      <c r="A655" s="51"/>
      <c r="B655" s="34"/>
      <c r="C655" s="34"/>
      <c r="D655" s="34"/>
      <c r="E655" s="34"/>
      <c r="F655" s="34"/>
      <c r="G655" s="44"/>
      <c r="H655" s="34"/>
      <c r="I655" s="54"/>
      <c r="J655" s="34"/>
      <c r="K655" s="54"/>
      <c r="L655" s="34"/>
      <c r="M655" s="44"/>
      <c r="N655" s="44"/>
      <c r="O655" s="34"/>
      <c r="P655" s="34"/>
      <c r="Q655" s="34"/>
      <c r="R655" s="34"/>
      <c r="U655" s="44"/>
      <c r="W655" s="95"/>
      <c r="X655" s="54"/>
      <c r="Y655" s="54"/>
      <c r="Z655" s="34"/>
      <c r="AA655" s="34"/>
      <c r="AB655" s="34"/>
      <c r="AC655" s="34"/>
      <c r="AD655" s="34"/>
      <c r="AE655" s="34"/>
      <c r="AF655" s="34"/>
      <c r="AG655" s="34"/>
      <c r="AH655" s="52"/>
      <c r="AI655" s="52"/>
      <c r="AK655" s="34"/>
      <c r="AL655" s="34"/>
      <c r="AM655" s="34"/>
      <c r="AN655" s="54"/>
      <c r="AO655" s="34"/>
      <c r="AP655" s="34"/>
      <c r="AQ655" s="54"/>
      <c r="AR655" s="54"/>
      <c r="AS655" s="54"/>
      <c r="AT655" s="54"/>
      <c r="AU655" s="34"/>
      <c r="AV655" s="34"/>
      <c r="AW655" s="34"/>
      <c r="AX655" s="34"/>
      <c r="AY655" s="34"/>
      <c r="AZ655" s="44"/>
      <c r="BA655" s="34"/>
      <c r="BB655" s="34"/>
    </row>
    <row r="656" spans="1:54" x14ac:dyDescent="0.35" ht="15.0" customHeight="true">
      <c r="A656" s="51"/>
      <c r="B656" s="34"/>
      <c r="C656" s="34"/>
      <c r="D656" s="34"/>
      <c r="E656" s="34"/>
      <c r="F656" s="34"/>
      <c r="G656" s="44"/>
      <c r="H656" s="34"/>
      <c r="I656" s="54"/>
      <c r="J656" s="34"/>
      <c r="K656" s="54"/>
      <c r="L656" s="34"/>
      <c r="M656" s="44"/>
      <c r="N656" s="44"/>
      <c r="O656" s="34"/>
      <c r="P656" s="34"/>
      <c r="Q656" s="34"/>
      <c r="R656" s="34"/>
      <c r="U656" s="44"/>
      <c r="W656" s="95"/>
      <c r="X656" s="54"/>
      <c r="Y656" s="54"/>
      <c r="Z656" s="34"/>
      <c r="AA656" s="34"/>
      <c r="AB656" s="34"/>
      <c r="AC656" s="34"/>
      <c r="AD656" s="34"/>
      <c r="AE656" s="34"/>
      <c r="AF656" s="34"/>
      <c r="AG656" s="34"/>
      <c r="AH656" s="52"/>
      <c r="AI656" s="52"/>
      <c r="AK656" s="34"/>
      <c r="AL656" s="34"/>
      <c r="AM656" s="34"/>
      <c r="AN656" s="54"/>
      <c r="AO656" s="34"/>
      <c r="AP656" s="34"/>
      <c r="AQ656" s="54"/>
      <c r="AR656" s="54"/>
      <c r="AS656" s="54"/>
      <c r="AT656" s="54"/>
      <c r="AU656" s="34"/>
      <c r="AV656" s="34"/>
      <c r="AW656" s="34"/>
      <c r="AX656" s="34"/>
      <c r="AY656" s="34"/>
      <c r="AZ656" s="44"/>
      <c r="BA656" s="34"/>
      <c r="BB656" s="34"/>
    </row>
    <row r="657" spans="1:54" x14ac:dyDescent="0.35" ht="15.0" customHeight="true">
      <c r="A657" s="51"/>
      <c r="B657" s="34"/>
      <c r="C657" s="34"/>
      <c r="D657" s="34"/>
      <c r="E657" s="34"/>
      <c r="F657" s="34"/>
      <c r="G657" s="44"/>
      <c r="H657" s="34"/>
      <c r="I657" s="54"/>
      <c r="J657" s="34"/>
      <c r="K657" s="54"/>
      <c r="L657" s="34"/>
      <c r="M657" s="44"/>
      <c r="N657" s="44"/>
      <c r="O657" s="34"/>
      <c r="P657" s="34"/>
      <c r="Q657" s="34"/>
      <c r="R657" s="34"/>
      <c r="U657" s="44"/>
      <c r="W657" s="95"/>
      <c r="X657" s="54"/>
      <c r="Y657" s="54"/>
      <c r="Z657" s="34"/>
      <c r="AA657" s="34"/>
      <c r="AB657" s="34"/>
      <c r="AC657" s="34"/>
      <c r="AD657" s="34"/>
      <c r="AE657" s="34"/>
      <c r="AF657" s="34"/>
      <c r="AG657" s="34"/>
      <c r="AH657" s="52"/>
      <c r="AI657" s="52"/>
      <c r="AK657" s="34"/>
      <c r="AL657" s="34"/>
      <c r="AM657" s="34"/>
      <c r="AN657" s="54"/>
      <c r="AO657" s="34"/>
      <c r="AP657" s="34"/>
      <c r="AQ657" s="54"/>
      <c r="AR657" s="54"/>
      <c r="AS657" s="54"/>
      <c r="AT657" s="54"/>
      <c r="AU657" s="34"/>
      <c r="AV657" s="34"/>
      <c r="AW657" s="34"/>
      <c r="AX657" s="34"/>
      <c r="AY657" s="34"/>
      <c r="AZ657" s="44"/>
      <c r="BA657" s="34"/>
      <c r="BB657" s="34"/>
    </row>
    <row r="658" spans="1:54" x14ac:dyDescent="0.35" ht="15.0" customHeight="true">
      <c r="A658" s="51"/>
      <c r="B658" s="34"/>
      <c r="C658" s="34"/>
      <c r="D658" s="34"/>
      <c r="E658" s="34"/>
      <c r="F658" s="34"/>
      <c r="G658" s="44"/>
      <c r="H658" s="34"/>
      <c r="I658" s="54"/>
      <c r="J658" s="34"/>
      <c r="K658" s="54"/>
      <c r="L658" s="34"/>
      <c r="M658" s="44"/>
      <c r="N658" s="44"/>
      <c r="O658" s="34"/>
      <c r="P658" s="34"/>
      <c r="Q658" s="34"/>
      <c r="R658" s="34"/>
      <c r="U658" s="44"/>
      <c r="W658" s="95"/>
      <c r="X658" s="54"/>
      <c r="Y658" s="54"/>
      <c r="Z658" s="34"/>
      <c r="AA658" s="34"/>
      <c r="AB658" s="34"/>
      <c r="AC658" s="34"/>
      <c r="AD658" s="34"/>
      <c r="AE658" s="34"/>
      <c r="AF658" s="34"/>
      <c r="AG658" s="34"/>
      <c r="AH658" s="52"/>
      <c r="AI658" s="52"/>
      <c r="AK658" s="34"/>
      <c r="AL658" s="34"/>
      <c r="AM658" s="34"/>
      <c r="AN658" s="54"/>
      <c r="AO658" s="34"/>
      <c r="AP658" s="34"/>
      <c r="AQ658" s="54"/>
      <c r="AR658" s="54"/>
      <c r="AS658" s="54"/>
      <c r="AT658" s="54"/>
      <c r="AU658" s="34"/>
      <c r="AV658" s="34"/>
      <c r="AW658" s="34"/>
      <c r="AX658" s="34"/>
      <c r="AY658" s="34"/>
      <c r="AZ658" s="44"/>
      <c r="BA658" s="34"/>
      <c r="BB658" s="34"/>
    </row>
    <row r="659" spans="1:54" x14ac:dyDescent="0.35" ht="15.0" customHeight="true">
      <c r="A659" s="51"/>
      <c r="B659" s="34"/>
      <c r="C659" s="34"/>
      <c r="D659" s="34"/>
      <c r="E659" s="34"/>
      <c r="F659" s="34"/>
      <c r="G659" s="44"/>
      <c r="H659" s="34"/>
      <c r="I659" s="54"/>
      <c r="J659" s="34"/>
      <c r="K659" s="54"/>
      <c r="L659" s="34"/>
      <c r="M659" s="44"/>
      <c r="N659" s="44"/>
      <c r="O659" s="34"/>
      <c r="P659" s="34"/>
      <c r="Q659" s="34"/>
      <c r="R659" s="34"/>
      <c r="U659" s="44"/>
      <c r="W659" s="95"/>
      <c r="X659" s="54"/>
      <c r="Y659" s="54"/>
      <c r="Z659" s="34"/>
      <c r="AA659" s="34"/>
      <c r="AB659" s="34"/>
      <c r="AC659" s="34"/>
      <c r="AD659" s="34"/>
      <c r="AE659" s="34"/>
      <c r="AF659" s="34"/>
      <c r="AG659" s="34"/>
      <c r="AH659" s="52"/>
      <c r="AI659" s="52"/>
      <c r="AK659" s="34"/>
      <c r="AL659" s="34"/>
      <c r="AM659" s="34"/>
      <c r="AN659" s="54"/>
      <c r="AO659" s="34"/>
      <c r="AP659" s="34"/>
      <c r="AQ659" s="54"/>
      <c r="AR659" s="54"/>
      <c r="AS659" s="54"/>
      <c r="AT659" s="54"/>
      <c r="AU659" s="34"/>
      <c r="AV659" s="34"/>
      <c r="AW659" s="34"/>
      <c r="AX659" s="34"/>
      <c r="AY659" s="34"/>
      <c r="AZ659" s="44"/>
      <c r="BA659" s="34"/>
      <c r="BB659" s="34"/>
    </row>
    <row r="660" spans="1:54" x14ac:dyDescent="0.35" ht="15.0" customHeight="true">
      <c r="A660" s="51"/>
      <c r="B660" s="34"/>
      <c r="C660" s="34"/>
      <c r="D660" s="34"/>
      <c r="E660" s="34"/>
      <c r="F660" s="34"/>
      <c r="G660" s="44"/>
      <c r="H660" s="34"/>
      <c r="I660" s="54"/>
      <c r="J660" s="34"/>
      <c r="K660" s="54"/>
      <c r="L660" s="34"/>
      <c r="M660" s="44"/>
      <c r="N660" s="44"/>
      <c r="O660" s="34"/>
      <c r="P660" s="34"/>
      <c r="Q660" s="34"/>
      <c r="R660" s="34"/>
      <c r="U660" s="44"/>
      <c r="W660" s="95"/>
      <c r="X660" s="54"/>
      <c r="Y660" s="54"/>
      <c r="Z660" s="34"/>
      <c r="AA660" s="34"/>
      <c r="AB660" s="34"/>
      <c r="AC660" s="34"/>
      <c r="AD660" s="34"/>
      <c r="AE660" s="34"/>
      <c r="AF660" s="34"/>
      <c r="AG660" s="34"/>
      <c r="AH660" s="52"/>
      <c r="AI660" s="52"/>
      <c r="AK660" s="34"/>
      <c r="AL660" s="34"/>
      <c r="AM660" s="34"/>
      <c r="AN660" s="54"/>
      <c r="AO660" s="34"/>
      <c r="AP660" s="34"/>
      <c r="AQ660" s="54"/>
      <c r="AR660" s="54"/>
      <c r="AS660" s="54"/>
      <c r="AT660" s="54"/>
      <c r="AU660" s="34"/>
      <c r="AV660" s="34"/>
      <c r="AW660" s="34"/>
      <c r="AX660" s="34"/>
      <c r="AY660" s="34"/>
      <c r="AZ660" s="44"/>
      <c r="BA660" s="34"/>
      <c r="BB660" s="34"/>
    </row>
    <row r="661" spans="1:54" x14ac:dyDescent="0.35" ht="15.0" customHeight="true">
      <c r="A661" s="51"/>
      <c r="B661" s="34"/>
      <c r="C661" s="34"/>
      <c r="D661" s="34"/>
      <c r="E661" s="34"/>
      <c r="F661" s="34"/>
      <c r="G661" s="44"/>
      <c r="H661" s="34"/>
      <c r="I661" s="54"/>
      <c r="J661" s="34"/>
      <c r="K661" s="54"/>
      <c r="L661" s="34"/>
      <c r="M661" s="44"/>
      <c r="N661" s="44"/>
      <c r="O661" s="34"/>
      <c r="P661" s="34"/>
      <c r="Q661" s="34"/>
      <c r="R661" s="34"/>
      <c r="U661" s="44"/>
      <c r="W661" s="95"/>
      <c r="X661" s="54"/>
      <c r="Y661" s="54"/>
      <c r="Z661" s="34"/>
      <c r="AA661" s="34"/>
      <c r="AB661" s="34"/>
      <c r="AC661" s="34"/>
      <c r="AD661" s="34"/>
      <c r="AE661" s="34"/>
      <c r="AF661" s="34"/>
      <c r="AG661" s="34"/>
      <c r="AH661" s="52"/>
      <c r="AI661" s="52"/>
      <c r="AK661" s="34"/>
      <c r="AL661" s="34"/>
      <c r="AM661" s="34"/>
      <c r="AN661" s="54"/>
      <c r="AO661" s="34"/>
      <c r="AP661" s="34"/>
      <c r="AQ661" s="54"/>
      <c r="AR661" s="54"/>
      <c r="AS661" s="54"/>
      <c r="AT661" s="54"/>
      <c r="AU661" s="34"/>
      <c r="AV661" s="34"/>
      <c r="AW661" s="34"/>
      <c r="AX661" s="34"/>
      <c r="AY661" s="34"/>
      <c r="AZ661" s="44"/>
      <c r="BA661" s="34"/>
      <c r="BB661" s="34"/>
    </row>
    <row r="662" spans="1:54" x14ac:dyDescent="0.35" ht="15.0" customHeight="true">
      <c r="A662" s="51"/>
      <c r="B662" s="34"/>
      <c r="C662" s="34"/>
      <c r="D662" s="34"/>
      <c r="E662" s="34"/>
      <c r="F662" s="34"/>
      <c r="G662" s="44"/>
      <c r="H662" s="34"/>
      <c r="I662" s="54"/>
      <c r="J662" s="34"/>
      <c r="K662" s="54"/>
      <c r="L662" s="34"/>
      <c r="M662" s="44"/>
      <c r="N662" s="44"/>
      <c r="O662" s="34"/>
      <c r="P662" s="34"/>
      <c r="Q662" s="34"/>
      <c r="R662" s="34"/>
      <c r="U662" s="44"/>
      <c r="W662" s="95"/>
      <c r="X662" s="54"/>
      <c r="Y662" s="54"/>
      <c r="Z662" s="34"/>
      <c r="AA662" s="34"/>
      <c r="AB662" s="34"/>
      <c r="AC662" s="34"/>
      <c r="AD662" s="34"/>
      <c r="AE662" s="34"/>
      <c r="AF662" s="34"/>
      <c r="AG662" s="34"/>
      <c r="AH662" s="52"/>
      <c r="AI662" s="52"/>
      <c r="AK662" s="34"/>
      <c r="AL662" s="34"/>
      <c r="AM662" s="34"/>
      <c r="AN662" s="54"/>
      <c r="AO662" s="34"/>
      <c r="AP662" s="34"/>
      <c r="AQ662" s="54"/>
      <c r="AR662" s="54"/>
      <c r="AS662" s="54"/>
      <c r="AT662" s="54"/>
      <c r="AU662" s="34"/>
      <c r="AV662" s="34"/>
      <c r="AW662" s="34"/>
      <c r="AX662" s="34"/>
      <c r="AY662" s="34"/>
      <c r="AZ662" s="44"/>
      <c r="BA662" s="34"/>
      <c r="BB662" s="34"/>
    </row>
    <row r="663" spans="1:54" x14ac:dyDescent="0.35" ht="15.0" customHeight="true">
      <c r="A663" s="51"/>
      <c r="B663" s="34"/>
      <c r="C663" s="34"/>
      <c r="D663" s="34"/>
      <c r="E663" s="34"/>
      <c r="F663" s="34"/>
      <c r="G663" s="44"/>
      <c r="H663" s="34"/>
      <c r="I663" s="54"/>
      <c r="J663" s="34"/>
      <c r="K663" s="54"/>
      <c r="L663" s="34"/>
      <c r="M663" s="44"/>
      <c r="N663" s="44"/>
      <c r="O663" s="34"/>
      <c r="P663" s="34"/>
      <c r="Q663" s="34"/>
      <c r="R663" s="34"/>
      <c r="U663" s="44"/>
      <c r="W663" s="95"/>
      <c r="X663" s="54"/>
      <c r="Y663" s="54"/>
      <c r="Z663" s="34"/>
      <c r="AA663" s="34"/>
      <c r="AB663" s="34"/>
      <c r="AC663" s="34"/>
      <c r="AD663" s="34"/>
      <c r="AE663" s="34"/>
      <c r="AF663" s="34"/>
      <c r="AG663" s="34"/>
      <c r="AH663" s="52"/>
      <c r="AI663" s="52"/>
      <c r="AK663" s="34"/>
      <c r="AL663" s="34"/>
      <c r="AM663" s="34"/>
      <c r="AN663" s="54"/>
      <c r="AO663" s="34"/>
      <c r="AP663" s="34"/>
      <c r="AQ663" s="54"/>
      <c r="AR663" s="54"/>
      <c r="AS663" s="54"/>
      <c r="AT663" s="54"/>
      <c r="AU663" s="34"/>
      <c r="AV663" s="34"/>
      <c r="AW663" s="34"/>
      <c r="AX663" s="34"/>
      <c r="AY663" s="34"/>
      <c r="AZ663" s="44"/>
      <c r="BA663" s="34"/>
      <c r="BB663" s="34"/>
    </row>
    <row r="664" spans="1:54" x14ac:dyDescent="0.35" ht="15.0" customHeight="true">
      <c r="A664" s="51"/>
      <c r="B664" s="34"/>
      <c r="C664" s="34"/>
      <c r="D664" s="34"/>
      <c r="E664" s="34"/>
      <c r="F664" s="34"/>
      <c r="G664" s="44"/>
      <c r="H664" s="34"/>
      <c r="I664" s="54"/>
      <c r="J664" s="34"/>
      <c r="K664" s="54"/>
      <c r="L664" s="34"/>
      <c r="M664" s="44"/>
      <c r="N664" s="44"/>
      <c r="O664" s="34"/>
      <c r="P664" s="34"/>
      <c r="Q664" s="34"/>
      <c r="R664" s="34"/>
      <c r="U664" s="44"/>
      <c r="W664" s="95"/>
      <c r="X664" s="54"/>
      <c r="Y664" s="54"/>
      <c r="Z664" s="34"/>
      <c r="AA664" s="34"/>
      <c r="AB664" s="34"/>
      <c r="AC664" s="34"/>
      <c r="AD664" s="34"/>
      <c r="AE664" s="34"/>
      <c r="AF664" s="34"/>
      <c r="AG664" s="34"/>
      <c r="AH664" s="52"/>
      <c r="AI664" s="52"/>
      <c r="AK664" s="34"/>
      <c r="AL664" s="34"/>
      <c r="AM664" s="34"/>
      <c r="AN664" s="54"/>
      <c r="AO664" s="34"/>
      <c r="AP664" s="34"/>
      <c r="AQ664" s="54"/>
      <c r="AR664" s="54"/>
      <c r="AS664" s="54"/>
      <c r="AT664" s="54"/>
      <c r="AU664" s="34"/>
      <c r="AV664" s="34"/>
      <c r="AW664" s="34"/>
      <c r="AX664" s="34"/>
      <c r="AY664" s="34"/>
      <c r="AZ664" s="44"/>
      <c r="BA664" s="34"/>
      <c r="BB664" s="34"/>
    </row>
    <row r="665" spans="1:54" x14ac:dyDescent="0.35" ht="15.0" customHeight="true">
      <c r="A665" s="51"/>
      <c r="B665" s="34"/>
      <c r="C665" s="34"/>
      <c r="D665" s="34"/>
      <c r="E665" s="34"/>
      <c r="F665" s="34"/>
      <c r="G665" s="44"/>
      <c r="H665" s="34"/>
      <c r="I665" s="54"/>
      <c r="J665" s="34"/>
      <c r="K665" s="54"/>
      <c r="L665" s="34"/>
      <c r="M665" s="44"/>
      <c r="N665" s="44"/>
      <c r="O665" s="34"/>
      <c r="P665" s="34"/>
      <c r="Q665" s="34"/>
      <c r="R665" s="34"/>
      <c r="U665" s="44"/>
      <c r="W665" s="95"/>
      <c r="X665" s="54"/>
      <c r="Y665" s="54"/>
      <c r="Z665" s="34"/>
      <c r="AA665" s="34"/>
      <c r="AB665" s="34"/>
      <c r="AC665" s="34"/>
      <c r="AD665" s="34"/>
      <c r="AE665" s="34"/>
      <c r="AF665" s="34"/>
      <c r="AG665" s="34"/>
      <c r="AH665" s="52"/>
      <c r="AI665" s="52"/>
      <c r="AK665" s="34"/>
      <c r="AL665" s="34"/>
      <c r="AM665" s="34"/>
      <c r="AN665" s="54"/>
      <c r="AO665" s="34"/>
      <c r="AP665" s="34"/>
      <c r="AQ665" s="54"/>
      <c r="AR665" s="54"/>
      <c r="AS665" s="54"/>
      <c r="AT665" s="54"/>
      <c r="AU665" s="34"/>
      <c r="AV665" s="34"/>
      <c r="AW665" s="34"/>
      <c r="AX665" s="34"/>
      <c r="AY665" s="34"/>
      <c r="AZ665" s="44"/>
      <c r="BA665" s="34"/>
      <c r="BB665" s="34"/>
    </row>
    <row r="666" spans="1:54" x14ac:dyDescent="0.35" ht="15.0" customHeight="true">
      <c r="A666" s="51"/>
      <c r="B666" s="34"/>
      <c r="C666" s="34"/>
      <c r="D666" s="34"/>
      <c r="E666" s="34"/>
      <c r="F666" s="34"/>
      <c r="G666" s="44"/>
      <c r="H666" s="34"/>
      <c r="I666" s="54"/>
      <c r="J666" s="34"/>
      <c r="K666" s="54"/>
      <c r="L666" s="34"/>
      <c r="M666" s="44"/>
      <c r="N666" s="44"/>
      <c r="O666" s="34"/>
      <c r="P666" s="34"/>
      <c r="Q666" s="34"/>
      <c r="R666" s="34"/>
      <c r="U666" s="44"/>
      <c r="W666" s="95"/>
      <c r="X666" s="54"/>
      <c r="Y666" s="54"/>
      <c r="Z666" s="34"/>
      <c r="AA666" s="34"/>
      <c r="AB666" s="34"/>
      <c r="AC666" s="34"/>
      <c r="AD666" s="34"/>
      <c r="AE666" s="34"/>
      <c r="AF666" s="34"/>
      <c r="AG666" s="34"/>
      <c r="AH666" s="52"/>
      <c r="AI666" s="52"/>
      <c r="AK666" s="34"/>
      <c r="AL666" s="34"/>
      <c r="AM666" s="34"/>
      <c r="AN666" s="54"/>
      <c r="AO666" s="34"/>
      <c r="AP666" s="34"/>
      <c r="AQ666" s="54"/>
      <c r="AR666" s="54"/>
      <c r="AS666" s="54"/>
      <c r="AT666" s="54"/>
      <c r="AU666" s="34"/>
      <c r="AV666" s="34"/>
      <c r="AW666" s="34"/>
      <c r="AX666" s="34"/>
      <c r="AY666" s="34"/>
      <c r="AZ666" s="44"/>
      <c r="BA666" s="34"/>
      <c r="BB666" s="34"/>
    </row>
    <row r="667" spans="1:54" x14ac:dyDescent="0.35" ht="15.0" customHeight="true">
      <c r="A667" s="51"/>
      <c r="B667" s="34"/>
      <c r="C667" s="34"/>
      <c r="D667" s="34"/>
      <c r="E667" s="34"/>
      <c r="F667" s="34"/>
      <c r="G667" s="44"/>
      <c r="H667" s="34"/>
      <c r="I667" s="54"/>
      <c r="J667" s="34"/>
      <c r="K667" s="54"/>
      <c r="L667" s="34"/>
      <c r="M667" s="44"/>
      <c r="N667" s="44"/>
      <c r="O667" s="34"/>
      <c r="P667" s="34"/>
      <c r="Q667" s="34"/>
      <c r="R667" s="34"/>
      <c r="U667" s="44"/>
      <c r="W667" s="95"/>
      <c r="X667" s="54"/>
      <c r="Y667" s="54"/>
      <c r="Z667" s="34"/>
      <c r="AA667" s="34"/>
      <c r="AB667" s="34"/>
      <c r="AC667" s="34"/>
      <c r="AD667" s="34"/>
      <c r="AE667" s="34"/>
      <c r="AF667" s="34"/>
      <c r="AG667" s="34"/>
      <c r="AH667" s="52"/>
      <c r="AI667" s="52"/>
      <c r="AK667" s="34"/>
      <c r="AL667" s="34"/>
      <c r="AM667" s="34"/>
      <c r="AN667" s="54"/>
      <c r="AO667" s="34"/>
      <c r="AP667" s="34"/>
      <c r="AQ667" s="54"/>
      <c r="AR667" s="54"/>
      <c r="AS667" s="54"/>
      <c r="AT667" s="54"/>
      <c r="AU667" s="34"/>
      <c r="AV667" s="34"/>
      <c r="AW667" s="34"/>
      <c r="AX667" s="34"/>
      <c r="AY667" s="34"/>
      <c r="AZ667" s="44"/>
      <c r="BA667" s="34"/>
      <c r="BB667" s="34"/>
    </row>
    <row r="668" spans="1:54" x14ac:dyDescent="0.35" ht="15.0" customHeight="true">
      <c r="A668" s="51"/>
      <c r="B668" s="34"/>
      <c r="C668" s="34"/>
      <c r="D668" s="34"/>
      <c r="E668" s="34"/>
      <c r="F668" s="34"/>
      <c r="G668" s="44"/>
      <c r="H668" s="34"/>
      <c r="I668" s="54"/>
      <c r="J668" s="34"/>
      <c r="K668" s="54"/>
      <c r="L668" s="34"/>
      <c r="M668" s="44"/>
      <c r="N668" s="44"/>
      <c r="O668" s="34"/>
      <c r="P668" s="34"/>
      <c r="Q668" s="34"/>
      <c r="R668" s="34"/>
      <c r="U668" s="44"/>
      <c r="W668" s="95"/>
      <c r="X668" s="54"/>
      <c r="Y668" s="54"/>
      <c r="Z668" s="34"/>
      <c r="AA668" s="34"/>
      <c r="AB668" s="34"/>
      <c r="AC668" s="34"/>
      <c r="AD668" s="34"/>
      <c r="AE668" s="34"/>
      <c r="AF668" s="34"/>
      <c r="AG668" s="34"/>
      <c r="AH668" s="52"/>
      <c r="AI668" s="52"/>
      <c r="AK668" s="34"/>
      <c r="AL668" s="34"/>
      <c r="AM668" s="34"/>
      <c r="AN668" s="54"/>
      <c r="AO668" s="34"/>
      <c r="AP668" s="34"/>
      <c r="AQ668" s="54"/>
      <c r="AR668" s="54"/>
      <c r="AS668" s="54"/>
      <c r="AT668" s="54"/>
      <c r="AU668" s="34"/>
      <c r="AV668" s="34"/>
      <c r="AW668" s="34"/>
      <c r="AX668" s="34"/>
      <c r="AY668" s="34"/>
      <c r="AZ668" s="44"/>
      <c r="BA668" s="34"/>
      <c r="BB668" s="34"/>
    </row>
    <row r="669" spans="1:54" x14ac:dyDescent="0.35" ht="15.0" customHeight="true">
      <c r="A669" s="51"/>
      <c r="B669" s="34"/>
      <c r="C669" s="34"/>
      <c r="D669" s="34"/>
      <c r="E669" s="34"/>
      <c r="F669" s="34"/>
      <c r="G669" s="44"/>
      <c r="H669" s="34"/>
      <c r="I669" s="54"/>
      <c r="J669" s="34"/>
      <c r="K669" s="54"/>
      <c r="L669" s="34"/>
      <c r="M669" s="44"/>
      <c r="N669" s="44"/>
      <c r="O669" s="34"/>
      <c r="P669" s="34"/>
      <c r="Q669" s="34"/>
      <c r="R669" s="34"/>
      <c r="U669" s="44"/>
      <c r="W669" s="95"/>
      <c r="X669" s="54"/>
      <c r="Y669" s="54"/>
      <c r="Z669" s="34"/>
      <c r="AA669" s="34"/>
      <c r="AB669" s="34"/>
      <c r="AC669" s="34"/>
      <c r="AD669" s="34"/>
      <c r="AE669" s="34"/>
      <c r="AF669" s="34"/>
      <c r="AG669" s="34"/>
      <c r="AH669" s="52"/>
      <c r="AI669" s="52"/>
      <c r="AK669" s="34"/>
      <c r="AL669" s="34"/>
      <c r="AM669" s="34"/>
      <c r="AN669" s="54"/>
      <c r="AO669" s="34"/>
      <c r="AP669" s="34"/>
      <c r="AQ669" s="54"/>
      <c r="AR669" s="54"/>
      <c r="AS669" s="54"/>
      <c r="AT669" s="54"/>
      <c r="AU669" s="34"/>
      <c r="AV669" s="34"/>
      <c r="AW669" s="34"/>
      <c r="AX669" s="34"/>
      <c r="AY669" s="34"/>
      <c r="AZ669" s="44"/>
      <c r="BA669" s="34"/>
      <c r="BB669" s="34"/>
    </row>
    <row r="670" spans="1:54" x14ac:dyDescent="0.35" ht="15.0" customHeight="true">
      <c r="A670" s="51"/>
      <c r="B670" s="34"/>
      <c r="C670" s="34"/>
      <c r="D670" s="34"/>
      <c r="E670" s="34"/>
      <c r="F670" s="34"/>
      <c r="G670" s="44"/>
      <c r="H670" s="34"/>
      <c r="I670" s="54"/>
      <c r="J670" s="34"/>
      <c r="K670" s="54"/>
      <c r="L670" s="34"/>
      <c r="M670" s="44"/>
      <c r="N670" s="44"/>
      <c r="O670" s="34"/>
      <c r="P670" s="34"/>
      <c r="Q670" s="34"/>
      <c r="R670" s="34"/>
      <c r="U670" s="44"/>
      <c r="W670" s="95"/>
      <c r="X670" s="54"/>
      <c r="Y670" s="54"/>
      <c r="Z670" s="34"/>
      <c r="AA670" s="34"/>
      <c r="AB670" s="34"/>
      <c r="AC670" s="34"/>
      <c r="AD670" s="34"/>
      <c r="AE670" s="34"/>
      <c r="AF670" s="34"/>
      <c r="AG670" s="34"/>
      <c r="AH670" s="52"/>
      <c r="AI670" s="52"/>
      <c r="AK670" s="34"/>
      <c r="AL670" s="34"/>
      <c r="AM670" s="34"/>
      <c r="AN670" s="54"/>
      <c r="AO670" s="34"/>
      <c r="AP670" s="34"/>
      <c r="AQ670" s="54"/>
      <c r="AR670" s="54"/>
      <c r="AS670" s="54"/>
      <c r="AT670" s="54"/>
      <c r="AU670" s="34"/>
      <c r="AV670" s="34"/>
      <c r="AW670" s="34"/>
      <c r="AX670" s="34"/>
      <c r="AY670" s="34"/>
      <c r="AZ670" s="44"/>
      <c r="BA670" s="34"/>
      <c r="BB670" s="34"/>
    </row>
    <row r="671" spans="1:54" x14ac:dyDescent="0.35" ht="15.0" customHeight="true">
      <c r="A671" s="51"/>
      <c r="B671" s="34"/>
      <c r="C671" s="34"/>
      <c r="D671" s="34"/>
      <c r="E671" s="34"/>
      <c r="F671" s="34"/>
      <c r="G671" s="44"/>
      <c r="H671" s="34"/>
      <c r="I671" s="54"/>
      <c r="J671" s="34"/>
      <c r="K671" s="54"/>
      <c r="L671" s="34"/>
      <c r="M671" s="44"/>
      <c r="N671" s="44"/>
      <c r="O671" s="34"/>
      <c r="P671" s="34"/>
      <c r="Q671" s="34"/>
      <c r="R671" s="34"/>
      <c r="U671" s="44"/>
      <c r="W671" s="95"/>
      <c r="X671" s="54"/>
      <c r="Y671" s="54"/>
      <c r="Z671" s="34"/>
      <c r="AA671" s="34"/>
      <c r="AB671" s="34"/>
      <c r="AC671" s="34"/>
      <c r="AD671" s="34"/>
      <c r="AE671" s="34"/>
      <c r="AF671" s="34"/>
      <c r="AG671" s="34"/>
      <c r="AH671" s="52"/>
      <c r="AI671" s="52"/>
      <c r="AK671" s="34"/>
      <c r="AL671" s="34"/>
      <c r="AM671" s="34"/>
      <c r="AN671" s="54"/>
      <c r="AO671" s="34"/>
      <c r="AP671" s="34"/>
      <c r="AQ671" s="54"/>
      <c r="AR671" s="54"/>
      <c r="AS671" s="54"/>
      <c r="AT671" s="54"/>
      <c r="AU671" s="34"/>
      <c r="AV671" s="34"/>
      <c r="AW671" s="34"/>
      <c r="AX671" s="34"/>
      <c r="AY671" s="34"/>
      <c r="AZ671" s="44"/>
      <c r="BA671" s="34"/>
      <c r="BB671" s="34"/>
    </row>
    <row r="672" spans="1:54" x14ac:dyDescent="0.35" ht="15.0" customHeight="true">
      <c r="A672" s="51"/>
      <c r="B672" s="34"/>
      <c r="C672" s="34"/>
      <c r="D672" s="34"/>
      <c r="E672" s="34"/>
      <c r="F672" s="34"/>
      <c r="G672" s="44"/>
      <c r="H672" s="34"/>
      <c r="I672" s="54"/>
      <c r="J672" s="34"/>
      <c r="K672" s="54"/>
      <c r="L672" s="34"/>
      <c r="M672" s="44"/>
      <c r="N672" s="44"/>
      <c r="O672" s="34"/>
      <c r="P672" s="34"/>
      <c r="Q672" s="34"/>
      <c r="R672" s="34"/>
      <c r="U672" s="44"/>
      <c r="W672" s="95"/>
      <c r="X672" s="54"/>
      <c r="Y672" s="54"/>
      <c r="Z672" s="34"/>
      <c r="AA672" s="34"/>
      <c r="AB672" s="34"/>
      <c r="AC672" s="34"/>
      <c r="AD672" s="34"/>
      <c r="AE672" s="34"/>
      <c r="AF672" s="34"/>
      <c r="AG672" s="34"/>
      <c r="AH672" s="52"/>
      <c r="AI672" s="52"/>
      <c r="AK672" s="34"/>
      <c r="AL672" s="34"/>
      <c r="AM672" s="34"/>
      <c r="AN672" s="54"/>
      <c r="AO672" s="34"/>
      <c r="AP672" s="34"/>
      <c r="AQ672" s="54"/>
      <c r="AR672" s="54"/>
      <c r="AS672" s="54"/>
      <c r="AT672" s="54"/>
      <c r="AU672" s="34"/>
      <c r="AV672" s="34"/>
      <c r="AW672" s="34"/>
      <c r="AX672" s="34"/>
      <c r="AY672" s="34"/>
      <c r="AZ672" s="44"/>
      <c r="BA672" s="34"/>
      <c r="BB672" s="34"/>
    </row>
    <row r="673" spans="1:54" x14ac:dyDescent="0.35" ht="15.0" customHeight="true">
      <c r="A673" s="51"/>
      <c r="B673" s="34"/>
      <c r="C673" s="34"/>
      <c r="D673" s="34"/>
      <c r="E673" s="34"/>
      <c r="F673" s="34"/>
      <c r="G673" s="44"/>
      <c r="H673" s="34"/>
      <c r="I673" s="54"/>
      <c r="J673" s="34"/>
      <c r="K673" s="54"/>
      <c r="L673" s="34"/>
      <c r="M673" s="44"/>
      <c r="N673" s="44"/>
      <c r="O673" s="34"/>
      <c r="P673" s="34"/>
      <c r="Q673" s="34"/>
      <c r="R673" s="34"/>
      <c r="U673" s="44"/>
      <c r="W673" s="95"/>
      <c r="X673" s="54"/>
      <c r="Y673" s="54"/>
      <c r="Z673" s="34"/>
      <c r="AA673" s="34"/>
      <c r="AB673" s="34"/>
      <c r="AC673" s="34"/>
      <c r="AD673" s="34"/>
      <c r="AE673" s="34"/>
      <c r="AF673" s="34"/>
      <c r="AG673" s="34"/>
      <c r="AH673" s="52"/>
      <c r="AI673" s="52"/>
      <c r="AK673" s="34"/>
      <c r="AL673" s="34"/>
      <c r="AM673" s="34"/>
      <c r="AN673" s="54"/>
      <c r="AO673" s="34"/>
      <c r="AP673" s="34"/>
      <c r="AQ673" s="54"/>
      <c r="AR673" s="54"/>
      <c r="AS673" s="54"/>
      <c r="AT673" s="54"/>
      <c r="AU673" s="34"/>
      <c r="AV673" s="34"/>
      <c r="AW673" s="34"/>
      <c r="AX673" s="34"/>
      <c r="AY673" s="34"/>
      <c r="AZ673" s="44"/>
      <c r="BA673" s="34"/>
      <c r="BB673" s="34"/>
    </row>
    <row r="674" spans="1:54" x14ac:dyDescent="0.35" ht="15.0" customHeight="true">
      <c r="A674" s="51"/>
      <c r="B674" s="34"/>
      <c r="C674" s="34"/>
      <c r="D674" s="34"/>
      <c r="E674" s="34"/>
      <c r="F674" s="34"/>
      <c r="G674" s="44"/>
      <c r="H674" s="34"/>
      <c r="I674" s="54"/>
      <c r="J674" s="34"/>
      <c r="K674" s="54"/>
      <c r="L674" s="34"/>
      <c r="M674" s="44"/>
      <c r="N674" s="44"/>
      <c r="O674" s="34"/>
      <c r="P674" s="34"/>
      <c r="Q674" s="34"/>
      <c r="R674" s="34"/>
      <c r="U674" s="44"/>
      <c r="W674" s="95"/>
      <c r="X674" s="54"/>
      <c r="Y674" s="54"/>
      <c r="Z674" s="34"/>
      <c r="AA674" s="34"/>
      <c r="AB674" s="34"/>
      <c r="AC674" s="34"/>
      <c r="AD674" s="34"/>
      <c r="AE674" s="34"/>
      <c r="AF674" s="34"/>
      <c r="AG674" s="34"/>
      <c r="AH674" s="52"/>
      <c r="AI674" s="52"/>
      <c r="AK674" s="34"/>
      <c r="AL674" s="34"/>
      <c r="AM674" s="34"/>
      <c r="AN674" s="54"/>
      <c r="AO674" s="34"/>
      <c r="AP674" s="34"/>
      <c r="AQ674" s="54"/>
      <c r="AR674" s="54"/>
      <c r="AS674" s="54"/>
      <c r="AT674" s="54"/>
      <c r="AU674" s="34"/>
      <c r="AV674" s="34"/>
      <c r="AW674" s="34"/>
      <c r="AX674" s="34"/>
      <c r="AY674" s="34"/>
      <c r="AZ674" s="44"/>
      <c r="BA674" s="34"/>
      <c r="BB674" s="34"/>
    </row>
    <row r="675" spans="1:54" x14ac:dyDescent="0.35" ht="15.0" customHeight="true">
      <c r="A675" s="51"/>
      <c r="B675" s="34"/>
      <c r="C675" s="34"/>
      <c r="D675" s="34"/>
      <c r="E675" s="34"/>
      <c r="F675" s="34"/>
      <c r="G675" s="44"/>
      <c r="H675" s="34"/>
      <c r="I675" s="54"/>
      <c r="J675" s="34"/>
      <c r="K675" s="54"/>
      <c r="L675" s="34"/>
      <c r="M675" s="44"/>
      <c r="N675" s="44"/>
      <c r="O675" s="34"/>
      <c r="P675" s="34"/>
      <c r="Q675" s="34"/>
      <c r="R675" s="34"/>
      <c r="U675" s="44"/>
      <c r="W675" s="95"/>
      <c r="X675" s="54"/>
      <c r="Y675" s="54"/>
      <c r="Z675" s="34"/>
      <c r="AA675" s="34"/>
      <c r="AB675" s="34"/>
      <c r="AC675" s="34"/>
      <c r="AD675" s="34"/>
      <c r="AE675" s="34"/>
      <c r="AF675" s="34"/>
      <c r="AG675" s="34"/>
      <c r="AH675" s="52"/>
      <c r="AI675" s="52"/>
      <c r="AK675" s="34"/>
      <c r="AL675" s="34"/>
      <c r="AM675" s="34"/>
      <c r="AN675" s="54"/>
      <c r="AO675" s="34"/>
      <c r="AP675" s="34"/>
      <c r="AQ675" s="54"/>
      <c r="AR675" s="54"/>
      <c r="AS675" s="54"/>
      <c r="AT675" s="54"/>
      <c r="AU675" s="34"/>
      <c r="AV675" s="34"/>
      <c r="AW675" s="34"/>
      <c r="AX675" s="34"/>
      <c r="AY675" s="34"/>
      <c r="AZ675" s="44"/>
      <c r="BA675" s="34"/>
      <c r="BB675" s="34"/>
    </row>
    <row r="676" spans="1:54" x14ac:dyDescent="0.35" ht="15.0" customHeight="true">
      <c r="A676" s="51"/>
      <c r="B676" s="34"/>
      <c r="C676" s="34"/>
      <c r="D676" s="34"/>
      <c r="E676" s="34"/>
      <c r="F676" s="34"/>
      <c r="G676" s="44"/>
      <c r="H676" s="34"/>
      <c r="I676" s="54"/>
      <c r="J676" s="34"/>
      <c r="K676" s="54"/>
      <c r="L676" s="34"/>
      <c r="M676" s="44"/>
      <c r="N676" s="44"/>
      <c r="O676" s="34"/>
      <c r="P676" s="34"/>
      <c r="Q676" s="34"/>
      <c r="R676" s="34"/>
      <c r="U676" s="44"/>
      <c r="W676" s="95"/>
      <c r="X676" s="54"/>
      <c r="Y676" s="54"/>
      <c r="Z676" s="34"/>
      <c r="AA676" s="34"/>
      <c r="AB676" s="34"/>
      <c r="AC676" s="34"/>
      <c r="AD676" s="34"/>
      <c r="AE676" s="34"/>
      <c r="AF676" s="34"/>
      <c r="AG676" s="34"/>
      <c r="AH676" s="52"/>
      <c r="AI676" s="52"/>
      <c r="AK676" s="34"/>
      <c r="AL676" s="34"/>
      <c r="AM676" s="34"/>
      <c r="AN676" s="54"/>
      <c r="AO676" s="34"/>
      <c r="AP676" s="34"/>
      <c r="AQ676" s="54"/>
      <c r="AR676" s="54"/>
      <c r="AS676" s="54"/>
      <c r="AT676" s="54"/>
      <c r="AU676" s="34"/>
      <c r="AV676" s="34"/>
      <c r="AW676" s="34"/>
      <c r="AX676" s="34"/>
      <c r="AY676" s="34"/>
      <c r="AZ676" s="44"/>
      <c r="BA676" s="34"/>
      <c r="BB676" s="34"/>
    </row>
    <row r="677" spans="1:54" x14ac:dyDescent="0.35" ht="15.0" customHeight="true">
      <c r="A677" s="51"/>
      <c r="B677" s="34"/>
      <c r="C677" s="34"/>
      <c r="D677" s="34"/>
      <c r="E677" s="34"/>
      <c r="F677" s="34"/>
      <c r="G677" s="44"/>
      <c r="H677" s="34"/>
      <c r="I677" s="54"/>
      <c r="J677" s="34"/>
      <c r="K677" s="54"/>
      <c r="L677" s="34"/>
      <c r="M677" s="44"/>
      <c r="N677" s="44"/>
      <c r="O677" s="34"/>
      <c r="P677" s="34"/>
      <c r="Q677" s="34"/>
      <c r="R677" s="34"/>
      <c r="U677" s="44"/>
      <c r="W677" s="95"/>
      <c r="X677" s="54"/>
      <c r="Y677" s="54"/>
      <c r="Z677" s="34"/>
      <c r="AA677" s="34"/>
      <c r="AB677" s="34"/>
      <c r="AC677" s="34"/>
      <c r="AD677" s="34"/>
      <c r="AE677" s="34"/>
      <c r="AF677" s="34"/>
      <c r="AG677" s="34"/>
      <c r="AH677" s="52"/>
      <c r="AI677" s="52"/>
      <c r="AK677" s="34"/>
      <c r="AL677" s="34"/>
      <c r="AM677" s="34"/>
      <c r="AN677" s="54"/>
      <c r="AO677" s="34"/>
      <c r="AP677" s="34"/>
      <c r="AQ677" s="54"/>
      <c r="AR677" s="54"/>
      <c r="AS677" s="54"/>
      <c r="AT677" s="54"/>
      <c r="AU677" s="34"/>
      <c r="AV677" s="34"/>
      <c r="AW677" s="34"/>
      <c r="AX677" s="34"/>
      <c r="AY677" s="34"/>
      <c r="AZ677" s="44"/>
      <c r="BA677" s="34"/>
      <c r="BB677" s="34"/>
    </row>
    <row r="678" spans="1:54" x14ac:dyDescent="0.35" ht="15.0" customHeight="true">
      <c r="A678" s="51"/>
      <c r="B678" s="34"/>
      <c r="C678" s="34"/>
      <c r="D678" s="34"/>
      <c r="E678" s="34"/>
      <c r="F678" s="34"/>
      <c r="G678" s="44"/>
      <c r="H678" s="34"/>
      <c r="I678" s="54"/>
      <c r="J678" s="34"/>
      <c r="K678" s="54"/>
      <c r="L678" s="34"/>
      <c r="M678" s="44"/>
      <c r="N678" s="44"/>
      <c r="O678" s="34"/>
      <c r="P678" s="34"/>
      <c r="Q678" s="34"/>
      <c r="R678" s="34"/>
      <c r="U678" s="44"/>
      <c r="W678" s="95"/>
      <c r="X678" s="54"/>
      <c r="Y678" s="54"/>
      <c r="Z678" s="34"/>
      <c r="AA678" s="34"/>
      <c r="AB678" s="34"/>
      <c r="AC678" s="34"/>
      <c r="AD678" s="34"/>
      <c r="AE678" s="34"/>
      <c r="AF678" s="34"/>
      <c r="AG678" s="34"/>
      <c r="AH678" s="52"/>
      <c r="AI678" s="52"/>
      <c r="AK678" s="34"/>
      <c r="AL678" s="34"/>
      <c r="AM678" s="34"/>
      <c r="AN678" s="54"/>
      <c r="AO678" s="34"/>
      <c r="AP678" s="34"/>
      <c r="AQ678" s="54"/>
      <c r="AR678" s="54"/>
      <c r="AS678" s="54"/>
      <c r="AT678" s="54"/>
      <c r="AU678" s="34"/>
      <c r="AV678" s="34"/>
      <c r="AW678" s="34"/>
      <c r="AX678" s="34"/>
      <c r="AY678" s="34"/>
      <c r="AZ678" s="44"/>
      <c r="BA678" s="34"/>
      <c r="BB678" s="34"/>
    </row>
    <row r="679" spans="1:54" x14ac:dyDescent="0.35" ht="15.0" customHeight="true">
      <c r="A679" s="51"/>
      <c r="B679" s="34"/>
      <c r="C679" s="34"/>
      <c r="D679" s="34"/>
      <c r="E679" s="34"/>
      <c r="F679" s="34"/>
      <c r="G679" s="44"/>
      <c r="H679" s="34"/>
      <c r="I679" s="54"/>
      <c r="J679" s="34"/>
      <c r="K679" s="54"/>
      <c r="L679" s="34"/>
      <c r="M679" s="44"/>
      <c r="N679" s="44"/>
      <c r="O679" s="34"/>
      <c r="P679" s="34"/>
      <c r="Q679" s="34"/>
      <c r="R679" s="34"/>
      <c r="U679" s="44"/>
      <c r="W679" s="95"/>
      <c r="X679" s="54"/>
      <c r="Y679" s="54"/>
      <c r="Z679" s="34"/>
      <c r="AA679" s="34"/>
      <c r="AB679" s="34"/>
      <c r="AC679" s="34"/>
      <c r="AD679" s="34"/>
      <c r="AE679" s="34"/>
      <c r="AF679" s="34"/>
      <c r="AG679" s="34"/>
      <c r="AH679" s="52"/>
      <c r="AI679" s="52"/>
      <c r="AK679" s="34"/>
      <c r="AL679" s="34"/>
      <c r="AM679" s="34"/>
      <c r="AN679" s="54"/>
      <c r="AO679" s="34"/>
      <c r="AP679" s="34"/>
      <c r="AQ679" s="54"/>
      <c r="AR679" s="54"/>
      <c r="AS679" s="54"/>
      <c r="AT679" s="54"/>
      <c r="AU679" s="34"/>
      <c r="AV679" s="34"/>
      <c r="AW679" s="34"/>
      <c r="AX679" s="34"/>
      <c r="AY679" s="34"/>
      <c r="AZ679" s="44"/>
      <c r="BA679" s="34"/>
      <c r="BB679" s="34"/>
    </row>
    <row r="680" spans="1:54" x14ac:dyDescent="0.35" ht="15.0" customHeight="true">
      <c r="A680" s="51"/>
      <c r="B680" s="34"/>
      <c r="C680" s="34"/>
      <c r="D680" s="34"/>
      <c r="E680" s="34"/>
      <c r="F680" s="34"/>
      <c r="G680" s="44"/>
      <c r="H680" s="34"/>
      <c r="I680" s="54"/>
      <c r="J680" s="34"/>
      <c r="K680" s="54"/>
      <c r="L680" s="34"/>
      <c r="M680" s="44"/>
      <c r="N680" s="44"/>
      <c r="O680" s="34"/>
      <c r="P680" s="34"/>
      <c r="Q680" s="34"/>
      <c r="R680" s="34"/>
      <c r="U680" s="44"/>
      <c r="W680" s="95"/>
      <c r="X680" s="54"/>
      <c r="Y680" s="54"/>
      <c r="Z680" s="34"/>
      <c r="AA680" s="34"/>
      <c r="AB680" s="34"/>
      <c r="AC680" s="34"/>
      <c r="AD680" s="34"/>
      <c r="AE680" s="34"/>
      <c r="AF680" s="34"/>
      <c r="AG680" s="34"/>
      <c r="AH680" s="52"/>
      <c r="AI680" s="52"/>
      <c r="AK680" s="34"/>
      <c r="AL680" s="34"/>
      <c r="AM680" s="34"/>
      <c r="AN680" s="54"/>
      <c r="AO680" s="34"/>
      <c r="AP680" s="34"/>
      <c r="AQ680" s="54"/>
      <c r="AR680" s="54"/>
      <c r="AS680" s="54"/>
      <c r="AT680" s="54"/>
      <c r="AU680" s="34"/>
      <c r="AV680" s="34"/>
      <c r="AW680" s="34"/>
      <c r="AX680" s="34"/>
      <c r="AY680" s="34"/>
      <c r="AZ680" s="44"/>
      <c r="BA680" s="34"/>
      <c r="BB680" s="34"/>
    </row>
    <row r="681" spans="1:54" x14ac:dyDescent="0.35" ht="15.0" customHeight="true">
      <c r="A681" s="51"/>
      <c r="B681" s="34"/>
      <c r="C681" s="34"/>
      <c r="D681" s="34"/>
      <c r="E681" s="34"/>
      <c r="F681" s="34"/>
      <c r="G681" s="44"/>
      <c r="H681" s="34"/>
      <c r="I681" s="54"/>
      <c r="J681" s="34"/>
      <c r="K681" s="54"/>
      <c r="L681" s="34"/>
      <c r="M681" s="44"/>
      <c r="N681" s="44"/>
      <c r="O681" s="34"/>
      <c r="P681" s="34"/>
      <c r="Q681" s="34"/>
      <c r="R681" s="34"/>
      <c r="U681" s="44"/>
      <c r="W681" s="95"/>
      <c r="X681" s="54"/>
      <c r="Y681" s="54"/>
      <c r="Z681" s="34"/>
      <c r="AA681" s="34"/>
      <c r="AB681" s="34"/>
      <c r="AC681" s="34"/>
      <c r="AD681" s="34"/>
      <c r="AE681" s="34"/>
      <c r="AF681" s="34"/>
      <c r="AG681" s="34"/>
      <c r="AH681" s="52"/>
      <c r="AI681" s="52"/>
      <c r="AK681" s="34"/>
      <c r="AL681" s="34"/>
      <c r="AM681" s="34"/>
      <c r="AN681" s="54"/>
      <c r="AO681" s="34"/>
      <c r="AP681" s="34"/>
      <c r="AQ681" s="54"/>
      <c r="AR681" s="54"/>
      <c r="AS681" s="54"/>
      <c r="AT681" s="54"/>
      <c r="AU681" s="34"/>
      <c r="AV681" s="34"/>
      <c r="AW681" s="34"/>
      <c r="AX681" s="34"/>
      <c r="AY681" s="34"/>
      <c r="AZ681" s="44"/>
      <c r="BA681" s="34"/>
      <c r="BB681" s="34"/>
    </row>
    <row r="682" spans="1:54" x14ac:dyDescent="0.35" ht="15.0" customHeight="true">
      <c r="A682" s="51"/>
      <c r="B682" s="34"/>
      <c r="C682" s="34"/>
      <c r="D682" s="34"/>
      <c r="E682" s="34"/>
      <c r="F682" s="34"/>
      <c r="G682" s="44"/>
      <c r="H682" s="34"/>
      <c r="I682" s="54"/>
      <c r="J682" s="34"/>
      <c r="K682" s="54"/>
      <c r="L682" s="34"/>
      <c r="M682" s="44"/>
      <c r="N682" s="44"/>
      <c r="O682" s="34"/>
      <c r="P682" s="34"/>
      <c r="Q682" s="34"/>
      <c r="R682" s="34"/>
      <c r="U682" s="44"/>
      <c r="W682" s="95"/>
      <c r="X682" s="54"/>
      <c r="Y682" s="54"/>
      <c r="Z682" s="34"/>
      <c r="AA682" s="34"/>
      <c r="AB682" s="34"/>
      <c r="AC682" s="34"/>
      <c r="AD682" s="34"/>
      <c r="AE682" s="34"/>
      <c r="AF682" s="34"/>
      <c r="AG682" s="34"/>
      <c r="AH682" s="52"/>
      <c r="AI682" s="52"/>
      <c r="AK682" s="34"/>
      <c r="AL682" s="34"/>
      <c r="AM682" s="34"/>
      <c r="AN682" s="54"/>
      <c r="AO682" s="34"/>
      <c r="AP682" s="34"/>
      <c r="AQ682" s="54"/>
      <c r="AR682" s="54"/>
      <c r="AS682" s="54"/>
      <c r="AT682" s="54"/>
      <c r="AU682" s="34"/>
      <c r="AV682" s="34"/>
      <c r="AW682" s="34"/>
      <c r="AX682" s="34"/>
      <c r="AY682" s="34"/>
      <c r="AZ682" s="44"/>
      <c r="BA682" s="34"/>
      <c r="BB682" s="34"/>
    </row>
    <row r="683" spans="1:54" x14ac:dyDescent="0.35" ht="15.0" customHeight="true">
      <c r="A683" s="51"/>
      <c r="B683" s="34"/>
      <c r="C683" s="34"/>
      <c r="D683" s="34"/>
      <c r="E683" s="34"/>
      <c r="F683" s="34"/>
      <c r="G683" s="44"/>
      <c r="H683" s="34"/>
      <c r="I683" s="54"/>
      <c r="J683" s="34"/>
      <c r="K683" s="54"/>
      <c r="L683" s="34"/>
      <c r="M683" s="44"/>
      <c r="N683" s="44"/>
      <c r="O683" s="34"/>
      <c r="P683" s="34"/>
      <c r="Q683" s="34"/>
      <c r="R683" s="34"/>
      <c r="U683" s="44"/>
      <c r="W683" s="95"/>
      <c r="X683" s="54"/>
      <c r="Y683" s="54"/>
      <c r="Z683" s="34"/>
      <c r="AA683" s="34"/>
      <c r="AB683" s="34"/>
      <c r="AC683" s="34"/>
      <c r="AD683" s="34"/>
      <c r="AE683" s="34"/>
      <c r="AF683" s="34"/>
      <c r="AG683" s="34"/>
      <c r="AH683" s="52"/>
      <c r="AI683" s="52"/>
      <c r="AK683" s="34"/>
      <c r="AL683" s="34"/>
      <c r="AM683" s="34"/>
      <c r="AN683" s="54"/>
      <c r="AO683" s="34"/>
      <c r="AP683" s="34"/>
      <c r="AQ683" s="54"/>
      <c r="AR683" s="54"/>
      <c r="AS683" s="54"/>
      <c r="AT683" s="54"/>
      <c r="AU683" s="34"/>
      <c r="AV683" s="34"/>
      <c r="AW683" s="34"/>
      <c r="AX683" s="34"/>
      <c r="AY683" s="34"/>
      <c r="AZ683" s="44"/>
      <c r="BA683" s="34"/>
      <c r="BB683" s="34"/>
    </row>
    <row r="684" spans="1:54" x14ac:dyDescent="0.35" ht="15.0" customHeight="true">
      <c r="A684" s="51"/>
      <c r="B684" s="34"/>
      <c r="C684" s="34"/>
      <c r="D684" s="34"/>
      <c r="E684" s="34"/>
      <c r="F684" s="34"/>
      <c r="G684" s="44"/>
      <c r="H684" s="34"/>
      <c r="I684" s="54"/>
      <c r="J684" s="34"/>
      <c r="K684" s="54"/>
      <c r="L684" s="34"/>
      <c r="M684" s="44"/>
      <c r="N684" s="44"/>
      <c r="O684" s="34"/>
      <c r="P684" s="34"/>
      <c r="Q684" s="34"/>
      <c r="R684" s="34"/>
      <c r="U684" s="44"/>
      <c r="W684" s="95"/>
      <c r="X684" s="54"/>
      <c r="Y684" s="54"/>
      <c r="Z684" s="34"/>
      <c r="AA684" s="34"/>
      <c r="AB684" s="34"/>
      <c r="AC684" s="34"/>
      <c r="AD684" s="34"/>
      <c r="AE684" s="34"/>
      <c r="AF684" s="34"/>
      <c r="AG684" s="34"/>
      <c r="AH684" s="52"/>
      <c r="AI684" s="52"/>
      <c r="AK684" s="34"/>
      <c r="AL684" s="34"/>
      <c r="AM684" s="34"/>
      <c r="AN684" s="54"/>
      <c r="AO684" s="34"/>
      <c r="AP684" s="34"/>
      <c r="AQ684" s="54"/>
      <c r="AR684" s="54"/>
      <c r="AS684" s="54"/>
      <c r="AT684" s="54"/>
      <c r="AU684" s="34"/>
      <c r="AV684" s="34"/>
      <c r="AW684" s="34"/>
      <c r="AX684" s="34"/>
      <c r="AY684" s="34"/>
      <c r="AZ684" s="44"/>
      <c r="BA684" s="34"/>
      <c r="BB684" s="34"/>
    </row>
    <row r="685" spans="1:54" x14ac:dyDescent="0.35" ht="15.0" customHeight="true">
      <c r="A685" s="51"/>
      <c r="B685" s="34"/>
      <c r="C685" s="34"/>
      <c r="D685" s="34"/>
      <c r="E685" s="34"/>
      <c r="F685" s="34"/>
      <c r="G685" s="44"/>
      <c r="H685" s="34"/>
      <c r="I685" s="54"/>
      <c r="J685" s="34"/>
      <c r="K685" s="54"/>
      <c r="L685" s="34"/>
      <c r="M685" s="44"/>
      <c r="N685" s="44"/>
      <c r="O685" s="34"/>
      <c r="P685" s="34"/>
      <c r="Q685" s="34"/>
      <c r="R685" s="34"/>
      <c r="U685" s="44"/>
      <c r="W685" s="95"/>
      <c r="X685" s="54"/>
      <c r="Y685" s="54"/>
      <c r="Z685" s="34"/>
      <c r="AA685" s="34"/>
      <c r="AB685" s="34"/>
      <c r="AC685" s="34"/>
      <c r="AD685" s="34"/>
      <c r="AE685" s="34"/>
      <c r="AF685" s="34"/>
      <c r="AG685" s="34"/>
      <c r="AH685" s="52"/>
      <c r="AI685" s="52"/>
      <c r="AK685" s="34"/>
      <c r="AL685" s="34"/>
      <c r="AM685" s="34"/>
      <c r="AN685" s="54"/>
      <c r="AO685" s="34"/>
      <c r="AP685" s="34"/>
      <c r="AQ685" s="54"/>
      <c r="AR685" s="54"/>
      <c r="AS685" s="54"/>
      <c r="AT685" s="54"/>
      <c r="AU685" s="34"/>
      <c r="AV685" s="34"/>
      <c r="AW685" s="34"/>
      <c r="AX685" s="34"/>
      <c r="AY685" s="34"/>
      <c r="AZ685" s="44"/>
      <c r="BA685" s="34"/>
      <c r="BB685" s="34"/>
    </row>
    <row r="686" spans="1:54" x14ac:dyDescent="0.35" ht="15.0" customHeight="true">
      <c r="A686" s="51"/>
      <c r="B686" s="34"/>
      <c r="C686" s="34"/>
      <c r="D686" s="34"/>
      <c r="E686" s="34"/>
      <c r="F686" s="34"/>
      <c r="G686" s="44"/>
      <c r="H686" s="34"/>
      <c r="I686" s="54"/>
      <c r="J686" s="34"/>
      <c r="K686" s="54"/>
      <c r="L686" s="34"/>
      <c r="M686" s="44"/>
      <c r="N686" s="44"/>
      <c r="O686" s="34"/>
      <c r="P686" s="34"/>
      <c r="Q686" s="34"/>
      <c r="R686" s="34"/>
      <c r="U686" s="44"/>
      <c r="W686" s="95"/>
      <c r="X686" s="54"/>
      <c r="Y686" s="54"/>
      <c r="Z686" s="34"/>
      <c r="AA686" s="34"/>
      <c r="AB686" s="34"/>
      <c r="AC686" s="34"/>
      <c r="AD686" s="34"/>
      <c r="AE686" s="34"/>
      <c r="AF686" s="34"/>
      <c r="AG686" s="34"/>
      <c r="AH686" s="52"/>
      <c r="AI686" s="52"/>
      <c r="AK686" s="34"/>
      <c r="AL686" s="34"/>
      <c r="AM686" s="34"/>
      <c r="AN686" s="54"/>
      <c r="AO686" s="34"/>
      <c r="AP686" s="34"/>
      <c r="AQ686" s="54"/>
      <c r="AR686" s="54"/>
      <c r="AS686" s="54"/>
      <c r="AT686" s="54"/>
      <c r="AU686" s="34"/>
      <c r="AV686" s="34"/>
      <c r="AW686" s="34"/>
      <c r="AX686" s="34"/>
      <c r="AY686" s="34"/>
      <c r="AZ686" s="44"/>
      <c r="BA686" s="34"/>
      <c r="BB686" s="34"/>
    </row>
    <row r="687" spans="1:54" x14ac:dyDescent="0.35" ht="15.0" customHeight="true">
      <c r="A687" s="51"/>
      <c r="B687" s="34"/>
      <c r="C687" s="34"/>
      <c r="D687" s="34"/>
      <c r="E687" s="34"/>
      <c r="F687" s="34"/>
      <c r="G687" s="44"/>
      <c r="H687" s="34"/>
      <c r="I687" s="54"/>
      <c r="J687" s="34"/>
      <c r="K687" s="54"/>
      <c r="L687" s="34"/>
      <c r="M687" s="44"/>
      <c r="N687" s="44"/>
      <c r="O687" s="34"/>
      <c r="P687" s="34"/>
      <c r="Q687" s="34"/>
      <c r="R687" s="34"/>
      <c r="U687" s="44"/>
      <c r="W687" s="95"/>
      <c r="X687" s="54"/>
      <c r="Y687" s="54"/>
      <c r="Z687" s="34"/>
      <c r="AA687" s="34"/>
      <c r="AB687" s="34"/>
      <c r="AC687" s="34"/>
      <c r="AD687" s="34"/>
      <c r="AE687" s="34"/>
      <c r="AF687" s="34"/>
      <c r="AG687" s="34"/>
      <c r="AH687" s="52"/>
      <c r="AI687" s="52"/>
      <c r="AK687" s="34"/>
      <c r="AL687" s="34"/>
      <c r="AM687" s="34"/>
      <c r="AN687" s="54"/>
      <c r="AO687" s="34"/>
      <c r="AP687" s="34"/>
      <c r="AQ687" s="54"/>
      <c r="AR687" s="54"/>
      <c r="AS687" s="54"/>
      <c r="AT687" s="54"/>
      <c r="AU687" s="34"/>
      <c r="AV687" s="34"/>
      <c r="AW687" s="34"/>
      <c r="AX687" s="34"/>
      <c r="AY687" s="34"/>
      <c r="AZ687" s="44"/>
      <c r="BA687" s="34"/>
      <c r="BB687" s="34"/>
    </row>
    <row r="688" spans="1:54" x14ac:dyDescent="0.35" ht="15.0" customHeight="true">
      <c r="A688" s="51"/>
      <c r="B688" s="34"/>
      <c r="C688" s="34"/>
      <c r="D688" s="34"/>
      <c r="E688" s="34"/>
      <c r="F688" s="34"/>
      <c r="G688" s="44"/>
      <c r="H688" s="34"/>
      <c r="I688" s="54"/>
      <c r="J688" s="34"/>
      <c r="K688" s="54"/>
      <c r="L688" s="34"/>
      <c r="M688" s="44"/>
      <c r="N688" s="44"/>
      <c r="O688" s="34"/>
      <c r="P688" s="34"/>
      <c r="Q688" s="34"/>
      <c r="R688" s="34"/>
      <c r="U688" s="44"/>
      <c r="W688" s="95"/>
      <c r="X688" s="54"/>
      <c r="Y688" s="54"/>
      <c r="Z688" s="34"/>
      <c r="AA688" s="34"/>
      <c r="AB688" s="34"/>
      <c r="AC688" s="34"/>
      <c r="AD688" s="34"/>
      <c r="AE688" s="34"/>
      <c r="AF688" s="34"/>
      <c r="AG688" s="34"/>
      <c r="AH688" s="52"/>
      <c r="AI688" s="52"/>
      <c r="AK688" s="34"/>
      <c r="AL688" s="34"/>
      <c r="AM688" s="34"/>
      <c r="AN688" s="54"/>
      <c r="AO688" s="34"/>
      <c r="AP688" s="34"/>
      <c r="AQ688" s="54"/>
      <c r="AR688" s="54"/>
      <c r="AS688" s="54"/>
      <c r="AT688" s="54"/>
      <c r="AU688" s="34"/>
      <c r="AV688" s="34"/>
      <c r="AW688" s="34"/>
      <c r="AX688" s="34"/>
      <c r="AY688" s="34"/>
      <c r="AZ688" s="44"/>
      <c r="BA688" s="34"/>
      <c r="BB688" s="34"/>
    </row>
    <row r="689" spans="1:54" x14ac:dyDescent="0.35" ht="15.0" customHeight="true">
      <c r="A689" s="51"/>
      <c r="B689" s="34"/>
      <c r="C689" s="34"/>
      <c r="D689" s="34"/>
      <c r="E689" s="34"/>
      <c r="F689" s="34"/>
      <c r="G689" s="44"/>
      <c r="H689" s="34"/>
      <c r="I689" s="54"/>
      <c r="J689" s="34"/>
      <c r="K689" s="54"/>
      <c r="L689" s="34"/>
      <c r="M689" s="44"/>
      <c r="N689" s="44"/>
      <c r="O689" s="34"/>
      <c r="P689" s="34"/>
      <c r="Q689" s="34"/>
      <c r="R689" s="34"/>
      <c r="U689" s="44"/>
      <c r="W689" s="95"/>
      <c r="X689" s="54"/>
      <c r="Y689" s="54"/>
      <c r="Z689" s="34"/>
      <c r="AA689" s="34"/>
      <c r="AB689" s="34"/>
      <c r="AC689" s="34"/>
      <c r="AD689" s="34"/>
      <c r="AE689" s="34"/>
      <c r="AF689" s="34"/>
      <c r="AG689" s="34"/>
      <c r="AH689" s="52"/>
      <c r="AI689" s="52"/>
      <c r="AK689" s="34"/>
      <c r="AL689" s="34"/>
      <c r="AM689" s="34"/>
      <c r="AN689" s="54"/>
      <c r="AO689" s="34"/>
      <c r="AP689" s="34"/>
      <c r="AQ689" s="54"/>
      <c r="AR689" s="54"/>
      <c r="AS689" s="54"/>
      <c r="AT689" s="54"/>
      <c r="AU689" s="34"/>
      <c r="AV689" s="34"/>
      <c r="AW689" s="34"/>
      <c r="AX689" s="34"/>
      <c r="AY689" s="34"/>
      <c r="AZ689" s="44"/>
      <c r="BA689" s="34"/>
      <c r="BB689" s="34"/>
    </row>
    <row r="690" spans="1:54" x14ac:dyDescent="0.35" ht="15.0" customHeight="true">
      <c r="A690" s="51"/>
      <c r="B690" s="34"/>
      <c r="C690" s="34"/>
      <c r="D690" s="34"/>
      <c r="E690" s="34"/>
      <c r="F690" s="34"/>
      <c r="G690" s="44"/>
      <c r="H690" s="34"/>
      <c r="I690" s="54"/>
      <c r="J690" s="34"/>
      <c r="K690" s="54"/>
      <c r="L690" s="34"/>
      <c r="M690" s="44"/>
      <c r="N690" s="44"/>
      <c r="O690" s="34"/>
      <c r="P690" s="34"/>
      <c r="Q690" s="34"/>
      <c r="R690" s="34"/>
      <c r="U690" s="44"/>
      <c r="W690" s="95"/>
      <c r="X690" s="54"/>
      <c r="Y690" s="54"/>
      <c r="Z690" s="34"/>
      <c r="AA690" s="34"/>
      <c r="AB690" s="34"/>
      <c r="AC690" s="34"/>
      <c r="AD690" s="34"/>
      <c r="AE690" s="34"/>
      <c r="AF690" s="34"/>
      <c r="AG690" s="34"/>
      <c r="AH690" s="52"/>
      <c r="AI690" s="52"/>
      <c r="AK690" s="34"/>
      <c r="AL690" s="34"/>
      <c r="AM690" s="34"/>
      <c r="AN690" s="54"/>
      <c r="AO690" s="34"/>
      <c r="AP690" s="34"/>
      <c r="AQ690" s="54"/>
      <c r="AR690" s="54"/>
      <c r="AS690" s="54"/>
      <c r="AT690" s="54"/>
      <c r="AU690" s="34"/>
      <c r="AV690" s="34"/>
      <c r="AW690" s="34"/>
      <c r="AX690" s="34"/>
      <c r="AY690" s="34"/>
      <c r="AZ690" s="44"/>
      <c r="BA690" s="34"/>
      <c r="BB690" s="34"/>
    </row>
    <row r="691" spans="1:54" x14ac:dyDescent="0.35" ht="15.0" customHeight="true">
      <c r="A691" s="51"/>
      <c r="B691" s="34"/>
      <c r="C691" s="34"/>
      <c r="D691" s="34"/>
      <c r="E691" s="34"/>
      <c r="F691" s="34"/>
      <c r="G691" s="44"/>
      <c r="H691" s="34"/>
      <c r="I691" s="54"/>
      <c r="J691" s="34"/>
      <c r="K691" s="54"/>
      <c r="L691" s="34"/>
      <c r="M691" s="44"/>
      <c r="N691" s="44"/>
      <c r="O691" s="34"/>
      <c r="P691" s="34"/>
      <c r="Q691" s="34"/>
      <c r="R691" s="34"/>
      <c r="U691" s="44"/>
      <c r="W691" s="95"/>
      <c r="X691" s="54"/>
      <c r="Y691" s="54"/>
      <c r="Z691" s="34"/>
      <c r="AA691" s="34"/>
      <c r="AB691" s="34"/>
      <c r="AC691" s="34"/>
      <c r="AD691" s="34"/>
      <c r="AE691" s="34"/>
      <c r="AF691" s="34"/>
      <c r="AG691" s="34"/>
      <c r="AH691" s="52"/>
      <c r="AI691" s="52"/>
      <c r="AK691" s="34"/>
      <c r="AL691" s="34"/>
      <c r="AM691" s="34"/>
      <c r="AN691" s="54"/>
      <c r="AO691" s="34"/>
      <c r="AP691" s="34"/>
      <c r="AQ691" s="54"/>
      <c r="AR691" s="54"/>
      <c r="AS691" s="54"/>
      <c r="AT691" s="54"/>
      <c r="AU691" s="34"/>
      <c r="AV691" s="34"/>
      <c r="AW691" s="34"/>
      <c r="AX691" s="34"/>
      <c r="AY691" s="34"/>
      <c r="AZ691" s="44"/>
      <c r="BA691" s="34"/>
      <c r="BB691" s="34"/>
    </row>
    <row r="692" spans="1:54" x14ac:dyDescent="0.35" ht="15.0" customHeight="true">
      <c r="A692" s="51"/>
      <c r="B692" s="34"/>
      <c r="C692" s="34"/>
      <c r="D692" s="34"/>
      <c r="E692" s="34"/>
      <c r="F692" s="34"/>
      <c r="G692" s="44"/>
      <c r="H692" s="34"/>
      <c r="I692" s="54"/>
      <c r="J692" s="34"/>
      <c r="K692" s="54"/>
      <c r="L692" s="34"/>
      <c r="M692" s="44"/>
      <c r="N692" s="44"/>
      <c r="O692" s="34"/>
      <c r="P692" s="34"/>
      <c r="Q692" s="34"/>
      <c r="R692" s="34"/>
      <c r="U692" s="44"/>
      <c r="W692" s="95"/>
      <c r="X692" s="54"/>
      <c r="Y692" s="54"/>
      <c r="Z692" s="34"/>
      <c r="AA692" s="34"/>
      <c r="AB692" s="34"/>
      <c r="AC692" s="34"/>
      <c r="AD692" s="34"/>
      <c r="AE692" s="34"/>
      <c r="AF692" s="34"/>
      <c r="AG692" s="34"/>
      <c r="AH692" s="52"/>
      <c r="AI692" s="52"/>
      <c r="AK692" s="34"/>
      <c r="AL692" s="34"/>
      <c r="AM692" s="34"/>
      <c r="AN692" s="54"/>
      <c r="AO692" s="34"/>
      <c r="AP692" s="34"/>
      <c r="AQ692" s="54"/>
      <c r="AR692" s="54"/>
      <c r="AS692" s="54"/>
      <c r="AT692" s="54"/>
      <c r="AU692" s="34"/>
      <c r="AV692" s="34"/>
      <c r="AW692" s="34"/>
      <c r="AX692" s="34"/>
      <c r="AY692" s="34"/>
      <c r="AZ692" s="44"/>
      <c r="BA692" s="34"/>
      <c r="BB692" s="34"/>
    </row>
    <row r="693" spans="1:54" x14ac:dyDescent="0.35" ht="15.0" customHeight="true">
      <c r="A693" s="51"/>
      <c r="B693" s="34"/>
      <c r="C693" s="34"/>
      <c r="D693" s="34"/>
      <c r="E693" s="34"/>
      <c r="F693" s="34"/>
      <c r="G693" s="44"/>
      <c r="H693" s="34"/>
      <c r="I693" s="54"/>
      <c r="J693" s="34"/>
      <c r="K693" s="54"/>
      <c r="L693" s="34"/>
      <c r="M693" s="44"/>
      <c r="N693" s="44"/>
      <c r="O693" s="34"/>
      <c r="P693" s="34"/>
      <c r="Q693" s="34"/>
      <c r="R693" s="34"/>
      <c r="U693" s="44"/>
      <c r="W693" s="95"/>
      <c r="X693" s="54"/>
      <c r="Y693" s="54"/>
      <c r="Z693" s="34"/>
      <c r="AA693" s="34"/>
      <c r="AB693" s="34"/>
      <c r="AC693" s="34"/>
      <c r="AD693" s="34"/>
      <c r="AE693" s="34"/>
      <c r="AF693" s="34"/>
      <c r="AG693" s="34"/>
      <c r="AH693" s="52"/>
      <c r="AI693" s="52"/>
      <c r="AK693" s="34"/>
      <c r="AL693" s="34"/>
      <c r="AM693" s="34"/>
      <c r="AN693" s="54"/>
      <c r="AO693" s="34"/>
      <c r="AP693" s="34"/>
      <c r="AQ693" s="54"/>
      <c r="AR693" s="54"/>
      <c r="AS693" s="54"/>
      <c r="AT693" s="54"/>
      <c r="AU693" s="34"/>
      <c r="AV693" s="34"/>
      <c r="AW693" s="34"/>
      <c r="AX693" s="34"/>
      <c r="AY693" s="34"/>
      <c r="AZ693" s="44"/>
      <c r="BA693" s="34"/>
      <c r="BB693" s="34"/>
    </row>
    <row r="694" spans="1:54" x14ac:dyDescent="0.35" ht="15.0" customHeight="true">
      <c r="A694" s="51"/>
      <c r="B694" s="34"/>
      <c r="C694" s="34"/>
      <c r="D694" s="34"/>
      <c r="E694" s="34"/>
      <c r="F694" s="34"/>
      <c r="G694" s="44"/>
      <c r="H694" s="34"/>
      <c r="I694" s="54"/>
      <c r="J694" s="34"/>
      <c r="K694" s="54"/>
      <c r="L694" s="34"/>
      <c r="M694" s="44"/>
      <c r="N694" s="44"/>
      <c r="O694" s="34"/>
      <c r="P694" s="34"/>
      <c r="Q694" s="34"/>
      <c r="R694" s="34"/>
      <c r="U694" s="44"/>
      <c r="W694" s="95"/>
      <c r="X694" s="54"/>
      <c r="Y694" s="54"/>
      <c r="Z694" s="34"/>
      <c r="AA694" s="34"/>
      <c r="AB694" s="34"/>
      <c r="AC694" s="34"/>
      <c r="AD694" s="34"/>
      <c r="AE694" s="34"/>
      <c r="AF694" s="34"/>
      <c r="AG694" s="34"/>
      <c r="AH694" s="52"/>
      <c r="AI694" s="52"/>
      <c r="AK694" s="34"/>
      <c r="AL694" s="34"/>
      <c r="AM694" s="34"/>
      <c r="AN694" s="54"/>
      <c r="AO694" s="34"/>
      <c r="AP694" s="34"/>
      <c r="AQ694" s="54"/>
      <c r="AR694" s="54"/>
      <c r="AS694" s="54"/>
      <c r="AT694" s="54"/>
      <c r="AU694" s="34"/>
      <c r="AV694" s="34"/>
      <c r="AW694" s="34"/>
      <c r="AX694" s="34"/>
      <c r="AY694" s="34"/>
      <c r="AZ694" s="44"/>
      <c r="BA694" s="34"/>
      <c r="BB694" s="34"/>
    </row>
    <row r="695" spans="1:54" x14ac:dyDescent="0.35" ht="15.0" customHeight="true">
      <c r="A695" s="51"/>
      <c r="B695" s="34"/>
      <c r="C695" s="34"/>
      <c r="D695" s="34"/>
      <c r="E695" s="34"/>
      <c r="F695" s="34"/>
      <c r="G695" s="44"/>
      <c r="H695" s="34"/>
      <c r="I695" s="54"/>
      <c r="J695" s="34"/>
      <c r="K695" s="54"/>
      <c r="L695" s="34"/>
      <c r="M695" s="44"/>
      <c r="N695" s="44"/>
      <c r="O695" s="34"/>
      <c r="P695" s="34"/>
      <c r="Q695" s="34"/>
      <c r="R695" s="34"/>
      <c r="U695" s="44"/>
      <c r="W695" s="95"/>
      <c r="X695" s="54"/>
      <c r="Y695" s="54"/>
      <c r="Z695" s="34"/>
      <c r="AA695" s="34"/>
      <c r="AB695" s="34"/>
      <c r="AC695" s="34"/>
      <c r="AD695" s="34"/>
      <c r="AE695" s="34"/>
      <c r="AF695" s="34"/>
      <c r="AG695" s="34"/>
      <c r="AH695" s="52"/>
      <c r="AI695" s="52"/>
      <c r="AK695" s="34"/>
      <c r="AL695" s="34"/>
      <c r="AM695" s="34"/>
      <c r="AN695" s="54"/>
      <c r="AO695" s="34"/>
      <c r="AP695" s="34"/>
      <c r="AQ695" s="54"/>
      <c r="AR695" s="54"/>
      <c r="AS695" s="54"/>
      <c r="AT695" s="54"/>
      <c r="AU695" s="34"/>
      <c r="AV695" s="34"/>
      <c r="AW695" s="34"/>
      <c r="AX695" s="34"/>
      <c r="AY695" s="34"/>
      <c r="AZ695" s="44"/>
      <c r="BA695" s="34"/>
      <c r="BB695" s="34"/>
    </row>
    <row r="696" spans="1:54" x14ac:dyDescent="0.35" ht="15.0" customHeight="true">
      <c r="A696" s="51"/>
      <c r="B696" s="34"/>
      <c r="C696" s="34"/>
      <c r="D696" s="34"/>
      <c r="E696" s="34"/>
      <c r="F696" s="34"/>
      <c r="G696" s="44"/>
      <c r="H696" s="34"/>
      <c r="I696" s="54"/>
      <c r="J696" s="34"/>
      <c r="K696" s="54"/>
      <c r="L696" s="34"/>
      <c r="M696" s="44"/>
      <c r="N696" s="44"/>
      <c r="O696" s="34"/>
      <c r="P696" s="34"/>
      <c r="Q696" s="34"/>
      <c r="R696" s="34"/>
      <c r="U696" s="44"/>
      <c r="W696" s="95"/>
      <c r="X696" s="54"/>
      <c r="Y696" s="54"/>
      <c r="Z696" s="34"/>
      <c r="AA696" s="34"/>
      <c r="AB696" s="34"/>
      <c r="AC696" s="34"/>
      <c r="AD696" s="34"/>
      <c r="AE696" s="34"/>
      <c r="AF696" s="34"/>
      <c r="AG696" s="34"/>
      <c r="AH696" s="52"/>
      <c r="AI696" s="52"/>
      <c r="AK696" s="34"/>
      <c r="AL696" s="34"/>
      <c r="AM696" s="34"/>
      <c r="AN696" s="54"/>
      <c r="AO696" s="34"/>
      <c r="AP696" s="34"/>
      <c r="AQ696" s="54"/>
      <c r="AR696" s="54"/>
      <c r="AS696" s="54"/>
      <c r="AT696" s="54"/>
      <c r="AU696" s="34"/>
      <c r="AV696" s="34"/>
      <c r="AW696" s="34"/>
      <c r="AX696" s="34"/>
      <c r="AY696" s="34"/>
      <c r="AZ696" s="44"/>
      <c r="BA696" s="34"/>
      <c r="BB696" s="34"/>
    </row>
    <row r="697" spans="1:54" x14ac:dyDescent="0.35" ht="15.0" customHeight="true">
      <c r="A697" s="51"/>
      <c r="B697" s="34"/>
      <c r="C697" s="34"/>
      <c r="D697" s="34"/>
      <c r="E697" s="34"/>
      <c r="F697" s="34"/>
      <c r="G697" s="44"/>
      <c r="H697" s="34"/>
      <c r="I697" s="54"/>
      <c r="J697" s="34"/>
      <c r="K697" s="54"/>
      <c r="L697" s="34"/>
      <c r="M697" s="44"/>
      <c r="N697" s="44"/>
      <c r="O697" s="34"/>
      <c r="P697" s="34"/>
      <c r="Q697" s="34"/>
      <c r="R697" s="34"/>
      <c r="U697" s="44"/>
      <c r="W697" s="95"/>
      <c r="X697" s="54"/>
      <c r="Y697" s="54"/>
      <c r="Z697" s="34"/>
      <c r="AA697" s="34"/>
      <c r="AB697" s="34"/>
      <c r="AC697" s="34"/>
      <c r="AD697" s="34"/>
      <c r="AE697" s="34"/>
      <c r="AF697" s="34"/>
      <c r="AG697" s="34"/>
      <c r="AH697" s="52"/>
      <c r="AI697" s="52"/>
      <c r="AK697" s="34"/>
      <c r="AL697" s="34"/>
      <c r="AM697" s="34"/>
      <c r="AN697" s="54"/>
      <c r="AO697" s="34"/>
      <c r="AP697" s="34"/>
      <c r="AQ697" s="54"/>
      <c r="AR697" s="54"/>
      <c r="AS697" s="54"/>
      <c r="AT697" s="54"/>
      <c r="AU697" s="34"/>
      <c r="AV697" s="34"/>
      <c r="AW697" s="34"/>
      <c r="AX697" s="34"/>
      <c r="AY697" s="34"/>
      <c r="AZ697" s="44"/>
      <c r="BA697" s="34"/>
      <c r="BB697" s="34"/>
    </row>
    <row r="698" spans="1:54" x14ac:dyDescent="0.35" ht="15.0" customHeight="true">
      <c r="A698" s="51"/>
      <c r="B698" s="34"/>
      <c r="C698" s="34"/>
      <c r="D698" s="34"/>
      <c r="E698" s="34"/>
      <c r="F698" s="34"/>
      <c r="G698" s="44"/>
      <c r="H698" s="34"/>
      <c r="I698" s="54"/>
      <c r="J698" s="34"/>
      <c r="K698" s="54"/>
      <c r="L698" s="34"/>
      <c r="M698" s="44"/>
      <c r="N698" s="44"/>
      <c r="O698" s="34"/>
      <c r="P698" s="34"/>
      <c r="Q698" s="34"/>
      <c r="R698" s="34"/>
      <c r="U698" s="44"/>
      <c r="W698" s="95"/>
      <c r="X698" s="54"/>
      <c r="Y698" s="54"/>
      <c r="Z698" s="34"/>
      <c r="AA698" s="34"/>
      <c r="AB698" s="34"/>
      <c r="AC698" s="34"/>
      <c r="AD698" s="34"/>
      <c r="AE698" s="34"/>
      <c r="AF698" s="34"/>
      <c r="AG698" s="34"/>
      <c r="AH698" s="52"/>
      <c r="AI698" s="52"/>
      <c r="AK698" s="34"/>
      <c r="AL698" s="34"/>
      <c r="AM698" s="34"/>
      <c r="AN698" s="54"/>
      <c r="AO698" s="34"/>
      <c r="AP698" s="34"/>
      <c r="AQ698" s="54"/>
      <c r="AR698" s="54"/>
      <c r="AS698" s="54"/>
      <c r="AT698" s="54"/>
      <c r="AU698" s="34"/>
      <c r="AV698" s="34"/>
      <c r="AW698" s="34"/>
      <c r="AX698" s="34"/>
      <c r="AY698" s="34"/>
      <c r="AZ698" s="44"/>
      <c r="BA698" s="34"/>
      <c r="BB698" s="34"/>
    </row>
    <row r="699" spans="1:54" x14ac:dyDescent="0.35" ht="15.0" customHeight="true">
      <c r="A699" s="51"/>
      <c r="B699" s="34"/>
      <c r="C699" s="34"/>
      <c r="D699" s="34"/>
      <c r="E699" s="34"/>
      <c r="F699" s="34"/>
      <c r="G699" s="44"/>
      <c r="H699" s="34"/>
      <c r="I699" s="54"/>
      <c r="J699" s="34"/>
      <c r="K699" s="54"/>
      <c r="L699" s="34"/>
      <c r="M699" s="44"/>
      <c r="N699" s="44"/>
      <c r="O699" s="34"/>
      <c r="P699" s="34"/>
      <c r="Q699" s="34"/>
      <c r="R699" s="34"/>
      <c r="U699" s="44"/>
      <c r="W699" s="95"/>
      <c r="X699" s="54"/>
      <c r="Y699" s="54"/>
      <c r="Z699" s="34"/>
      <c r="AA699" s="34"/>
      <c r="AB699" s="34"/>
      <c r="AC699" s="34"/>
      <c r="AD699" s="34"/>
      <c r="AE699" s="34"/>
      <c r="AF699" s="34"/>
      <c r="AG699" s="34"/>
      <c r="AH699" s="52"/>
      <c r="AI699" s="52"/>
      <c r="AK699" s="34"/>
      <c r="AL699" s="34"/>
      <c r="AM699" s="34"/>
      <c r="AN699" s="54"/>
      <c r="AO699" s="34"/>
      <c r="AP699" s="34"/>
      <c r="AQ699" s="54"/>
      <c r="AR699" s="54"/>
      <c r="AS699" s="54"/>
      <c r="AT699" s="54"/>
      <c r="AU699" s="34"/>
      <c r="AV699" s="34"/>
      <c r="AW699" s="34"/>
      <c r="AX699" s="34"/>
      <c r="AY699" s="34"/>
      <c r="AZ699" s="44"/>
      <c r="BA699" s="34"/>
      <c r="BB699" s="34"/>
    </row>
    <row r="700" spans="1:54" x14ac:dyDescent="0.35" ht="15.0" customHeight="true">
      <c r="A700" s="51"/>
      <c r="B700" s="34"/>
      <c r="C700" s="34"/>
      <c r="D700" s="34"/>
      <c r="E700" s="34"/>
      <c r="F700" s="34"/>
      <c r="G700" s="44"/>
      <c r="H700" s="34"/>
      <c r="I700" s="54"/>
      <c r="J700" s="34"/>
      <c r="K700" s="54"/>
      <c r="L700" s="34"/>
      <c r="M700" s="44"/>
      <c r="N700" s="44"/>
      <c r="O700" s="34"/>
      <c r="P700" s="34"/>
      <c r="Q700" s="34"/>
      <c r="R700" s="34"/>
      <c r="U700" s="44"/>
      <c r="W700" s="95"/>
      <c r="X700" s="54"/>
      <c r="Y700" s="54"/>
      <c r="Z700" s="34"/>
      <c r="AA700" s="34"/>
      <c r="AB700" s="34"/>
      <c r="AC700" s="34"/>
      <c r="AD700" s="34"/>
      <c r="AE700" s="34"/>
      <c r="AF700" s="34"/>
      <c r="AG700" s="34"/>
      <c r="AH700" s="52"/>
      <c r="AI700" s="52"/>
      <c r="AK700" s="34"/>
      <c r="AL700" s="34"/>
      <c r="AM700" s="34"/>
      <c r="AN700" s="54"/>
      <c r="AO700" s="34"/>
      <c r="AP700" s="34"/>
      <c r="AQ700" s="54"/>
      <c r="AR700" s="54"/>
      <c r="AS700" s="54"/>
      <c r="AT700" s="54"/>
      <c r="AU700" s="34"/>
      <c r="AV700" s="34"/>
      <c r="AW700" s="34"/>
      <c r="AX700" s="34"/>
      <c r="AY700" s="34"/>
      <c r="AZ700" s="44"/>
      <c r="BA700" s="34"/>
      <c r="BB700" s="34"/>
    </row>
    <row r="701" spans="1:54" x14ac:dyDescent="0.35" ht="15.0" customHeight="true">
      <c r="A701" s="51"/>
      <c r="B701" s="34"/>
      <c r="C701" s="34"/>
      <c r="D701" s="34"/>
      <c r="E701" s="34"/>
      <c r="F701" s="34"/>
      <c r="G701" s="44"/>
      <c r="H701" s="34"/>
      <c r="I701" s="54"/>
      <c r="J701" s="34"/>
      <c r="K701" s="54"/>
      <c r="L701" s="34"/>
      <c r="M701" s="44"/>
      <c r="N701" s="44"/>
      <c r="O701" s="34"/>
      <c r="P701" s="34"/>
      <c r="Q701" s="34"/>
      <c r="R701" s="34"/>
      <c r="U701" s="44"/>
      <c r="W701" s="95"/>
      <c r="X701" s="54"/>
      <c r="Y701" s="54"/>
      <c r="Z701" s="34"/>
      <c r="AA701" s="34"/>
      <c r="AB701" s="34"/>
      <c r="AC701" s="34"/>
      <c r="AD701" s="34"/>
      <c r="AE701" s="34"/>
      <c r="AF701" s="34"/>
      <c r="AG701" s="34"/>
      <c r="AH701" s="52"/>
      <c r="AI701" s="52"/>
      <c r="AK701" s="34"/>
      <c r="AL701" s="34"/>
      <c r="AM701" s="34"/>
      <c r="AN701" s="54"/>
      <c r="AO701" s="34"/>
      <c r="AP701" s="34"/>
      <c r="AQ701" s="54"/>
      <c r="AR701" s="54"/>
      <c r="AS701" s="54"/>
      <c r="AT701" s="54"/>
      <c r="AU701" s="34"/>
      <c r="AV701" s="34"/>
      <c r="AW701" s="34"/>
      <c r="AX701" s="34"/>
      <c r="AY701" s="34"/>
      <c r="AZ701" s="44"/>
      <c r="BA701" s="34"/>
      <c r="BB701" s="34"/>
    </row>
    <row r="702" spans="1:54" x14ac:dyDescent="0.35" ht="15.0" customHeight="true">
      <c r="A702" s="51"/>
      <c r="B702" s="34"/>
      <c r="C702" s="34"/>
      <c r="D702" s="34"/>
      <c r="E702" s="34"/>
      <c r="F702" s="34"/>
      <c r="G702" s="44"/>
      <c r="H702" s="34"/>
      <c r="I702" s="54"/>
      <c r="J702" s="34"/>
      <c r="K702" s="54"/>
      <c r="L702" s="34"/>
      <c r="M702" s="44"/>
      <c r="N702" s="44"/>
      <c r="O702" s="34"/>
      <c r="P702" s="34"/>
      <c r="Q702" s="34"/>
      <c r="R702" s="34"/>
      <c r="U702" s="44"/>
      <c r="W702" s="95"/>
      <c r="X702" s="54"/>
      <c r="Y702" s="54"/>
      <c r="Z702" s="34"/>
      <c r="AA702" s="34"/>
      <c r="AB702" s="34"/>
      <c r="AC702" s="34"/>
      <c r="AD702" s="34"/>
      <c r="AE702" s="34"/>
      <c r="AF702" s="34"/>
      <c r="AG702" s="34"/>
      <c r="AH702" s="52"/>
      <c r="AI702" s="52"/>
      <c r="AK702" s="34"/>
      <c r="AL702" s="34"/>
      <c r="AM702" s="34"/>
      <c r="AN702" s="54"/>
      <c r="AO702" s="34"/>
      <c r="AP702" s="34"/>
      <c r="AQ702" s="54"/>
      <c r="AR702" s="54"/>
      <c r="AS702" s="54"/>
      <c r="AT702" s="54"/>
      <c r="AU702" s="34"/>
      <c r="AV702" s="34"/>
      <c r="AW702" s="34"/>
      <c r="AX702" s="34"/>
      <c r="AY702" s="34"/>
      <c r="AZ702" s="44"/>
      <c r="BA702" s="34"/>
      <c r="BB702" s="34"/>
    </row>
    <row r="703" spans="1:54" x14ac:dyDescent="0.35" ht="15.0" customHeight="true">
      <c r="A703" s="51"/>
      <c r="B703" s="34"/>
      <c r="C703" s="34"/>
      <c r="D703" s="34"/>
      <c r="E703" s="34"/>
      <c r="F703" s="34"/>
      <c r="G703" s="44"/>
      <c r="H703" s="34"/>
      <c r="I703" s="54"/>
      <c r="J703" s="34"/>
      <c r="K703" s="54"/>
      <c r="L703" s="34"/>
      <c r="M703" s="44"/>
      <c r="N703" s="44"/>
      <c r="O703" s="34"/>
      <c r="P703" s="34"/>
      <c r="Q703" s="34"/>
      <c r="R703" s="34"/>
      <c r="U703" s="44"/>
      <c r="W703" s="95"/>
      <c r="X703" s="54"/>
      <c r="Y703" s="54"/>
      <c r="Z703" s="34"/>
      <c r="AA703" s="34"/>
      <c r="AB703" s="34"/>
      <c r="AC703" s="34"/>
      <c r="AD703" s="34"/>
      <c r="AE703" s="34"/>
      <c r="AF703" s="34"/>
      <c r="AG703" s="34"/>
      <c r="AH703" s="52"/>
      <c r="AI703" s="52"/>
      <c r="AK703" s="34"/>
      <c r="AL703" s="34"/>
      <c r="AM703" s="34"/>
      <c r="AN703" s="54"/>
      <c r="AO703" s="34"/>
      <c r="AP703" s="34"/>
      <c r="AQ703" s="54"/>
      <c r="AR703" s="54"/>
      <c r="AS703" s="54"/>
      <c r="AT703" s="54"/>
      <c r="AU703" s="34"/>
      <c r="AV703" s="34"/>
      <c r="AW703" s="34"/>
      <c r="AX703" s="34"/>
      <c r="AY703" s="34"/>
      <c r="AZ703" s="44"/>
      <c r="BA703" s="34"/>
      <c r="BB703" s="34"/>
    </row>
    <row r="704" spans="1:54" x14ac:dyDescent="0.35" ht="15.0" customHeight="true">
      <c r="A704" s="51"/>
      <c r="B704" s="34"/>
      <c r="C704" s="34"/>
      <c r="D704" s="34"/>
      <c r="E704" s="34"/>
      <c r="F704" s="34"/>
      <c r="G704" s="44"/>
      <c r="H704" s="34"/>
      <c r="I704" s="54"/>
      <c r="J704" s="34"/>
      <c r="K704" s="54"/>
      <c r="L704" s="34"/>
      <c r="M704" s="44"/>
      <c r="N704" s="44"/>
      <c r="O704" s="34"/>
      <c r="P704" s="34"/>
      <c r="Q704" s="34"/>
      <c r="R704" s="34"/>
      <c r="U704" s="44"/>
      <c r="W704" s="95"/>
      <c r="X704" s="54"/>
      <c r="Y704" s="54"/>
      <c r="Z704" s="34"/>
      <c r="AA704" s="34"/>
      <c r="AB704" s="34"/>
      <c r="AC704" s="34"/>
      <c r="AD704" s="34"/>
      <c r="AE704" s="34"/>
      <c r="AF704" s="34"/>
      <c r="AG704" s="34"/>
      <c r="AH704" s="52"/>
      <c r="AI704" s="52"/>
      <c r="AK704" s="34"/>
      <c r="AL704" s="34"/>
      <c r="AM704" s="34"/>
      <c r="AN704" s="54"/>
      <c r="AO704" s="34"/>
      <c r="AP704" s="34"/>
      <c r="AQ704" s="54"/>
      <c r="AR704" s="54"/>
      <c r="AS704" s="54"/>
      <c r="AT704" s="54"/>
      <c r="AU704" s="34"/>
      <c r="AV704" s="34"/>
      <c r="AW704" s="34"/>
      <c r="AX704" s="34"/>
      <c r="AY704" s="34"/>
      <c r="AZ704" s="44"/>
      <c r="BA704" s="34"/>
      <c r="BB704" s="34"/>
    </row>
    <row r="705" spans="1:54" x14ac:dyDescent="0.35" ht="15.0" customHeight="true">
      <c r="A705" s="51"/>
      <c r="B705" s="34"/>
      <c r="C705" s="34"/>
      <c r="D705" s="34"/>
      <c r="E705" s="34"/>
      <c r="F705" s="34"/>
      <c r="G705" s="44"/>
      <c r="H705" s="34"/>
      <c r="I705" s="54"/>
      <c r="J705" s="34"/>
      <c r="K705" s="54"/>
      <c r="L705" s="34"/>
      <c r="M705" s="44"/>
      <c r="N705" s="44"/>
      <c r="O705" s="34"/>
      <c r="P705" s="34"/>
      <c r="Q705" s="34"/>
      <c r="R705" s="34"/>
      <c r="U705" s="44"/>
      <c r="W705" s="95"/>
      <c r="X705" s="54"/>
      <c r="Y705" s="54"/>
      <c r="Z705" s="34"/>
      <c r="AA705" s="34"/>
      <c r="AB705" s="34"/>
      <c r="AC705" s="34"/>
      <c r="AD705" s="34"/>
      <c r="AE705" s="34"/>
      <c r="AF705" s="34"/>
      <c r="AG705" s="34"/>
      <c r="AH705" s="52"/>
      <c r="AI705" s="52"/>
      <c r="AK705" s="34"/>
      <c r="AL705" s="34"/>
      <c r="AM705" s="34"/>
      <c r="AN705" s="54"/>
      <c r="AO705" s="34"/>
      <c r="AP705" s="34"/>
      <c r="AQ705" s="54"/>
      <c r="AR705" s="54"/>
      <c r="AS705" s="54"/>
      <c r="AT705" s="54"/>
      <c r="AU705" s="34"/>
      <c r="AV705" s="34"/>
      <c r="AW705" s="34"/>
      <c r="AX705" s="34"/>
      <c r="AY705" s="34"/>
      <c r="AZ705" s="44"/>
      <c r="BA705" s="34"/>
      <c r="BB705" s="34"/>
    </row>
    <row r="706" spans="1:54" x14ac:dyDescent="0.35" ht="15.0" customHeight="true">
      <c r="A706" s="51"/>
      <c r="B706" s="34"/>
      <c r="C706" s="34"/>
      <c r="D706" s="34"/>
      <c r="E706" s="34"/>
      <c r="F706" s="34"/>
      <c r="G706" s="44"/>
      <c r="H706" s="34"/>
      <c r="I706" s="54"/>
      <c r="J706" s="34"/>
      <c r="K706" s="54"/>
      <c r="L706" s="34"/>
      <c r="M706" s="44"/>
      <c r="N706" s="44"/>
      <c r="O706" s="34"/>
      <c r="P706" s="34"/>
      <c r="Q706" s="34"/>
      <c r="R706" s="34"/>
      <c r="U706" s="44"/>
      <c r="W706" s="95"/>
      <c r="X706" s="54"/>
      <c r="Y706" s="54"/>
      <c r="Z706" s="34"/>
      <c r="AA706" s="34"/>
      <c r="AB706" s="34"/>
      <c r="AC706" s="34"/>
      <c r="AD706" s="34"/>
      <c r="AE706" s="34"/>
      <c r="AF706" s="34"/>
      <c r="AG706" s="34"/>
      <c r="AH706" s="52"/>
      <c r="AI706" s="52"/>
      <c r="AK706" s="34"/>
      <c r="AL706" s="34"/>
      <c r="AM706" s="34"/>
      <c r="AN706" s="54"/>
      <c r="AO706" s="34"/>
      <c r="AP706" s="34"/>
      <c r="AQ706" s="54"/>
      <c r="AR706" s="54"/>
      <c r="AS706" s="54"/>
      <c r="AT706" s="54"/>
      <c r="AU706" s="34"/>
      <c r="AV706" s="34"/>
      <c r="AW706" s="34"/>
      <c r="AX706" s="34"/>
      <c r="AY706" s="34"/>
      <c r="AZ706" s="44"/>
      <c r="BA706" s="34"/>
      <c r="BB706" s="34"/>
    </row>
    <row r="707" spans="1:54" x14ac:dyDescent="0.35" ht="15.0" customHeight="true">
      <c r="A707" s="51"/>
      <c r="B707" s="34"/>
      <c r="C707" s="34"/>
      <c r="D707" s="34"/>
      <c r="E707" s="34"/>
      <c r="F707" s="34"/>
      <c r="G707" s="44"/>
      <c r="H707" s="34"/>
      <c r="I707" s="54"/>
      <c r="J707" s="34"/>
      <c r="K707" s="54"/>
      <c r="L707" s="34"/>
      <c r="M707" s="44"/>
      <c r="N707" s="44"/>
      <c r="O707" s="34"/>
      <c r="P707" s="34"/>
      <c r="Q707" s="34"/>
      <c r="R707" s="34"/>
      <c r="U707" s="44"/>
      <c r="W707" s="95"/>
      <c r="X707" s="54"/>
      <c r="Y707" s="54"/>
      <c r="Z707" s="34"/>
      <c r="AA707" s="34"/>
      <c r="AB707" s="34"/>
      <c r="AC707" s="34"/>
      <c r="AD707" s="34"/>
      <c r="AE707" s="34"/>
      <c r="AF707" s="34"/>
      <c r="AG707" s="34"/>
      <c r="AH707" s="52"/>
      <c r="AI707" s="52"/>
      <c r="AK707" s="34"/>
      <c r="AL707" s="34"/>
      <c r="AM707" s="34"/>
      <c r="AN707" s="54"/>
      <c r="AO707" s="34"/>
      <c r="AP707" s="34"/>
      <c r="AQ707" s="54"/>
      <c r="AR707" s="54"/>
      <c r="AS707" s="54"/>
      <c r="AT707" s="54"/>
      <c r="AU707" s="34"/>
      <c r="AV707" s="34"/>
      <c r="AW707" s="34"/>
      <c r="AX707" s="34"/>
      <c r="AY707" s="34"/>
      <c r="AZ707" s="44"/>
      <c r="BA707" s="34"/>
      <c r="BB707" s="34"/>
    </row>
    <row r="708" spans="1:54" x14ac:dyDescent="0.35" ht="15.0" customHeight="true">
      <c r="A708" s="51"/>
      <c r="B708" s="34"/>
      <c r="C708" s="34"/>
      <c r="D708" s="34"/>
      <c r="E708" s="34"/>
      <c r="F708" s="34"/>
      <c r="G708" s="44"/>
      <c r="H708" s="34"/>
      <c r="I708" s="54"/>
      <c r="J708" s="34"/>
      <c r="K708" s="54"/>
      <c r="L708" s="34"/>
      <c r="M708" s="44"/>
      <c r="N708" s="44"/>
      <c r="O708" s="34"/>
      <c r="P708" s="34"/>
      <c r="Q708" s="34"/>
      <c r="R708" s="34"/>
      <c r="U708" s="44"/>
      <c r="W708" s="95"/>
      <c r="X708" s="54"/>
      <c r="Y708" s="54"/>
      <c r="Z708" s="34"/>
      <c r="AA708" s="34"/>
      <c r="AB708" s="34"/>
      <c r="AC708" s="34"/>
      <c r="AD708" s="34"/>
      <c r="AE708" s="34"/>
      <c r="AF708" s="34"/>
      <c r="AG708" s="34"/>
      <c r="AH708" s="52"/>
      <c r="AI708" s="52"/>
      <c r="AK708" s="34"/>
      <c r="AL708" s="34"/>
      <c r="AM708" s="34"/>
      <c r="AN708" s="54"/>
      <c r="AO708" s="34"/>
      <c r="AP708" s="34"/>
      <c r="AQ708" s="54"/>
      <c r="AR708" s="54"/>
      <c r="AS708" s="54"/>
      <c r="AT708" s="54"/>
      <c r="AU708" s="34"/>
      <c r="AV708" s="34"/>
      <c r="AW708" s="34"/>
      <c r="AX708" s="34"/>
      <c r="AY708" s="34"/>
      <c r="AZ708" s="44"/>
      <c r="BA708" s="34"/>
      <c r="BB708" s="34"/>
    </row>
    <row r="709" spans="1:54" x14ac:dyDescent="0.35" ht="15.0" customHeight="true">
      <c r="A709" s="51"/>
      <c r="B709" s="34"/>
      <c r="C709" s="34"/>
      <c r="D709" s="34"/>
      <c r="E709" s="34"/>
      <c r="F709" s="34"/>
      <c r="G709" s="44"/>
      <c r="H709" s="34"/>
      <c r="I709" s="54"/>
      <c r="J709" s="34"/>
      <c r="K709" s="54"/>
      <c r="L709" s="34"/>
      <c r="M709" s="44"/>
      <c r="N709" s="44"/>
      <c r="O709" s="34"/>
      <c r="P709" s="34"/>
      <c r="Q709" s="34"/>
      <c r="R709" s="34"/>
      <c r="U709" s="44"/>
      <c r="W709" s="95"/>
      <c r="X709" s="54"/>
      <c r="Y709" s="54"/>
      <c r="Z709" s="34"/>
      <c r="AA709" s="34"/>
      <c r="AB709" s="34"/>
      <c r="AC709" s="34"/>
      <c r="AD709" s="34"/>
      <c r="AE709" s="34"/>
      <c r="AF709" s="34"/>
      <c r="AG709" s="34"/>
      <c r="AH709" s="52"/>
      <c r="AI709" s="52"/>
      <c r="AK709" s="34"/>
      <c r="AL709" s="34"/>
      <c r="AM709" s="34"/>
      <c r="AN709" s="54"/>
      <c r="AO709" s="34"/>
      <c r="AP709" s="34"/>
      <c r="AQ709" s="54"/>
      <c r="AR709" s="54"/>
      <c r="AS709" s="54"/>
      <c r="AT709" s="54"/>
      <c r="AU709" s="34"/>
      <c r="AV709" s="34"/>
      <c r="AW709" s="34"/>
      <c r="AX709" s="34"/>
      <c r="AY709" s="34"/>
      <c r="AZ709" s="44"/>
      <c r="BA709" s="34"/>
      <c r="BB709" s="34"/>
    </row>
    <row r="710" spans="1:54" x14ac:dyDescent="0.35" ht="15.0" customHeight="true">
      <c r="A710" s="51"/>
      <c r="B710" s="34"/>
      <c r="C710" s="34"/>
      <c r="D710" s="34"/>
      <c r="E710" s="34"/>
      <c r="F710" s="34"/>
      <c r="G710" s="44"/>
      <c r="H710" s="34"/>
      <c r="I710" s="54"/>
      <c r="J710" s="34"/>
      <c r="K710" s="54"/>
      <c r="L710" s="34"/>
      <c r="M710" s="44"/>
      <c r="N710" s="44"/>
      <c r="O710" s="34"/>
      <c r="P710" s="34"/>
      <c r="Q710" s="34"/>
      <c r="R710" s="34"/>
      <c r="U710" s="44"/>
      <c r="W710" s="95"/>
      <c r="X710" s="54"/>
      <c r="Y710" s="54"/>
      <c r="Z710" s="34"/>
      <c r="AA710" s="34"/>
      <c r="AB710" s="34"/>
      <c r="AC710" s="34"/>
      <c r="AD710" s="34"/>
      <c r="AE710" s="34"/>
      <c r="AF710" s="34"/>
      <c r="AG710" s="34"/>
      <c r="AH710" s="52"/>
      <c r="AI710" s="52"/>
      <c r="AK710" s="34"/>
      <c r="AL710" s="34"/>
      <c r="AM710" s="34"/>
      <c r="AN710" s="54"/>
      <c r="AO710" s="34"/>
      <c r="AP710" s="34"/>
      <c r="AQ710" s="54"/>
      <c r="AR710" s="54"/>
      <c r="AS710" s="54"/>
      <c r="AT710" s="54"/>
      <c r="AU710" s="34"/>
      <c r="AV710" s="34"/>
      <c r="AW710" s="34"/>
      <c r="AX710" s="34"/>
      <c r="AY710" s="34"/>
      <c r="AZ710" s="44"/>
      <c r="BA710" s="34"/>
      <c r="BB710" s="34"/>
    </row>
    <row r="711" spans="1:54" x14ac:dyDescent="0.35" ht="15.0" customHeight="true">
      <c r="A711" s="51"/>
      <c r="B711" s="34"/>
      <c r="C711" s="34"/>
      <c r="D711" s="34"/>
      <c r="E711" s="34"/>
      <c r="F711" s="34"/>
      <c r="G711" s="44"/>
      <c r="H711" s="34"/>
      <c r="I711" s="54"/>
      <c r="J711" s="34"/>
      <c r="K711" s="54"/>
      <c r="L711" s="34"/>
      <c r="M711" s="44"/>
      <c r="N711" s="44"/>
      <c r="O711" s="34"/>
      <c r="P711" s="34"/>
      <c r="Q711" s="34"/>
      <c r="R711" s="34"/>
      <c r="U711" s="44"/>
      <c r="W711" s="95"/>
      <c r="X711" s="54"/>
      <c r="Y711" s="54"/>
      <c r="Z711" s="34"/>
      <c r="AA711" s="34"/>
      <c r="AB711" s="34"/>
      <c r="AC711" s="34"/>
      <c r="AD711" s="34"/>
      <c r="AE711" s="34"/>
      <c r="AF711" s="34"/>
      <c r="AG711" s="34"/>
      <c r="AH711" s="52"/>
      <c r="AI711" s="52"/>
      <c r="AK711" s="34"/>
      <c r="AL711" s="34"/>
      <c r="AM711" s="34"/>
      <c r="AN711" s="54"/>
      <c r="AO711" s="34"/>
      <c r="AP711" s="34"/>
      <c r="AQ711" s="54"/>
      <c r="AR711" s="54"/>
      <c r="AS711" s="54"/>
      <c r="AT711" s="54"/>
      <c r="AU711" s="34"/>
      <c r="AV711" s="34"/>
      <c r="AW711" s="34"/>
      <c r="AX711" s="34"/>
      <c r="AY711" s="34"/>
      <c r="AZ711" s="44"/>
      <c r="BA711" s="34"/>
      <c r="BB711" s="34"/>
    </row>
    <row r="712" spans="1:54" x14ac:dyDescent="0.35" ht="15.0" customHeight="true">
      <c r="A712" s="51"/>
      <c r="B712" s="34"/>
      <c r="C712" s="34"/>
      <c r="D712" s="34"/>
      <c r="E712" s="34"/>
      <c r="F712" s="34"/>
      <c r="G712" s="44"/>
      <c r="H712" s="34"/>
      <c r="I712" s="54"/>
      <c r="J712" s="34"/>
      <c r="K712" s="54"/>
      <c r="L712" s="34"/>
      <c r="M712" s="44"/>
      <c r="N712" s="44"/>
      <c r="O712" s="34"/>
      <c r="P712" s="34"/>
      <c r="Q712" s="34"/>
      <c r="R712" s="34"/>
      <c r="U712" s="44"/>
      <c r="W712" s="95"/>
      <c r="X712" s="54"/>
      <c r="Y712" s="54"/>
      <c r="Z712" s="34"/>
      <c r="AA712" s="34"/>
      <c r="AB712" s="34"/>
      <c r="AC712" s="34"/>
      <c r="AD712" s="34"/>
      <c r="AE712" s="34"/>
      <c r="AF712" s="34"/>
      <c r="AG712" s="34"/>
      <c r="AH712" s="52"/>
      <c r="AI712" s="52"/>
      <c r="AK712" s="34"/>
      <c r="AL712" s="34"/>
      <c r="AM712" s="34"/>
      <c r="AN712" s="54"/>
      <c r="AO712" s="34"/>
      <c r="AP712" s="34"/>
      <c r="AQ712" s="54"/>
      <c r="AR712" s="54"/>
      <c r="AS712" s="54"/>
      <c r="AT712" s="54"/>
      <c r="AU712" s="34"/>
      <c r="AV712" s="34"/>
      <c r="AW712" s="34"/>
      <c r="AX712" s="34"/>
      <c r="AY712" s="34"/>
      <c r="AZ712" s="44"/>
      <c r="BA712" s="34"/>
      <c r="BB712" s="34"/>
    </row>
    <row r="713" spans="1:54" x14ac:dyDescent="0.35" ht="15.0" customHeight="true">
      <c r="A713" s="51"/>
      <c r="B713" s="34"/>
      <c r="C713" s="34"/>
      <c r="D713" s="34"/>
      <c r="E713" s="34"/>
      <c r="F713" s="34"/>
      <c r="G713" s="44"/>
      <c r="H713" s="34"/>
      <c r="I713" s="54"/>
      <c r="J713" s="34"/>
      <c r="K713" s="54"/>
      <c r="L713" s="34"/>
      <c r="M713" s="44"/>
      <c r="N713" s="44"/>
      <c r="O713" s="34"/>
      <c r="P713" s="34"/>
      <c r="Q713" s="34"/>
      <c r="R713" s="34"/>
      <c r="U713" s="44"/>
      <c r="W713" s="95"/>
      <c r="X713" s="54"/>
      <c r="Y713" s="54"/>
      <c r="Z713" s="34"/>
      <c r="AA713" s="34"/>
      <c r="AB713" s="34"/>
      <c r="AC713" s="34"/>
      <c r="AD713" s="34"/>
      <c r="AE713" s="34"/>
      <c r="AF713" s="34"/>
      <c r="AG713" s="34"/>
      <c r="AH713" s="52"/>
      <c r="AI713" s="52"/>
      <c r="AK713" s="34"/>
      <c r="AL713" s="34"/>
      <c r="AM713" s="34"/>
      <c r="AN713" s="54"/>
      <c r="AO713" s="34"/>
      <c r="AP713" s="34"/>
      <c r="AQ713" s="54"/>
      <c r="AR713" s="54"/>
      <c r="AS713" s="54"/>
      <c r="AT713" s="54"/>
      <c r="AU713" s="34"/>
      <c r="AV713" s="34"/>
      <c r="AW713" s="34"/>
      <c r="AX713" s="34"/>
      <c r="AY713" s="34"/>
      <c r="AZ713" s="44"/>
      <c r="BA713" s="34"/>
      <c r="BB713" s="34"/>
    </row>
    <row r="714" spans="1:54" x14ac:dyDescent="0.35" ht="15.0" customHeight="true">
      <c r="A714" s="51"/>
      <c r="B714" s="34"/>
      <c r="C714" s="34"/>
      <c r="D714" s="34"/>
      <c r="E714" s="34"/>
      <c r="F714" s="34"/>
      <c r="G714" s="44"/>
      <c r="H714" s="34"/>
      <c r="I714" s="54"/>
      <c r="J714" s="34"/>
      <c r="K714" s="54"/>
      <c r="L714" s="34"/>
      <c r="M714" s="44"/>
      <c r="N714" s="44"/>
      <c r="O714" s="34"/>
      <c r="P714" s="34"/>
      <c r="Q714" s="34"/>
      <c r="R714" s="34"/>
      <c r="U714" s="44"/>
      <c r="W714" s="95"/>
      <c r="X714" s="54"/>
      <c r="Y714" s="54"/>
      <c r="Z714" s="34"/>
      <c r="AA714" s="34"/>
      <c r="AB714" s="34"/>
      <c r="AC714" s="34"/>
      <c r="AD714" s="34"/>
      <c r="AE714" s="34"/>
      <c r="AF714" s="34"/>
      <c r="AG714" s="34"/>
      <c r="AH714" s="52"/>
      <c r="AI714" s="52"/>
      <c r="AK714" s="34"/>
      <c r="AL714" s="34"/>
      <c r="AM714" s="34"/>
      <c r="AN714" s="54"/>
      <c r="AO714" s="34"/>
      <c r="AP714" s="34"/>
      <c r="AQ714" s="54"/>
      <c r="AR714" s="54"/>
      <c r="AS714" s="54"/>
      <c r="AT714" s="54"/>
      <c r="AU714" s="34"/>
      <c r="AV714" s="34"/>
      <c r="AW714" s="34"/>
      <c r="AX714" s="34"/>
      <c r="AY714" s="34"/>
      <c r="AZ714" s="44"/>
      <c r="BA714" s="34"/>
      <c r="BB714" s="34"/>
    </row>
    <row r="715" spans="1:54" x14ac:dyDescent="0.35" ht="15.0" customHeight="true">
      <c r="A715" s="51"/>
      <c r="B715" s="34"/>
      <c r="C715" s="34"/>
      <c r="D715" s="34"/>
      <c r="E715" s="34"/>
      <c r="F715" s="34"/>
      <c r="G715" s="44"/>
      <c r="H715" s="34"/>
      <c r="I715" s="54"/>
      <c r="J715" s="34"/>
      <c r="K715" s="54"/>
      <c r="L715" s="34"/>
      <c r="M715" s="44"/>
      <c r="N715" s="44"/>
      <c r="O715" s="34"/>
      <c r="P715" s="34"/>
      <c r="Q715" s="34"/>
      <c r="R715" s="34"/>
      <c r="U715" s="44"/>
      <c r="W715" s="95"/>
      <c r="X715" s="54"/>
      <c r="Y715" s="54"/>
      <c r="Z715" s="34"/>
      <c r="AA715" s="34"/>
      <c r="AB715" s="34"/>
      <c r="AC715" s="34"/>
      <c r="AD715" s="34"/>
      <c r="AE715" s="34"/>
      <c r="AF715" s="34"/>
      <c r="AG715" s="34"/>
      <c r="AH715" s="52"/>
      <c r="AI715" s="52"/>
      <c r="AK715" s="34"/>
      <c r="AL715" s="34"/>
      <c r="AM715" s="34"/>
      <c r="AN715" s="54"/>
      <c r="AO715" s="34"/>
      <c r="AP715" s="34"/>
      <c r="AQ715" s="54"/>
      <c r="AR715" s="54"/>
      <c r="AS715" s="54"/>
      <c r="AT715" s="54"/>
      <c r="AU715" s="34"/>
      <c r="AV715" s="34"/>
      <c r="AW715" s="34"/>
      <c r="AX715" s="34"/>
      <c r="AY715" s="34"/>
      <c r="AZ715" s="44"/>
      <c r="BA715" s="34"/>
      <c r="BB715" s="34"/>
    </row>
    <row r="716" spans="1:54" x14ac:dyDescent="0.35" ht="15.0" customHeight="true">
      <c r="A716" s="51"/>
      <c r="B716" s="34"/>
      <c r="C716" s="34"/>
      <c r="D716" s="34"/>
      <c r="E716" s="34"/>
      <c r="F716" s="34"/>
      <c r="G716" s="44"/>
      <c r="H716" s="34"/>
      <c r="I716" s="54"/>
      <c r="J716" s="34"/>
      <c r="K716" s="54"/>
      <c r="L716" s="34"/>
      <c r="M716" s="44"/>
      <c r="N716" s="44"/>
      <c r="O716" s="34"/>
      <c r="P716" s="34"/>
      <c r="Q716" s="34"/>
      <c r="R716" s="34"/>
      <c r="U716" s="44"/>
      <c r="W716" s="95"/>
      <c r="X716" s="54"/>
      <c r="Y716" s="54"/>
      <c r="Z716" s="34"/>
      <c r="AA716" s="34"/>
      <c r="AB716" s="34"/>
      <c r="AC716" s="34"/>
      <c r="AD716" s="34"/>
      <c r="AE716" s="34"/>
      <c r="AF716" s="34"/>
      <c r="AG716" s="34"/>
      <c r="AH716" s="52"/>
      <c r="AI716" s="52"/>
      <c r="AK716" s="34"/>
      <c r="AL716" s="34"/>
      <c r="AM716" s="34"/>
      <c r="AN716" s="54"/>
      <c r="AO716" s="34"/>
      <c r="AP716" s="34"/>
      <c r="AQ716" s="54"/>
      <c r="AR716" s="54"/>
      <c r="AS716" s="54"/>
      <c r="AT716" s="54"/>
      <c r="AU716" s="34"/>
      <c r="AV716" s="34"/>
      <c r="AW716" s="34"/>
      <c r="AX716" s="34"/>
      <c r="AY716" s="34"/>
      <c r="AZ716" s="44"/>
      <c r="BA716" s="34"/>
      <c r="BB716" s="34"/>
    </row>
    <row r="717" spans="1:54" x14ac:dyDescent="0.35" ht="15.0" customHeight="true">
      <c r="A717" s="51"/>
      <c r="B717" s="34"/>
      <c r="C717" s="34"/>
      <c r="D717" s="34"/>
      <c r="E717" s="34"/>
      <c r="F717" s="34"/>
      <c r="G717" s="44"/>
      <c r="H717" s="34"/>
      <c r="I717" s="54"/>
      <c r="J717" s="34"/>
      <c r="K717" s="54"/>
      <c r="L717" s="34"/>
      <c r="M717" s="44"/>
      <c r="N717" s="44"/>
      <c r="O717" s="34"/>
      <c r="P717" s="34"/>
      <c r="Q717" s="34"/>
      <c r="R717" s="34"/>
      <c r="U717" s="44"/>
      <c r="W717" s="95"/>
      <c r="X717" s="54"/>
      <c r="Y717" s="54"/>
      <c r="Z717" s="34"/>
      <c r="AA717" s="34"/>
      <c r="AB717" s="34"/>
      <c r="AC717" s="34"/>
      <c r="AD717" s="34"/>
      <c r="AE717" s="34"/>
      <c r="AF717" s="34"/>
      <c r="AG717" s="34"/>
      <c r="AH717" s="52"/>
      <c r="AI717" s="52"/>
      <c r="AK717" s="34"/>
      <c r="AL717" s="34"/>
      <c r="AM717" s="34"/>
      <c r="AN717" s="54"/>
      <c r="AO717" s="34"/>
      <c r="AP717" s="34"/>
      <c r="AQ717" s="54"/>
      <c r="AR717" s="54"/>
      <c r="AS717" s="54"/>
      <c r="AT717" s="54"/>
      <c r="AU717" s="34"/>
      <c r="AV717" s="34"/>
      <c r="AW717" s="34"/>
      <c r="AX717" s="34"/>
      <c r="AY717" s="34"/>
      <c r="AZ717" s="44"/>
      <c r="BA717" s="34"/>
      <c r="BB717" s="34"/>
    </row>
    <row r="718" spans="1:54" x14ac:dyDescent="0.35" ht="15.0" customHeight="true">
      <c r="A718" s="51"/>
      <c r="B718" s="34"/>
      <c r="C718" s="34"/>
      <c r="D718" s="34"/>
      <c r="E718" s="34"/>
      <c r="F718" s="34"/>
      <c r="G718" s="44"/>
      <c r="H718" s="34"/>
      <c r="I718" s="54"/>
      <c r="J718" s="34"/>
      <c r="K718" s="54"/>
      <c r="L718" s="34"/>
      <c r="M718" s="44"/>
      <c r="N718" s="44"/>
      <c r="O718" s="34"/>
      <c r="P718" s="34"/>
      <c r="Q718" s="34"/>
      <c r="R718" s="34"/>
      <c r="U718" s="44"/>
      <c r="W718" s="95"/>
      <c r="X718" s="54"/>
      <c r="Y718" s="54"/>
      <c r="Z718" s="34"/>
      <c r="AA718" s="34"/>
      <c r="AB718" s="34"/>
      <c r="AC718" s="34"/>
      <c r="AD718" s="34"/>
      <c r="AE718" s="34"/>
      <c r="AF718" s="34"/>
      <c r="AG718" s="34"/>
      <c r="AH718" s="52"/>
      <c r="AI718" s="52"/>
      <c r="AK718" s="34"/>
      <c r="AL718" s="34"/>
      <c r="AM718" s="34"/>
      <c r="AN718" s="54"/>
      <c r="AO718" s="34"/>
      <c r="AP718" s="34"/>
      <c r="AQ718" s="54"/>
      <c r="AR718" s="54"/>
      <c r="AS718" s="54"/>
      <c r="AT718" s="54"/>
      <c r="AU718" s="34"/>
      <c r="AV718" s="34"/>
      <c r="AW718" s="34"/>
      <c r="AX718" s="34"/>
      <c r="AY718" s="34"/>
      <c r="AZ718" s="44"/>
      <c r="BA718" s="34"/>
      <c r="BB718" s="34"/>
    </row>
    <row r="719" spans="1:54" x14ac:dyDescent="0.35" ht="15.0" customHeight="true">
      <c r="A719" s="51"/>
      <c r="B719" s="34"/>
      <c r="C719" s="34"/>
      <c r="D719" s="34"/>
      <c r="E719" s="34"/>
      <c r="F719" s="34"/>
      <c r="G719" s="44"/>
      <c r="H719" s="34"/>
      <c r="I719" s="54"/>
      <c r="J719" s="34"/>
      <c r="K719" s="54"/>
      <c r="L719" s="34"/>
      <c r="M719" s="44"/>
      <c r="N719" s="44"/>
      <c r="O719" s="34"/>
      <c r="P719" s="34"/>
      <c r="Q719" s="34"/>
      <c r="R719" s="34"/>
      <c r="U719" s="44"/>
      <c r="W719" s="95"/>
      <c r="X719" s="54"/>
      <c r="Y719" s="54"/>
      <c r="Z719" s="34"/>
      <c r="AA719" s="34"/>
      <c r="AB719" s="34"/>
      <c r="AC719" s="34"/>
      <c r="AD719" s="34"/>
      <c r="AE719" s="34"/>
      <c r="AF719" s="34"/>
      <c r="AG719" s="34"/>
      <c r="AH719" s="52"/>
      <c r="AI719" s="52"/>
      <c r="AK719" s="34"/>
      <c r="AL719" s="34"/>
      <c r="AM719" s="34"/>
      <c r="AN719" s="54"/>
      <c r="AO719" s="34"/>
      <c r="AP719" s="34"/>
      <c r="AQ719" s="54"/>
      <c r="AR719" s="54"/>
      <c r="AS719" s="54"/>
      <c r="AT719" s="54"/>
      <c r="AU719" s="34"/>
      <c r="AV719" s="34"/>
      <c r="AW719" s="34"/>
      <c r="AX719" s="34"/>
      <c r="AY719" s="34"/>
      <c r="AZ719" s="44"/>
      <c r="BA719" s="34"/>
      <c r="BB719" s="34"/>
    </row>
    <row r="720" spans="1:54" x14ac:dyDescent="0.35" ht="15.0" customHeight="true">
      <c r="A720" s="51"/>
      <c r="B720" s="34"/>
      <c r="C720" s="34"/>
      <c r="D720" s="34"/>
      <c r="E720" s="34"/>
      <c r="F720" s="34"/>
      <c r="G720" s="44"/>
      <c r="H720" s="34"/>
      <c r="I720" s="54"/>
      <c r="J720" s="34"/>
      <c r="K720" s="54"/>
      <c r="L720" s="34"/>
      <c r="M720" s="44"/>
      <c r="N720" s="44"/>
      <c r="O720" s="34"/>
      <c r="P720" s="34"/>
      <c r="Q720" s="34"/>
      <c r="R720" s="34"/>
      <c r="U720" s="44"/>
      <c r="W720" s="95"/>
      <c r="X720" s="54"/>
      <c r="Y720" s="54"/>
      <c r="Z720" s="34"/>
      <c r="AA720" s="34"/>
      <c r="AB720" s="34"/>
      <c r="AC720" s="34"/>
      <c r="AD720" s="34"/>
      <c r="AE720" s="34"/>
      <c r="AF720" s="34"/>
      <c r="AG720" s="34"/>
      <c r="AH720" s="52"/>
      <c r="AI720" s="52"/>
      <c r="AK720" s="34"/>
      <c r="AL720" s="34"/>
      <c r="AM720" s="34"/>
      <c r="AN720" s="54"/>
      <c r="AO720" s="34"/>
      <c r="AP720" s="34"/>
      <c r="AQ720" s="54"/>
      <c r="AR720" s="54"/>
      <c r="AS720" s="54"/>
      <c r="AT720" s="54"/>
      <c r="AU720" s="34"/>
      <c r="AV720" s="34"/>
      <c r="AW720" s="34"/>
      <c r="AX720" s="34"/>
      <c r="AY720" s="34"/>
      <c r="AZ720" s="44"/>
      <c r="BA720" s="34"/>
      <c r="BB720" s="34"/>
    </row>
    <row r="721" spans="1:54" x14ac:dyDescent="0.35" ht="15.0" customHeight="true">
      <c r="A721" s="51"/>
      <c r="B721" s="34"/>
      <c r="C721" s="34"/>
      <c r="D721" s="34"/>
      <c r="E721" s="34"/>
      <c r="F721" s="34"/>
      <c r="G721" s="44"/>
      <c r="H721" s="34"/>
      <c r="I721" s="54"/>
      <c r="J721" s="34"/>
      <c r="K721" s="54"/>
      <c r="L721" s="34"/>
      <c r="M721" s="44"/>
      <c r="N721" s="44"/>
      <c r="O721" s="34"/>
      <c r="P721" s="34"/>
      <c r="Q721" s="34"/>
      <c r="R721" s="34"/>
      <c r="U721" s="44"/>
      <c r="W721" s="95"/>
      <c r="X721" s="54"/>
      <c r="Y721" s="54"/>
      <c r="Z721" s="34"/>
      <c r="AA721" s="34"/>
      <c r="AB721" s="34"/>
      <c r="AC721" s="34"/>
      <c r="AD721" s="34"/>
      <c r="AE721" s="34"/>
      <c r="AF721" s="34"/>
      <c r="AG721" s="34"/>
      <c r="AH721" s="52"/>
      <c r="AI721" s="52"/>
      <c r="AK721" s="34"/>
      <c r="AL721" s="34"/>
      <c r="AM721" s="34"/>
      <c r="AN721" s="54"/>
      <c r="AO721" s="34"/>
      <c r="AP721" s="34"/>
      <c r="AQ721" s="54"/>
      <c r="AR721" s="54"/>
      <c r="AS721" s="54"/>
      <c r="AT721" s="54"/>
      <c r="AU721" s="34"/>
      <c r="AV721" s="34"/>
      <c r="AW721" s="34"/>
      <c r="AX721" s="34"/>
      <c r="AY721" s="34"/>
      <c r="AZ721" s="44"/>
      <c r="BA721" s="34"/>
      <c r="BB721" s="34"/>
    </row>
    <row r="722" spans="1:54" x14ac:dyDescent="0.35" ht="15.0" customHeight="true">
      <c r="A722" s="51"/>
      <c r="B722" s="34"/>
      <c r="C722" s="34"/>
      <c r="D722" s="34"/>
      <c r="E722" s="34"/>
      <c r="F722" s="34"/>
      <c r="G722" s="44"/>
      <c r="H722" s="34"/>
      <c r="I722" s="54"/>
      <c r="J722" s="34"/>
      <c r="K722" s="54"/>
      <c r="L722" s="34"/>
      <c r="M722" s="44"/>
      <c r="N722" s="44"/>
      <c r="O722" s="34"/>
      <c r="P722" s="34"/>
      <c r="Q722" s="34"/>
      <c r="R722" s="34"/>
      <c r="U722" s="44"/>
      <c r="W722" s="95"/>
      <c r="X722" s="54"/>
      <c r="Y722" s="54"/>
      <c r="Z722" s="34"/>
      <c r="AA722" s="34"/>
      <c r="AB722" s="34"/>
      <c r="AC722" s="34"/>
      <c r="AD722" s="34"/>
      <c r="AE722" s="34"/>
      <c r="AF722" s="34"/>
      <c r="AG722" s="34"/>
      <c r="AH722" s="52"/>
      <c r="AI722" s="52"/>
      <c r="AK722" s="34"/>
      <c r="AL722" s="34"/>
      <c r="AM722" s="34"/>
      <c r="AN722" s="54"/>
      <c r="AO722" s="34"/>
      <c r="AP722" s="34"/>
      <c r="AQ722" s="54"/>
      <c r="AR722" s="54"/>
      <c r="AS722" s="54"/>
      <c r="AT722" s="54"/>
      <c r="AU722" s="34"/>
      <c r="AV722" s="34"/>
      <c r="AW722" s="34"/>
      <c r="AX722" s="34"/>
      <c r="AY722" s="34"/>
      <c r="AZ722" s="44"/>
      <c r="BA722" s="34"/>
      <c r="BB722" s="34"/>
    </row>
    <row r="723" spans="1:54" x14ac:dyDescent="0.35" ht="15.0" customHeight="true">
      <c r="A723" s="51"/>
      <c r="B723" s="34"/>
      <c r="C723" s="34"/>
      <c r="D723" s="34"/>
      <c r="E723" s="34"/>
      <c r="F723" s="34"/>
      <c r="G723" s="44"/>
      <c r="H723" s="34"/>
      <c r="I723" s="54"/>
      <c r="J723" s="34"/>
      <c r="K723" s="54"/>
      <c r="L723" s="34"/>
      <c r="M723" s="44"/>
      <c r="N723" s="44"/>
      <c r="O723" s="34"/>
      <c r="P723" s="34"/>
      <c r="Q723" s="34"/>
      <c r="R723" s="34"/>
      <c r="U723" s="44"/>
      <c r="W723" s="95"/>
      <c r="X723" s="54"/>
      <c r="Y723" s="54"/>
      <c r="Z723" s="34"/>
      <c r="AA723" s="34"/>
      <c r="AB723" s="34"/>
      <c r="AC723" s="34"/>
      <c r="AD723" s="34"/>
      <c r="AE723" s="34"/>
      <c r="AF723" s="34"/>
      <c r="AG723" s="34"/>
      <c r="AH723" s="52"/>
      <c r="AI723" s="52"/>
      <c r="AK723" s="34"/>
      <c r="AL723" s="34"/>
      <c r="AM723" s="34"/>
      <c r="AN723" s="54"/>
      <c r="AO723" s="34"/>
      <c r="AP723" s="34"/>
      <c r="AQ723" s="54"/>
      <c r="AR723" s="54"/>
      <c r="AS723" s="54"/>
      <c r="AT723" s="54"/>
      <c r="AU723" s="34"/>
      <c r="AV723" s="34"/>
      <c r="AW723" s="34"/>
      <c r="AX723" s="34"/>
      <c r="AY723" s="34"/>
      <c r="AZ723" s="44"/>
      <c r="BA723" s="34"/>
      <c r="BB723" s="34"/>
    </row>
    <row r="724" spans="1:54" x14ac:dyDescent="0.35" ht="15.0" customHeight="true">
      <c r="A724" s="51"/>
      <c r="B724" s="34"/>
      <c r="C724" s="34"/>
      <c r="D724" s="34"/>
      <c r="E724" s="34"/>
      <c r="F724" s="34"/>
      <c r="G724" s="44"/>
      <c r="H724" s="34"/>
      <c r="I724" s="54"/>
      <c r="J724" s="34"/>
      <c r="K724" s="54"/>
      <c r="L724" s="34"/>
      <c r="M724" s="44"/>
      <c r="N724" s="44"/>
      <c r="O724" s="34"/>
      <c r="P724" s="34"/>
      <c r="Q724" s="34"/>
      <c r="R724" s="34"/>
      <c r="U724" s="44"/>
      <c r="W724" s="95"/>
      <c r="X724" s="54"/>
      <c r="Y724" s="54"/>
      <c r="Z724" s="34"/>
      <c r="AA724" s="34"/>
      <c r="AB724" s="34"/>
      <c r="AC724" s="34"/>
      <c r="AD724" s="34"/>
      <c r="AE724" s="34"/>
      <c r="AF724" s="34"/>
      <c r="AG724" s="34"/>
      <c r="AH724" s="52"/>
      <c r="AI724" s="52"/>
      <c r="AK724" s="34"/>
      <c r="AL724" s="34"/>
      <c r="AM724" s="34"/>
      <c r="AN724" s="54"/>
      <c r="AO724" s="34"/>
      <c r="AP724" s="34"/>
      <c r="AQ724" s="54"/>
      <c r="AR724" s="54"/>
      <c r="AS724" s="54"/>
      <c r="AT724" s="54"/>
      <c r="AU724" s="34"/>
      <c r="AV724" s="34"/>
      <c r="AW724" s="34"/>
      <c r="AX724" s="34"/>
      <c r="AY724" s="34"/>
      <c r="AZ724" s="44"/>
      <c r="BA724" s="34"/>
      <c r="BB724" s="34"/>
    </row>
    <row r="725" spans="1:54" x14ac:dyDescent="0.35" ht="15.0" customHeight="true">
      <c r="A725" s="51"/>
      <c r="B725" s="34"/>
      <c r="C725" s="34"/>
      <c r="D725" s="34"/>
      <c r="E725" s="34"/>
      <c r="F725" s="34"/>
      <c r="G725" s="44"/>
      <c r="H725" s="34"/>
      <c r="I725" s="54"/>
      <c r="J725" s="34"/>
      <c r="K725" s="54"/>
      <c r="L725" s="34"/>
      <c r="M725" s="44"/>
      <c r="N725" s="44"/>
      <c r="O725" s="34"/>
      <c r="P725" s="34"/>
      <c r="Q725" s="34"/>
      <c r="R725" s="34"/>
      <c r="U725" s="44"/>
      <c r="W725" s="95"/>
      <c r="X725" s="54"/>
      <c r="Y725" s="54"/>
      <c r="Z725" s="34"/>
      <c r="AA725" s="34"/>
      <c r="AB725" s="34"/>
      <c r="AC725" s="34"/>
      <c r="AD725" s="34"/>
      <c r="AE725" s="34"/>
      <c r="AF725" s="34"/>
      <c r="AG725" s="34"/>
      <c r="AH725" s="52"/>
      <c r="AI725" s="52"/>
      <c r="AK725" s="34"/>
      <c r="AL725" s="34"/>
      <c r="AM725" s="34"/>
      <c r="AN725" s="54"/>
      <c r="AO725" s="34"/>
      <c r="AP725" s="34"/>
      <c r="AQ725" s="54"/>
      <c r="AR725" s="54"/>
      <c r="AS725" s="54"/>
      <c r="AT725" s="54"/>
      <c r="AU725" s="34"/>
      <c r="AV725" s="34"/>
      <c r="AW725" s="34"/>
      <c r="AX725" s="34"/>
      <c r="AY725" s="34"/>
      <c r="AZ725" s="44"/>
      <c r="BA725" s="34"/>
      <c r="BB725" s="34"/>
    </row>
    <row r="726" spans="1:54" x14ac:dyDescent="0.35" ht="15.0" customHeight="true">
      <c r="A726" s="51"/>
      <c r="B726" s="34"/>
      <c r="C726" s="34"/>
      <c r="D726" s="34"/>
      <c r="E726" s="34"/>
      <c r="F726" s="34"/>
      <c r="G726" s="44"/>
      <c r="H726" s="34"/>
      <c r="I726" s="54"/>
      <c r="J726" s="34"/>
      <c r="K726" s="54"/>
      <c r="L726" s="34"/>
      <c r="M726" s="44"/>
      <c r="N726" s="44"/>
      <c r="O726" s="34"/>
      <c r="P726" s="34"/>
      <c r="Q726" s="34"/>
      <c r="R726" s="34"/>
      <c r="U726" s="44"/>
      <c r="W726" s="95"/>
      <c r="X726" s="54"/>
      <c r="Y726" s="54"/>
      <c r="Z726" s="34"/>
      <c r="AA726" s="34"/>
      <c r="AB726" s="34"/>
      <c r="AC726" s="34"/>
      <c r="AD726" s="34"/>
      <c r="AE726" s="34"/>
      <c r="AF726" s="34"/>
      <c r="AG726" s="34"/>
      <c r="AH726" s="52"/>
      <c r="AI726" s="52"/>
      <c r="AK726" s="34"/>
      <c r="AL726" s="34"/>
      <c r="AM726" s="34"/>
      <c r="AN726" s="54"/>
      <c r="AO726" s="34"/>
      <c r="AP726" s="34"/>
      <c r="AQ726" s="54"/>
      <c r="AR726" s="54"/>
      <c r="AS726" s="54"/>
      <c r="AT726" s="54"/>
      <c r="AU726" s="34"/>
      <c r="AV726" s="34"/>
      <c r="AW726" s="34"/>
      <c r="AX726" s="34"/>
      <c r="AY726" s="34"/>
      <c r="AZ726" s="44"/>
      <c r="BA726" s="34"/>
      <c r="BB726" s="34"/>
    </row>
    <row r="727" spans="1:54" x14ac:dyDescent="0.35" ht="15.0" customHeight="true">
      <c r="A727" s="51"/>
      <c r="B727" s="34"/>
      <c r="C727" s="34"/>
      <c r="D727" s="34"/>
      <c r="E727" s="34"/>
      <c r="F727" s="34"/>
      <c r="G727" s="44"/>
      <c r="H727" s="34"/>
      <c r="I727" s="54"/>
      <c r="J727" s="34"/>
      <c r="K727" s="54"/>
      <c r="L727" s="34"/>
      <c r="M727" s="44"/>
      <c r="N727" s="44"/>
      <c r="O727" s="34"/>
      <c r="P727" s="34"/>
      <c r="Q727" s="34"/>
      <c r="R727" s="34"/>
      <c r="U727" s="44"/>
      <c r="W727" s="95"/>
      <c r="X727" s="54"/>
      <c r="Y727" s="54"/>
      <c r="Z727" s="34"/>
      <c r="AA727" s="34"/>
      <c r="AB727" s="34"/>
      <c r="AC727" s="34"/>
      <c r="AD727" s="34"/>
      <c r="AE727" s="34"/>
      <c r="AF727" s="34"/>
      <c r="AG727" s="34"/>
      <c r="AH727" s="52"/>
      <c r="AI727" s="52"/>
      <c r="AK727" s="34"/>
      <c r="AL727" s="34"/>
      <c r="AM727" s="34"/>
      <c r="AN727" s="54"/>
      <c r="AO727" s="34"/>
      <c r="AP727" s="34"/>
      <c r="AQ727" s="54"/>
      <c r="AR727" s="54"/>
      <c r="AS727" s="54"/>
      <c r="AT727" s="54"/>
      <c r="AU727" s="34"/>
      <c r="AV727" s="34"/>
      <c r="AW727" s="34"/>
      <c r="AX727" s="34"/>
      <c r="AY727" s="34"/>
      <c r="AZ727" s="44"/>
      <c r="BA727" s="34"/>
      <c r="BB727" s="34"/>
    </row>
    <row r="728" spans="1:54" x14ac:dyDescent="0.35" ht="15.0" customHeight="true">
      <c r="A728" s="51"/>
      <c r="B728" s="34"/>
      <c r="C728" s="34"/>
      <c r="D728" s="34"/>
      <c r="E728" s="34"/>
      <c r="F728" s="34"/>
      <c r="G728" s="44"/>
      <c r="H728" s="34"/>
      <c r="I728" s="54"/>
      <c r="J728" s="34"/>
      <c r="K728" s="54"/>
      <c r="L728" s="34"/>
      <c r="M728" s="44"/>
      <c r="N728" s="44"/>
      <c r="O728" s="34"/>
      <c r="P728" s="34"/>
      <c r="Q728" s="34"/>
      <c r="R728" s="34"/>
      <c r="U728" s="44"/>
      <c r="W728" s="95"/>
      <c r="X728" s="54"/>
      <c r="Y728" s="54"/>
      <c r="Z728" s="34"/>
      <c r="AA728" s="34"/>
      <c r="AB728" s="34"/>
      <c r="AC728" s="34"/>
      <c r="AD728" s="34"/>
      <c r="AE728" s="34"/>
      <c r="AF728" s="34"/>
      <c r="AG728" s="34"/>
      <c r="AH728" s="52"/>
      <c r="AI728" s="52"/>
      <c r="AK728" s="34"/>
      <c r="AL728" s="34"/>
      <c r="AM728" s="34"/>
      <c r="AN728" s="54"/>
      <c r="AO728" s="34"/>
      <c r="AP728" s="34"/>
      <c r="AQ728" s="54"/>
      <c r="AR728" s="54"/>
      <c r="AS728" s="54"/>
      <c r="AT728" s="54"/>
      <c r="AU728" s="34"/>
      <c r="AV728" s="34"/>
      <c r="AW728" s="34"/>
      <c r="AX728" s="34"/>
      <c r="AY728" s="34"/>
      <c r="AZ728" s="44"/>
      <c r="BA728" s="34"/>
      <c r="BB728" s="34"/>
    </row>
    <row r="729" spans="1:54" x14ac:dyDescent="0.35" ht="15.0" customHeight="true">
      <c r="A729" s="51"/>
      <c r="B729" s="34"/>
      <c r="C729" s="34"/>
      <c r="D729" s="34"/>
      <c r="E729" s="34"/>
      <c r="F729" s="34"/>
      <c r="G729" s="44"/>
      <c r="H729" s="34"/>
      <c r="I729" s="54"/>
      <c r="J729" s="34"/>
      <c r="K729" s="54"/>
      <c r="L729" s="34"/>
      <c r="M729" s="44"/>
      <c r="N729" s="44"/>
      <c r="O729" s="34"/>
      <c r="P729" s="34"/>
      <c r="Q729" s="34"/>
      <c r="R729" s="34"/>
      <c r="U729" s="44"/>
      <c r="W729" s="95"/>
      <c r="X729" s="54"/>
      <c r="Y729" s="54"/>
      <c r="Z729" s="34"/>
      <c r="AA729" s="34"/>
      <c r="AB729" s="34"/>
      <c r="AC729" s="34"/>
      <c r="AD729" s="34"/>
      <c r="AE729" s="34"/>
      <c r="AF729" s="34"/>
      <c r="AG729" s="34"/>
      <c r="AH729" s="52"/>
      <c r="AI729" s="52"/>
      <c r="AK729" s="34"/>
      <c r="AL729" s="34"/>
      <c r="AM729" s="34"/>
      <c r="AN729" s="54"/>
      <c r="AO729" s="34"/>
      <c r="AP729" s="34"/>
      <c r="AQ729" s="54"/>
      <c r="AR729" s="54"/>
      <c r="AS729" s="54"/>
      <c r="AT729" s="54"/>
      <c r="AU729" s="34"/>
      <c r="AV729" s="34"/>
      <c r="AW729" s="34"/>
      <c r="AX729" s="34"/>
      <c r="AY729" s="34"/>
      <c r="AZ729" s="44"/>
      <c r="BA729" s="34"/>
      <c r="BB729" s="34"/>
    </row>
    <row r="730" spans="1:54" x14ac:dyDescent="0.35" ht="15.0" customHeight="true">
      <c r="A730" s="51"/>
      <c r="B730" s="34"/>
      <c r="C730" s="34"/>
      <c r="D730" s="34"/>
      <c r="E730" s="34"/>
      <c r="F730" s="34"/>
      <c r="G730" s="44"/>
      <c r="H730" s="34"/>
      <c r="I730" s="54"/>
      <c r="J730" s="34"/>
      <c r="K730" s="54"/>
      <c r="L730" s="34"/>
      <c r="M730" s="44"/>
      <c r="N730" s="44"/>
      <c r="O730" s="34"/>
      <c r="P730" s="34"/>
      <c r="Q730" s="34"/>
      <c r="R730" s="34"/>
      <c r="U730" s="44"/>
      <c r="W730" s="95"/>
      <c r="X730" s="54"/>
      <c r="Y730" s="54"/>
      <c r="Z730" s="34"/>
      <c r="AA730" s="34"/>
      <c r="AB730" s="34"/>
      <c r="AC730" s="34"/>
      <c r="AD730" s="34"/>
      <c r="AE730" s="34"/>
      <c r="AF730" s="34"/>
      <c r="AG730" s="34"/>
      <c r="AH730" s="52"/>
      <c r="AI730" s="52"/>
      <c r="AK730" s="34"/>
      <c r="AL730" s="34"/>
      <c r="AM730" s="34"/>
      <c r="AN730" s="54"/>
      <c r="AO730" s="34"/>
      <c r="AP730" s="34"/>
      <c r="AQ730" s="54"/>
      <c r="AR730" s="54"/>
      <c r="AS730" s="54"/>
      <c r="AT730" s="54"/>
      <c r="AU730" s="34"/>
      <c r="AV730" s="34"/>
      <c r="AW730" s="34"/>
      <c r="AX730" s="34"/>
      <c r="AY730" s="34"/>
      <c r="AZ730" s="44"/>
      <c r="BA730" s="34"/>
      <c r="BB730" s="34"/>
    </row>
    <row r="731" spans="1:54" x14ac:dyDescent="0.35" ht="15.0" customHeight="true">
      <c r="A731" s="51"/>
      <c r="B731" s="34"/>
      <c r="C731" s="34"/>
      <c r="D731" s="34"/>
      <c r="E731" s="34"/>
      <c r="F731" s="34"/>
      <c r="G731" s="44"/>
      <c r="H731" s="34"/>
      <c r="I731" s="54"/>
      <c r="J731" s="34"/>
      <c r="K731" s="54"/>
      <c r="L731" s="34"/>
      <c r="M731" s="44"/>
      <c r="N731" s="44"/>
      <c r="O731" s="34"/>
      <c r="P731" s="34"/>
      <c r="Q731" s="34"/>
      <c r="R731" s="34"/>
      <c r="U731" s="44"/>
      <c r="W731" s="95"/>
      <c r="X731" s="54"/>
      <c r="Y731" s="54"/>
      <c r="Z731" s="34"/>
      <c r="AA731" s="34"/>
      <c r="AB731" s="34"/>
      <c r="AC731" s="34"/>
      <c r="AD731" s="34"/>
      <c r="AE731" s="34"/>
      <c r="AF731" s="34"/>
      <c r="AG731" s="34"/>
      <c r="AH731" s="52"/>
      <c r="AI731" s="52"/>
      <c r="AK731" s="34"/>
      <c r="AL731" s="34"/>
      <c r="AM731" s="34"/>
      <c r="AN731" s="54"/>
      <c r="AO731" s="34"/>
      <c r="AP731" s="34"/>
      <c r="AQ731" s="54"/>
      <c r="AR731" s="54"/>
      <c r="AS731" s="54"/>
      <c r="AT731" s="54"/>
      <c r="AU731" s="34"/>
      <c r="AV731" s="34"/>
      <c r="AW731" s="34"/>
      <c r="AX731" s="34"/>
      <c r="AY731" s="34"/>
      <c r="AZ731" s="44"/>
      <c r="BA731" s="34"/>
      <c r="BB731" s="34"/>
    </row>
    <row r="732" spans="1:54" x14ac:dyDescent="0.35" ht="15.0" customHeight="true">
      <c r="A732" s="51"/>
      <c r="B732" s="34"/>
      <c r="C732" s="34"/>
      <c r="D732" s="34"/>
      <c r="E732" s="34"/>
      <c r="F732" s="34"/>
      <c r="G732" s="44"/>
      <c r="H732" s="34"/>
      <c r="I732" s="54"/>
      <c r="J732" s="34"/>
      <c r="K732" s="54"/>
      <c r="L732" s="34"/>
      <c r="M732" s="44"/>
      <c r="N732" s="44"/>
      <c r="O732" s="34"/>
      <c r="P732" s="34"/>
      <c r="Q732" s="34"/>
      <c r="R732" s="34"/>
      <c r="U732" s="44"/>
      <c r="W732" s="95"/>
      <c r="X732" s="54"/>
      <c r="Y732" s="54"/>
      <c r="Z732" s="34"/>
      <c r="AA732" s="34"/>
      <c r="AB732" s="34"/>
      <c r="AC732" s="34"/>
      <c r="AD732" s="34"/>
      <c r="AE732" s="34"/>
      <c r="AF732" s="34"/>
      <c r="AG732" s="34"/>
      <c r="AH732" s="52"/>
      <c r="AI732" s="52"/>
      <c r="AK732" s="34"/>
      <c r="AL732" s="34"/>
      <c r="AM732" s="34"/>
      <c r="AN732" s="54"/>
      <c r="AO732" s="34"/>
      <c r="AP732" s="34"/>
      <c r="AQ732" s="54"/>
      <c r="AR732" s="54"/>
      <c r="AS732" s="54"/>
      <c r="AT732" s="54"/>
      <c r="AU732" s="34"/>
      <c r="AV732" s="34"/>
      <c r="AW732" s="34"/>
      <c r="AX732" s="34"/>
      <c r="AY732" s="34"/>
      <c r="AZ732" s="44"/>
      <c r="BA732" s="34"/>
      <c r="BB732" s="34"/>
    </row>
    <row r="733" spans="1:54" x14ac:dyDescent="0.35" ht="15.0" customHeight="true">
      <c r="A733" s="51"/>
      <c r="B733" s="34"/>
      <c r="C733" s="34"/>
      <c r="D733" s="34"/>
      <c r="E733" s="34"/>
      <c r="F733" s="34"/>
      <c r="G733" s="44"/>
      <c r="H733" s="34"/>
      <c r="I733" s="54"/>
      <c r="J733" s="34"/>
      <c r="K733" s="54"/>
      <c r="L733" s="34"/>
      <c r="M733" s="44"/>
      <c r="N733" s="44"/>
      <c r="O733" s="34"/>
      <c r="P733" s="34"/>
      <c r="Q733" s="34"/>
      <c r="R733" s="34"/>
      <c r="U733" s="44"/>
      <c r="W733" s="95"/>
      <c r="X733" s="54"/>
      <c r="Y733" s="54"/>
      <c r="Z733" s="34"/>
      <c r="AA733" s="34"/>
      <c r="AB733" s="34"/>
      <c r="AC733" s="34"/>
      <c r="AD733" s="34"/>
      <c r="AE733" s="34"/>
      <c r="AF733" s="34"/>
      <c r="AG733" s="34"/>
      <c r="AH733" s="52"/>
      <c r="AI733" s="52"/>
      <c r="AK733" s="34"/>
      <c r="AL733" s="34"/>
      <c r="AM733" s="34"/>
      <c r="AN733" s="54"/>
      <c r="AO733" s="34"/>
      <c r="AP733" s="34"/>
      <c r="AQ733" s="54"/>
      <c r="AR733" s="54"/>
      <c r="AS733" s="54"/>
      <c r="AT733" s="54"/>
      <c r="AU733" s="34"/>
      <c r="AV733" s="34"/>
      <c r="AW733" s="34"/>
      <c r="AX733" s="34"/>
      <c r="AY733" s="34"/>
      <c r="AZ733" s="44"/>
      <c r="BA733" s="34"/>
      <c r="BB733" s="34"/>
    </row>
    <row r="734" spans="1:54" x14ac:dyDescent="0.35" ht="15.0" customHeight="true">
      <c r="A734" s="51"/>
      <c r="B734" s="34"/>
      <c r="C734" s="34"/>
      <c r="D734" s="34"/>
      <c r="E734" s="34"/>
      <c r="F734" s="34"/>
      <c r="G734" s="44"/>
      <c r="H734" s="34"/>
      <c r="I734" s="54"/>
      <c r="J734" s="34"/>
      <c r="K734" s="54"/>
      <c r="L734" s="34"/>
      <c r="M734" s="44"/>
      <c r="N734" s="44"/>
      <c r="O734" s="34"/>
      <c r="P734" s="34"/>
      <c r="Q734" s="34"/>
      <c r="R734" s="34"/>
      <c r="U734" s="44"/>
      <c r="W734" s="95"/>
      <c r="X734" s="54"/>
      <c r="Y734" s="54"/>
      <c r="Z734" s="34"/>
      <c r="AA734" s="34"/>
      <c r="AB734" s="34"/>
      <c r="AC734" s="34"/>
      <c r="AD734" s="34"/>
      <c r="AE734" s="34"/>
      <c r="AF734" s="34"/>
      <c r="AG734" s="34"/>
      <c r="AH734" s="52"/>
      <c r="AI734" s="52"/>
      <c r="AK734" s="34"/>
      <c r="AL734" s="34"/>
      <c r="AM734" s="34"/>
      <c r="AN734" s="54"/>
      <c r="AO734" s="34"/>
      <c r="AP734" s="34"/>
      <c r="AQ734" s="54"/>
      <c r="AR734" s="54"/>
      <c r="AS734" s="54"/>
      <c r="AT734" s="54"/>
      <c r="AU734" s="34"/>
      <c r="AV734" s="34"/>
      <c r="AW734" s="34"/>
      <c r="AX734" s="34"/>
      <c r="AY734" s="34"/>
      <c r="AZ734" s="44"/>
      <c r="BA734" s="34"/>
      <c r="BB734" s="34"/>
    </row>
    <row r="735" spans="1:54" x14ac:dyDescent="0.35" ht="15.0" customHeight="true">
      <c r="A735" s="51"/>
      <c r="B735" s="34"/>
      <c r="C735" s="34"/>
      <c r="D735" s="34"/>
      <c r="E735" s="34"/>
      <c r="F735" s="34"/>
      <c r="G735" s="44"/>
      <c r="H735" s="34"/>
      <c r="I735" s="54"/>
      <c r="J735" s="34"/>
      <c r="K735" s="54"/>
      <c r="L735" s="34"/>
      <c r="M735" s="44"/>
      <c r="N735" s="44"/>
      <c r="O735" s="34"/>
      <c r="P735" s="34"/>
      <c r="Q735" s="34"/>
      <c r="R735" s="34"/>
      <c r="U735" s="44"/>
      <c r="W735" s="95"/>
      <c r="X735" s="54"/>
      <c r="Y735" s="54"/>
      <c r="Z735" s="34"/>
      <c r="AA735" s="34"/>
      <c r="AB735" s="34"/>
      <c r="AC735" s="34"/>
      <c r="AD735" s="34"/>
      <c r="AE735" s="34"/>
      <c r="AF735" s="34"/>
      <c r="AG735" s="34"/>
      <c r="AH735" s="52"/>
      <c r="AI735" s="52"/>
      <c r="AK735" s="34"/>
      <c r="AL735" s="34"/>
      <c r="AM735" s="34"/>
      <c r="AN735" s="54"/>
      <c r="AO735" s="34"/>
      <c r="AP735" s="34"/>
      <c r="AQ735" s="54"/>
      <c r="AR735" s="54"/>
      <c r="AS735" s="54"/>
      <c r="AT735" s="54"/>
      <c r="AU735" s="34"/>
      <c r="AV735" s="34"/>
      <c r="AW735" s="34"/>
      <c r="AX735" s="34"/>
      <c r="AY735" s="34"/>
      <c r="AZ735" s="44"/>
      <c r="BA735" s="34"/>
      <c r="BB735" s="34"/>
    </row>
    <row r="736" spans="1:54" x14ac:dyDescent="0.35" ht="15.0" customHeight="true">
      <c r="A736" s="51"/>
      <c r="B736" s="34"/>
      <c r="C736" s="34"/>
      <c r="D736" s="34"/>
      <c r="E736" s="34"/>
      <c r="F736" s="34"/>
      <c r="G736" s="44"/>
      <c r="H736" s="34"/>
      <c r="I736" s="54"/>
      <c r="J736" s="34"/>
      <c r="K736" s="54"/>
      <c r="L736" s="34"/>
      <c r="M736" s="44"/>
      <c r="N736" s="44"/>
      <c r="O736" s="34"/>
      <c r="P736" s="34"/>
      <c r="Q736" s="34"/>
      <c r="R736" s="34"/>
      <c r="U736" s="44"/>
      <c r="W736" s="95"/>
      <c r="X736" s="54"/>
      <c r="Y736" s="54"/>
      <c r="Z736" s="34"/>
      <c r="AA736" s="34"/>
      <c r="AB736" s="34"/>
      <c r="AC736" s="34"/>
      <c r="AD736" s="34"/>
      <c r="AE736" s="34"/>
      <c r="AF736" s="34"/>
      <c r="AG736" s="34"/>
      <c r="AH736" s="52"/>
      <c r="AI736" s="52"/>
      <c r="AK736" s="34"/>
      <c r="AL736" s="34"/>
      <c r="AM736" s="34"/>
      <c r="AN736" s="54"/>
      <c r="AO736" s="34"/>
      <c r="AP736" s="34"/>
      <c r="AQ736" s="54"/>
      <c r="AR736" s="54"/>
      <c r="AS736" s="54"/>
      <c r="AT736" s="54"/>
      <c r="AU736" s="34"/>
      <c r="AV736" s="34"/>
      <c r="AW736" s="34"/>
      <c r="AX736" s="34"/>
      <c r="AY736" s="34"/>
      <c r="AZ736" s="44"/>
      <c r="BA736" s="34"/>
      <c r="BB736" s="34"/>
    </row>
    <row r="737" spans="1:54" x14ac:dyDescent="0.35" ht="15.0" customHeight="true">
      <c r="A737" s="51"/>
      <c r="B737" s="34"/>
      <c r="C737" s="34"/>
      <c r="D737" s="34"/>
      <c r="E737" s="34"/>
      <c r="F737" s="34"/>
      <c r="G737" s="44"/>
      <c r="H737" s="34"/>
      <c r="I737" s="54"/>
      <c r="J737" s="34"/>
      <c r="K737" s="54"/>
      <c r="L737" s="34"/>
      <c r="M737" s="44"/>
      <c r="N737" s="44"/>
      <c r="O737" s="34"/>
      <c r="P737" s="34"/>
      <c r="Q737" s="34"/>
      <c r="R737" s="34"/>
      <c r="U737" s="44"/>
      <c r="W737" s="95"/>
      <c r="X737" s="54"/>
      <c r="Y737" s="54"/>
      <c r="Z737" s="34"/>
      <c r="AA737" s="34"/>
      <c r="AB737" s="34"/>
      <c r="AC737" s="34"/>
      <c r="AD737" s="34"/>
      <c r="AE737" s="34"/>
      <c r="AF737" s="34"/>
      <c r="AG737" s="34"/>
      <c r="AH737" s="52"/>
      <c r="AI737" s="52"/>
      <c r="AK737" s="34"/>
      <c r="AL737" s="34"/>
      <c r="AM737" s="34"/>
      <c r="AN737" s="54"/>
      <c r="AO737" s="34"/>
      <c r="AP737" s="34"/>
      <c r="AQ737" s="54"/>
      <c r="AR737" s="54"/>
      <c r="AS737" s="54"/>
      <c r="AT737" s="54"/>
      <c r="AU737" s="34"/>
      <c r="AV737" s="34"/>
      <c r="AW737" s="34"/>
      <c r="AX737" s="34"/>
      <c r="AY737" s="34"/>
      <c r="AZ737" s="44"/>
      <c r="BA737" s="34"/>
      <c r="BB737" s="34"/>
    </row>
    <row r="738" spans="1:54" x14ac:dyDescent="0.35" ht="15.0" customHeight="true">
      <c r="A738" s="51"/>
      <c r="B738" s="34"/>
      <c r="C738" s="34"/>
      <c r="D738" s="34"/>
      <c r="E738" s="34"/>
      <c r="F738" s="34"/>
      <c r="G738" s="44"/>
      <c r="H738" s="34"/>
      <c r="I738" s="54"/>
      <c r="J738" s="34"/>
      <c r="K738" s="54"/>
      <c r="L738" s="34"/>
      <c r="M738" s="44"/>
      <c r="N738" s="44"/>
      <c r="O738" s="34"/>
      <c r="P738" s="34"/>
      <c r="Q738" s="34"/>
      <c r="R738" s="34"/>
      <c r="U738" s="44"/>
      <c r="W738" s="95"/>
      <c r="X738" s="54"/>
      <c r="Y738" s="54"/>
      <c r="Z738" s="34"/>
      <c r="AA738" s="34"/>
      <c r="AB738" s="34"/>
      <c r="AC738" s="34"/>
      <c r="AD738" s="34"/>
      <c r="AE738" s="34"/>
      <c r="AF738" s="34"/>
      <c r="AG738" s="34"/>
      <c r="AH738" s="52"/>
      <c r="AI738" s="52"/>
      <c r="AK738" s="34"/>
      <c r="AL738" s="34"/>
      <c r="AM738" s="34"/>
      <c r="AN738" s="54"/>
      <c r="AO738" s="34"/>
      <c r="AP738" s="34"/>
      <c r="AQ738" s="54"/>
      <c r="AR738" s="54"/>
      <c r="AS738" s="54"/>
      <c r="AT738" s="54"/>
      <c r="AU738" s="34"/>
      <c r="AV738" s="34"/>
      <c r="AW738" s="34"/>
      <c r="AX738" s="34"/>
      <c r="AY738" s="34"/>
      <c r="AZ738" s="44"/>
      <c r="BA738" s="34"/>
      <c r="BB738" s="34"/>
    </row>
    <row r="739" spans="1:54" x14ac:dyDescent="0.35" ht="15.0" customHeight="true">
      <c r="A739" s="51"/>
      <c r="B739" s="34"/>
      <c r="C739" s="34"/>
      <c r="D739" s="34"/>
      <c r="E739" s="34"/>
      <c r="F739" s="34"/>
      <c r="G739" s="44"/>
      <c r="H739" s="34"/>
      <c r="I739" s="54"/>
      <c r="J739" s="34"/>
      <c r="K739" s="54"/>
      <c r="L739" s="34"/>
      <c r="M739" s="44"/>
      <c r="N739" s="44"/>
      <c r="O739" s="34"/>
      <c r="P739" s="34"/>
      <c r="Q739" s="34"/>
      <c r="R739" s="34"/>
      <c r="U739" s="44"/>
      <c r="W739" s="95"/>
      <c r="X739" s="54"/>
      <c r="Y739" s="54"/>
      <c r="Z739" s="34"/>
      <c r="AA739" s="34"/>
      <c r="AB739" s="34"/>
      <c r="AC739" s="34"/>
      <c r="AD739" s="34"/>
      <c r="AE739" s="34"/>
      <c r="AF739" s="34"/>
      <c r="AG739" s="34"/>
      <c r="AH739" s="52"/>
      <c r="AI739" s="52"/>
      <c r="AK739" s="34"/>
      <c r="AL739" s="34"/>
      <c r="AM739" s="34"/>
      <c r="AN739" s="54"/>
      <c r="AO739" s="34"/>
      <c r="AP739" s="34"/>
      <c r="AQ739" s="54"/>
      <c r="AR739" s="54"/>
      <c r="AS739" s="54"/>
      <c r="AT739" s="54"/>
      <c r="AU739" s="34"/>
      <c r="AV739" s="34"/>
      <c r="AW739" s="34"/>
      <c r="AX739" s="34"/>
      <c r="AY739" s="34"/>
      <c r="AZ739" s="44"/>
      <c r="BA739" s="34"/>
      <c r="BB739" s="34"/>
    </row>
    <row r="740" spans="1:54" x14ac:dyDescent="0.35" ht="15.0" customHeight="true">
      <c r="A740" s="51"/>
      <c r="B740" s="34"/>
      <c r="C740" s="34"/>
      <c r="D740" s="34"/>
      <c r="E740" s="34"/>
      <c r="F740" s="34"/>
      <c r="G740" s="44"/>
      <c r="H740" s="34"/>
      <c r="I740" s="54"/>
      <c r="J740" s="34"/>
      <c r="K740" s="54"/>
      <c r="L740" s="34"/>
      <c r="M740" s="44"/>
      <c r="N740" s="44"/>
      <c r="O740" s="34"/>
      <c r="P740" s="34"/>
      <c r="Q740" s="34"/>
      <c r="R740" s="34"/>
      <c r="U740" s="44"/>
      <c r="W740" s="95"/>
      <c r="X740" s="54"/>
      <c r="Y740" s="54"/>
      <c r="Z740" s="34"/>
      <c r="AA740" s="34"/>
      <c r="AB740" s="34"/>
      <c r="AC740" s="34"/>
      <c r="AD740" s="34"/>
      <c r="AE740" s="34"/>
      <c r="AF740" s="34"/>
      <c r="AG740" s="34"/>
      <c r="AH740" s="52"/>
      <c r="AI740" s="52"/>
      <c r="AK740" s="34"/>
      <c r="AL740" s="34"/>
      <c r="AM740" s="34"/>
      <c r="AN740" s="54"/>
      <c r="AO740" s="34"/>
      <c r="AP740" s="34"/>
      <c r="AQ740" s="54"/>
      <c r="AR740" s="54"/>
      <c r="AS740" s="54"/>
      <c r="AT740" s="54"/>
      <c r="AU740" s="34"/>
      <c r="AV740" s="34"/>
      <c r="AW740" s="34"/>
      <c r="AX740" s="34"/>
      <c r="AY740" s="34"/>
      <c r="AZ740" s="44"/>
      <c r="BA740" s="34"/>
      <c r="BB740" s="34"/>
    </row>
    <row r="741" spans="1:54" x14ac:dyDescent="0.35" ht="15.0" customHeight="true">
      <c r="A741" s="51"/>
      <c r="B741" s="34"/>
      <c r="C741" s="34"/>
      <c r="D741" s="34"/>
      <c r="E741" s="34"/>
      <c r="F741" s="34"/>
      <c r="G741" s="44"/>
      <c r="H741" s="34"/>
      <c r="I741" s="54"/>
      <c r="J741" s="34"/>
      <c r="K741" s="54"/>
      <c r="L741" s="34"/>
      <c r="M741" s="44"/>
      <c r="N741" s="44"/>
      <c r="O741" s="34"/>
      <c r="P741" s="34"/>
      <c r="Q741" s="34"/>
      <c r="R741" s="34"/>
      <c r="U741" s="44"/>
      <c r="W741" s="95"/>
      <c r="X741" s="54"/>
      <c r="Y741" s="54"/>
      <c r="Z741" s="34"/>
      <c r="AA741" s="34"/>
      <c r="AB741" s="34"/>
      <c r="AC741" s="34"/>
      <c r="AD741" s="34"/>
      <c r="AE741" s="34"/>
      <c r="AF741" s="34"/>
      <c r="AG741" s="34"/>
      <c r="AH741" s="52"/>
      <c r="AI741" s="52"/>
      <c r="AK741" s="34"/>
      <c r="AL741" s="34"/>
      <c r="AM741" s="34"/>
      <c r="AN741" s="54"/>
      <c r="AO741" s="34"/>
      <c r="AP741" s="34"/>
      <c r="AQ741" s="54"/>
      <c r="AR741" s="54"/>
      <c r="AS741" s="54"/>
      <c r="AT741" s="54"/>
      <c r="AU741" s="34"/>
      <c r="AV741" s="34"/>
      <c r="AW741" s="34"/>
      <c r="AX741" s="34"/>
      <c r="AY741" s="34"/>
      <c r="AZ741" s="44"/>
      <c r="BA741" s="34"/>
      <c r="BB741" s="34"/>
    </row>
    <row r="742" spans="1:54" x14ac:dyDescent="0.35" ht="15.0" customHeight="true">
      <c r="A742" s="51"/>
      <c r="B742" s="34"/>
      <c r="C742" s="34"/>
      <c r="D742" s="34"/>
      <c r="E742" s="34"/>
      <c r="F742" s="34"/>
      <c r="G742" s="44"/>
      <c r="H742" s="34"/>
      <c r="I742" s="54"/>
      <c r="J742" s="34"/>
      <c r="K742" s="54"/>
      <c r="L742" s="34"/>
      <c r="M742" s="44"/>
      <c r="N742" s="44"/>
      <c r="O742" s="34"/>
      <c r="P742" s="34"/>
      <c r="Q742" s="34"/>
      <c r="R742" s="34"/>
      <c r="U742" s="44"/>
      <c r="W742" s="95"/>
      <c r="X742" s="54"/>
      <c r="Y742" s="54"/>
      <c r="Z742" s="34"/>
      <c r="AA742" s="34"/>
      <c r="AB742" s="34"/>
      <c r="AC742" s="34"/>
      <c r="AD742" s="34"/>
      <c r="AE742" s="34"/>
      <c r="AF742" s="34"/>
      <c r="AG742" s="34"/>
      <c r="AH742" s="52"/>
      <c r="AI742" s="52"/>
      <c r="AK742" s="34"/>
      <c r="AL742" s="34"/>
      <c r="AM742" s="34"/>
      <c r="AN742" s="54"/>
      <c r="AO742" s="34"/>
      <c r="AP742" s="34"/>
      <c r="AQ742" s="54"/>
      <c r="AR742" s="54"/>
      <c r="AS742" s="54"/>
      <c r="AT742" s="54"/>
      <c r="AU742" s="34"/>
      <c r="AV742" s="34"/>
      <c r="AW742" s="34"/>
      <c r="AX742" s="34"/>
      <c r="AY742" s="34"/>
      <c r="AZ742" s="44"/>
      <c r="BA742" s="34"/>
      <c r="BB742" s="34"/>
    </row>
    <row r="743" spans="1:54" x14ac:dyDescent="0.35" ht="15.0" customHeight="true">
      <c r="A743" s="51"/>
      <c r="B743" s="34"/>
      <c r="C743" s="34"/>
      <c r="D743" s="34"/>
      <c r="E743" s="34"/>
      <c r="F743" s="34"/>
      <c r="G743" s="44"/>
      <c r="H743" s="34"/>
      <c r="I743" s="54"/>
      <c r="J743" s="34"/>
      <c r="K743" s="54"/>
      <c r="L743" s="34"/>
      <c r="M743" s="44"/>
      <c r="N743" s="44"/>
      <c r="O743" s="34"/>
      <c r="P743" s="34"/>
      <c r="Q743" s="34"/>
      <c r="R743" s="34"/>
      <c r="U743" s="44"/>
      <c r="W743" s="95"/>
      <c r="X743" s="54"/>
      <c r="Y743" s="54"/>
      <c r="Z743" s="34"/>
      <c r="AA743" s="34"/>
      <c r="AB743" s="34"/>
      <c r="AC743" s="34"/>
      <c r="AD743" s="34"/>
      <c r="AE743" s="34"/>
      <c r="AF743" s="34"/>
      <c r="AG743" s="34"/>
      <c r="AH743" s="52"/>
      <c r="AI743" s="52"/>
      <c r="AK743" s="34"/>
      <c r="AL743" s="34"/>
      <c r="AM743" s="34"/>
      <c r="AN743" s="54"/>
      <c r="AO743" s="34"/>
      <c r="AP743" s="34"/>
      <c r="AQ743" s="54"/>
      <c r="AR743" s="54"/>
      <c r="AS743" s="54"/>
      <c r="AT743" s="54"/>
      <c r="AU743" s="34"/>
      <c r="AV743" s="34"/>
      <c r="AW743" s="34"/>
      <c r="AX743" s="34"/>
      <c r="AY743" s="34"/>
      <c r="AZ743" s="44"/>
      <c r="BA743" s="34"/>
      <c r="BB743" s="34"/>
    </row>
    <row r="744" spans="1:54" x14ac:dyDescent="0.35" ht="15.0" customHeight="true">
      <c r="A744" s="51"/>
      <c r="B744" s="34"/>
      <c r="C744" s="34"/>
      <c r="D744" s="34"/>
      <c r="E744" s="34"/>
      <c r="F744" s="34"/>
      <c r="G744" s="44"/>
      <c r="H744" s="34"/>
      <c r="I744" s="54"/>
      <c r="J744" s="34"/>
      <c r="K744" s="54"/>
      <c r="L744" s="34"/>
      <c r="M744" s="44"/>
      <c r="N744" s="44"/>
      <c r="O744" s="34"/>
      <c r="P744" s="34"/>
      <c r="Q744" s="34"/>
      <c r="R744" s="34"/>
      <c r="U744" s="44"/>
      <c r="W744" s="95"/>
      <c r="X744" s="54"/>
      <c r="Y744" s="54"/>
      <c r="Z744" s="34"/>
      <c r="AA744" s="34"/>
      <c r="AB744" s="34"/>
      <c r="AC744" s="34"/>
      <c r="AD744" s="34"/>
      <c r="AE744" s="34"/>
      <c r="AF744" s="34"/>
      <c r="AG744" s="34"/>
      <c r="AH744" s="52"/>
      <c r="AI744" s="52"/>
      <c r="AK744" s="34"/>
      <c r="AL744" s="34"/>
      <c r="AM744" s="34"/>
      <c r="AN744" s="54"/>
      <c r="AO744" s="34"/>
      <c r="AP744" s="34"/>
      <c r="AQ744" s="54"/>
      <c r="AR744" s="54"/>
      <c r="AS744" s="54"/>
      <c r="AT744" s="54"/>
      <c r="AU744" s="34"/>
      <c r="AV744" s="34"/>
      <c r="AW744" s="34"/>
      <c r="AX744" s="34"/>
      <c r="AY744" s="34"/>
      <c r="AZ744" s="44"/>
      <c r="BA744" s="34"/>
      <c r="BB744" s="34"/>
    </row>
    <row r="745" spans="1:54" x14ac:dyDescent="0.35" ht="15.0" customHeight="true">
      <c r="A745" s="51"/>
      <c r="B745" s="34"/>
      <c r="C745" s="34"/>
      <c r="D745" s="34"/>
      <c r="E745" s="34"/>
      <c r="F745" s="34"/>
      <c r="G745" s="44"/>
      <c r="H745" s="34"/>
      <c r="I745" s="54"/>
      <c r="J745" s="34"/>
      <c r="K745" s="54"/>
      <c r="L745" s="34"/>
      <c r="M745" s="44"/>
      <c r="N745" s="44"/>
      <c r="O745" s="34"/>
      <c r="P745" s="34"/>
      <c r="Q745" s="34"/>
      <c r="R745" s="34"/>
      <c r="U745" s="44"/>
      <c r="W745" s="95"/>
      <c r="X745" s="54"/>
      <c r="Y745" s="54"/>
      <c r="Z745" s="34"/>
      <c r="AA745" s="34"/>
      <c r="AB745" s="34"/>
      <c r="AC745" s="34"/>
      <c r="AD745" s="34"/>
      <c r="AE745" s="34"/>
      <c r="AF745" s="34"/>
      <c r="AG745" s="34"/>
      <c r="AH745" s="52"/>
      <c r="AI745" s="52"/>
      <c r="AK745" s="34"/>
      <c r="AL745" s="34"/>
      <c r="AM745" s="34"/>
      <c r="AN745" s="54"/>
      <c r="AO745" s="34"/>
      <c r="AP745" s="34"/>
      <c r="AQ745" s="54"/>
      <c r="AR745" s="54"/>
      <c r="AS745" s="54"/>
      <c r="AT745" s="54"/>
      <c r="AU745" s="34"/>
      <c r="AV745" s="34"/>
      <c r="AW745" s="34"/>
      <c r="AX745" s="34"/>
      <c r="AY745" s="34"/>
      <c r="AZ745" s="44"/>
      <c r="BA745" s="34"/>
      <c r="BB745" s="34"/>
    </row>
    <row r="746" spans="1:54" x14ac:dyDescent="0.35" ht="15.0" customHeight="true">
      <c r="A746" s="51"/>
      <c r="B746" s="34"/>
      <c r="C746" s="34"/>
      <c r="D746" s="34"/>
      <c r="E746" s="34"/>
      <c r="F746" s="34"/>
      <c r="G746" s="44"/>
      <c r="H746" s="34"/>
      <c r="I746" s="54"/>
      <c r="J746" s="34"/>
      <c r="K746" s="54"/>
      <c r="L746" s="34"/>
      <c r="M746" s="44"/>
      <c r="N746" s="44"/>
      <c r="O746" s="34"/>
      <c r="P746" s="34"/>
      <c r="Q746" s="34"/>
      <c r="R746" s="34"/>
      <c r="U746" s="44"/>
      <c r="W746" s="95"/>
      <c r="X746" s="54"/>
      <c r="Y746" s="54"/>
      <c r="Z746" s="34"/>
      <c r="AA746" s="34"/>
      <c r="AB746" s="34"/>
      <c r="AC746" s="34"/>
      <c r="AD746" s="34"/>
      <c r="AE746" s="34"/>
      <c r="AF746" s="34"/>
      <c r="AG746" s="34"/>
      <c r="AH746" s="52"/>
      <c r="AI746" s="52"/>
      <c r="AK746" s="34"/>
      <c r="AL746" s="34"/>
      <c r="AM746" s="34"/>
      <c r="AN746" s="54"/>
      <c r="AO746" s="34"/>
      <c r="AP746" s="34"/>
      <c r="AQ746" s="54"/>
      <c r="AR746" s="54"/>
      <c r="AS746" s="54"/>
      <c r="AT746" s="54"/>
      <c r="AU746" s="34"/>
      <c r="AV746" s="34"/>
      <c r="AW746" s="34"/>
      <c r="AX746" s="34"/>
      <c r="AY746" s="34"/>
      <c r="AZ746" s="44"/>
      <c r="BA746" s="34"/>
      <c r="BB746" s="34"/>
    </row>
    <row r="747" spans="1:54" x14ac:dyDescent="0.35" ht="15.0" customHeight="true">
      <c r="A747" s="51"/>
      <c r="B747" s="34"/>
      <c r="C747" s="34"/>
      <c r="D747" s="34"/>
      <c r="E747" s="34"/>
      <c r="F747" s="34"/>
      <c r="G747" s="44"/>
      <c r="H747" s="34"/>
      <c r="I747" s="54"/>
      <c r="J747" s="34"/>
      <c r="K747" s="54"/>
      <c r="L747" s="34"/>
      <c r="M747" s="44"/>
      <c r="N747" s="44"/>
      <c r="O747" s="34"/>
      <c r="P747" s="34"/>
      <c r="Q747" s="34"/>
      <c r="R747" s="34"/>
      <c r="U747" s="44"/>
      <c r="W747" s="95"/>
      <c r="X747" s="54"/>
      <c r="Y747" s="54"/>
      <c r="Z747" s="34"/>
      <c r="AA747" s="34"/>
      <c r="AB747" s="34"/>
      <c r="AC747" s="34"/>
      <c r="AD747" s="34"/>
      <c r="AE747" s="34"/>
      <c r="AF747" s="34"/>
      <c r="AG747" s="34"/>
      <c r="AH747" s="52"/>
      <c r="AI747" s="52"/>
      <c r="AK747" s="34"/>
      <c r="AL747" s="34"/>
      <c r="AM747" s="34"/>
      <c r="AN747" s="54"/>
      <c r="AO747" s="34"/>
      <c r="AP747" s="34"/>
      <c r="AQ747" s="54"/>
      <c r="AR747" s="54"/>
      <c r="AS747" s="54"/>
      <c r="AT747" s="54"/>
      <c r="AU747" s="34"/>
      <c r="AV747" s="34"/>
      <c r="AW747" s="34"/>
      <c r="AX747" s="34"/>
      <c r="AY747" s="34"/>
      <c r="AZ747" s="44"/>
      <c r="BA747" s="34"/>
      <c r="BB747" s="34"/>
    </row>
    <row r="748" spans="1:54" x14ac:dyDescent="0.35" ht="15.0" customHeight="true">
      <c r="A748" s="51"/>
      <c r="B748" s="34"/>
      <c r="C748" s="34"/>
      <c r="D748" s="34"/>
      <c r="E748" s="34"/>
      <c r="F748" s="34"/>
      <c r="G748" s="44"/>
      <c r="H748" s="34"/>
      <c r="I748" s="54"/>
      <c r="J748" s="34"/>
      <c r="K748" s="54"/>
      <c r="L748" s="34"/>
      <c r="M748" s="44"/>
      <c r="N748" s="44"/>
      <c r="O748" s="34"/>
      <c r="P748" s="34"/>
      <c r="Q748" s="34"/>
      <c r="R748" s="34"/>
      <c r="U748" s="44"/>
      <c r="W748" s="95"/>
      <c r="X748" s="54"/>
      <c r="Y748" s="54"/>
      <c r="Z748" s="34"/>
      <c r="AA748" s="34"/>
      <c r="AB748" s="34"/>
      <c r="AC748" s="34"/>
      <c r="AD748" s="34"/>
      <c r="AE748" s="34"/>
      <c r="AF748" s="34"/>
      <c r="AG748" s="34"/>
      <c r="AH748" s="52"/>
      <c r="AI748" s="52"/>
      <c r="AK748" s="34"/>
      <c r="AL748" s="34"/>
      <c r="AM748" s="34"/>
      <c r="AN748" s="54"/>
      <c r="AO748" s="34"/>
      <c r="AP748" s="34"/>
      <c r="AQ748" s="54"/>
      <c r="AR748" s="54"/>
      <c r="AS748" s="54"/>
      <c r="AT748" s="54"/>
      <c r="AU748" s="34"/>
      <c r="AV748" s="34"/>
      <c r="AW748" s="34"/>
      <c r="AX748" s="34"/>
      <c r="AY748" s="34"/>
      <c r="AZ748" s="44"/>
      <c r="BA748" s="34"/>
      <c r="BB748" s="34"/>
    </row>
    <row r="749" spans="1:54" x14ac:dyDescent="0.35" ht="15.0" customHeight="true">
      <c r="A749" s="51"/>
      <c r="B749" s="34"/>
      <c r="C749" s="34"/>
      <c r="D749" s="34"/>
      <c r="E749" s="34"/>
      <c r="F749" s="34"/>
      <c r="G749" s="44"/>
      <c r="H749" s="34"/>
      <c r="I749" s="54"/>
      <c r="J749" s="34"/>
      <c r="K749" s="54"/>
      <c r="L749" s="34"/>
      <c r="M749" s="44"/>
      <c r="N749" s="44"/>
      <c r="O749" s="34"/>
      <c r="P749" s="34"/>
      <c r="Q749" s="34"/>
      <c r="R749" s="34"/>
      <c r="U749" s="44"/>
      <c r="W749" s="95"/>
      <c r="X749" s="54"/>
      <c r="Y749" s="54"/>
      <c r="Z749" s="34"/>
      <c r="AA749" s="34"/>
      <c r="AB749" s="34"/>
      <c r="AC749" s="34"/>
      <c r="AD749" s="34"/>
      <c r="AE749" s="34"/>
      <c r="AF749" s="34"/>
      <c r="AG749" s="34"/>
      <c r="AH749" s="52"/>
      <c r="AI749" s="52"/>
      <c r="AK749" s="34"/>
      <c r="AL749" s="34"/>
      <c r="AM749" s="34"/>
      <c r="AN749" s="54"/>
      <c r="AO749" s="34"/>
      <c r="AP749" s="34"/>
      <c r="AQ749" s="54"/>
      <c r="AR749" s="54"/>
      <c r="AS749" s="54"/>
      <c r="AT749" s="54"/>
      <c r="AU749" s="34"/>
      <c r="AV749" s="34"/>
      <c r="AW749" s="34"/>
      <c r="AX749" s="34"/>
      <c r="AY749" s="34"/>
      <c r="AZ749" s="44"/>
      <c r="BA749" s="34"/>
      <c r="BB749" s="34"/>
    </row>
    <row r="750" spans="1:54" x14ac:dyDescent="0.35" ht="15.0" customHeight="true">
      <c r="A750" s="51"/>
      <c r="B750" s="34"/>
      <c r="C750" s="34"/>
      <c r="D750" s="34"/>
      <c r="E750" s="34"/>
      <c r="F750" s="34"/>
      <c r="G750" s="44"/>
      <c r="H750" s="34"/>
      <c r="I750" s="54"/>
      <c r="J750" s="34"/>
      <c r="K750" s="54"/>
      <c r="L750" s="34"/>
      <c r="M750" s="44"/>
      <c r="N750" s="44"/>
      <c r="O750" s="34"/>
      <c r="P750" s="34"/>
      <c r="Q750" s="34"/>
      <c r="R750" s="34"/>
      <c r="U750" s="44"/>
      <c r="W750" s="95"/>
      <c r="X750" s="54"/>
      <c r="Y750" s="54"/>
      <c r="Z750" s="34"/>
      <c r="AA750" s="34"/>
      <c r="AB750" s="34"/>
      <c r="AC750" s="34"/>
      <c r="AD750" s="34"/>
      <c r="AE750" s="34"/>
      <c r="AF750" s="34"/>
      <c r="AG750" s="34"/>
      <c r="AH750" s="52"/>
      <c r="AI750" s="52"/>
      <c r="AK750" s="34"/>
      <c r="AL750" s="34"/>
      <c r="AM750" s="34"/>
      <c r="AN750" s="54"/>
      <c r="AO750" s="34"/>
      <c r="AP750" s="34"/>
      <c r="AQ750" s="54"/>
      <c r="AR750" s="54"/>
      <c r="AS750" s="54"/>
      <c r="AT750" s="54"/>
      <c r="AU750" s="34"/>
      <c r="AV750" s="34"/>
      <c r="AW750" s="34"/>
      <c r="AX750" s="34"/>
      <c r="AY750" s="34"/>
      <c r="AZ750" s="44"/>
      <c r="BA750" s="34"/>
      <c r="BB750" s="34"/>
    </row>
    <row r="751" spans="1:54" x14ac:dyDescent="0.35" ht="15.0" customHeight="true">
      <c r="A751" s="51"/>
      <c r="B751" s="34"/>
      <c r="C751" s="34"/>
      <c r="D751" s="34"/>
      <c r="E751" s="34"/>
      <c r="F751" s="34"/>
      <c r="G751" s="44"/>
      <c r="H751" s="34"/>
      <c r="I751" s="54"/>
      <c r="J751" s="34"/>
      <c r="K751" s="54"/>
      <c r="L751" s="34"/>
      <c r="M751" s="44"/>
      <c r="N751" s="44"/>
      <c r="O751" s="34"/>
      <c r="P751" s="34"/>
      <c r="Q751" s="34"/>
      <c r="R751" s="34"/>
      <c r="U751" s="44"/>
      <c r="W751" s="95"/>
      <c r="X751" s="54"/>
      <c r="Y751" s="54"/>
      <c r="Z751" s="34"/>
      <c r="AA751" s="34"/>
      <c r="AB751" s="34"/>
      <c r="AC751" s="34"/>
      <c r="AD751" s="34"/>
      <c r="AE751" s="34"/>
      <c r="AF751" s="34"/>
      <c r="AG751" s="34"/>
      <c r="AH751" s="52"/>
      <c r="AI751" s="52"/>
      <c r="AK751" s="34"/>
      <c r="AL751" s="34"/>
      <c r="AM751" s="34"/>
      <c r="AN751" s="54"/>
      <c r="AO751" s="34"/>
      <c r="AP751" s="34"/>
      <c r="AQ751" s="54"/>
      <c r="AR751" s="54"/>
      <c r="AS751" s="54"/>
      <c r="AT751" s="54"/>
      <c r="AU751" s="34"/>
      <c r="AV751" s="34"/>
      <c r="AW751" s="34"/>
      <c r="AX751" s="34"/>
      <c r="AY751" s="34"/>
      <c r="AZ751" s="44"/>
      <c r="BA751" s="34"/>
      <c r="BB751" s="34"/>
    </row>
    <row r="752" spans="1:54" x14ac:dyDescent="0.35" ht="15.0" customHeight="true">
      <c r="A752" s="51"/>
      <c r="B752" s="34"/>
      <c r="C752" s="34"/>
      <c r="D752" s="34"/>
      <c r="E752" s="34"/>
      <c r="F752" s="34"/>
      <c r="G752" s="44"/>
      <c r="H752" s="34"/>
      <c r="I752" s="54"/>
      <c r="J752" s="34"/>
      <c r="K752" s="54"/>
      <c r="L752" s="34"/>
      <c r="M752" s="44"/>
      <c r="N752" s="44"/>
      <c r="O752" s="34"/>
      <c r="P752" s="34"/>
      <c r="Q752" s="34"/>
      <c r="R752" s="34"/>
      <c r="U752" s="44"/>
      <c r="W752" s="95"/>
      <c r="X752" s="54"/>
      <c r="Y752" s="54"/>
      <c r="Z752" s="34"/>
      <c r="AA752" s="34"/>
      <c r="AB752" s="34"/>
      <c r="AC752" s="34"/>
      <c r="AD752" s="34"/>
      <c r="AE752" s="34"/>
      <c r="AF752" s="34"/>
      <c r="AG752" s="34"/>
      <c r="AH752" s="52"/>
      <c r="AI752" s="52"/>
      <c r="AK752" s="34"/>
      <c r="AL752" s="34"/>
      <c r="AM752" s="34"/>
      <c r="AN752" s="54"/>
      <c r="AO752" s="34"/>
      <c r="AP752" s="34"/>
      <c r="AQ752" s="54"/>
      <c r="AR752" s="54"/>
      <c r="AS752" s="54"/>
      <c r="AT752" s="54"/>
      <c r="AU752" s="34"/>
      <c r="AV752" s="34"/>
      <c r="AW752" s="34"/>
      <c r="AX752" s="34"/>
      <c r="AY752" s="34"/>
      <c r="AZ752" s="44"/>
      <c r="BA752" s="34"/>
      <c r="BB752" s="34"/>
    </row>
    <row r="753" spans="1:54" x14ac:dyDescent="0.35" ht="15.0" customHeight="true">
      <c r="A753" s="51"/>
      <c r="B753" s="34"/>
      <c r="C753" s="34"/>
      <c r="D753" s="34"/>
      <c r="E753" s="34"/>
      <c r="F753" s="34"/>
      <c r="G753" s="44"/>
      <c r="H753" s="34"/>
      <c r="I753" s="54"/>
      <c r="J753" s="34"/>
      <c r="K753" s="54"/>
      <c r="L753" s="34"/>
      <c r="M753" s="44"/>
      <c r="N753" s="44"/>
      <c r="O753" s="34"/>
      <c r="P753" s="34"/>
      <c r="Q753" s="34"/>
      <c r="R753" s="34"/>
      <c r="U753" s="44"/>
      <c r="W753" s="95"/>
      <c r="X753" s="54"/>
      <c r="Y753" s="54"/>
      <c r="Z753" s="34"/>
      <c r="AA753" s="34"/>
      <c r="AB753" s="34"/>
      <c r="AC753" s="34"/>
      <c r="AD753" s="34"/>
      <c r="AE753" s="34"/>
      <c r="AF753" s="34"/>
      <c r="AG753" s="34"/>
      <c r="AH753" s="52"/>
      <c r="AI753" s="52"/>
      <c r="AK753" s="34"/>
      <c r="AL753" s="34"/>
      <c r="AM753" s="34"/>
      <c r="AN753" s="54"/>
      <c r="AO753" s="34"/>
      <c r="AP753" s="34"/>
      <c r="AQ753" s="54"/>
      <c r="AR753" s="54"/>
      <c r="AS753" s="54"/>
      <c r="AT753" s="54"/>
      <c r="AU753" s="34"/>
      <c r="AV753" s="34"/>
      <c r="AW753" s="34"/>
      <c r="AX753" s="34"/>
      <c r="AY753" s="34"/>
      <c r="AZ753" s="44"/>
      <c r="BA753" s="34"/>
      <c r="BB753" s="34"/>
    </row>
    <row r="754" spans="1:54" x14ac:dyDescent="0.35" ht="15.0" customHeight="true">
      <c r="A754" s="51"/>
      <c r="B754" s="34"/>
      <c r="C754" s="34"/>
      <c r="D754" s="34"/>
      <c r="E754" s="34"/>
      <c r="F754" s="34"/>
      <c r="G754" s="44"/>
      <c r="H754" s="34"/>
      <c r="I754" s="54"/>
      <c r="J754" s="34"/>
      <c r="K754" s="54"/>
      <c r="L754" s="34"/>
      <c r="M754" s="44"/>
      <c r="N754" s="44"/>
      <c r="O754" s="34"/>
      <c r="P754" s="34"/>
      <c r="Q754" s="34"/>
      <c r="R754" s="34"/>
      <c r="U754" s="44"/>
      <c r="W754" s="95"/>
      <c r="X754" s="54"/>
      <c r="Y754" s="54"/>
      <c r="Z754" s="34"/>
      <c r="AA754" s="34"/>
      <c r="AB754" s="34"/>
      <c r="AC754" s="34"/>
      <c r="AD754" s="34"/>
      <c r="AE754" s="34"/>
      <c r="AF754" s="34"/>
      <c r="AG754" s="34"/>
      <c r="AH754" s="52"/>
      <c r="AI754" s="52"/>
      <c r="AK754" s="34"/>
      <c r="AL754" s="34"/>
      <c r="AM754" s="34"/>
      <c r="AN754" s="54"/>
      <c r="AO754" s="34"/>
      <c r="AP754" s="34"/>
      <c r="AQ754" s="54"/>
      <c r="AR754" s="54"/>
      <c r="AS754" s="54"/>
      <c r="AT754" s="54"/>
      <c r="AU754" s="34"/>
      <c r="AV754" s="34"/>
      <c r="AW754" s="34"/>
      <c r="AX754" s="34"/>
      <c r="AY754" s="34"/>
      <c r="AZ754" s="44"/>
      <c r="BA754" s="34"/>
      <c r="BB754" s="34"/>
    </row>
    <row r="755" spans="1:54" x14ac:dyDescent="0.35" ht="15.0" customHeight="true">
      <c r="A755" s="51"/>
      <c r="B755" s="34"/>
      <c r="C755" s="34"/>
      <c r="D755" s="34"/>
      <c r="E755" s="34"/>
      <c r="F755" s="34"/>
      <c r="G755" s="44"/>
      <c r="H755" s="34"/>
      <c r="I755" s="54"/>
      <c r="J755" s="34"/>
      <c r="K755" s="54"/>
      <c r="L755" s="34"/>
      <c r="M755" s="44"/>
      <c r="N755" s="44"/>
      <c r="O755" s="34"/>
      <c r="P755" s="34"/>
      <c r="Q755" s="34"/>
      <c r="R755" s="34"/>
      <c r="U755" s="44"/>
      <c r="W755" s="95"/>
      <c r="X755" s="54"/>
      <c r="Y755" s="54"/>
      <c r="Z755" s="34"/>
      <c r="AA755" s="34"/>
      <c r="AB755" s="34"/>
      <c r="AC755" s="34"/>
      <c r="AD755" s="34"/>
      <c r="AE755" s="34"/>
      <c r="AF755" s="34"/>
      <c r="AG755" s="34"/>
      <c r="AH755" s="52"/>
      <c r="AI755" s="52"/>
      <c r="AK755" s="34"/>
      <c r="AL755" s="34"/>
      <c r="AM755" s="34"/>
      <c r="AN755" s="54"/>
      <c r="AO755" s="34"/>
      <c r="AP755" s="34"/>
      <c r="AQ755" s="54"/>
      <c r="AR755" s="54"/>
      <c r="AS755" s="54"/>
      <c r="AT755" s="54"/>
      <c r="AU755" s="34"/>
      <c r="AV755" s="34"/>
      <c r="AW755" s="34"/>
      <c r="AX755" s="34"/>
      <c r="AY755" s="34"/>
      <c r="AZ755" s="44"/>
      <c r="BA755" s="34"/>
      <c r="BB755" s="34"/>
    </row>
    <row r="756" spans="1:54" x14ac:dyDescent="0.35" ht="15.0" customHeight="true">
      <c r="A756" s="51"/>
      <c r="B756" s="34"/>
      <c r="C756" s="34"/>
      <c r="D756" s="34"/>
      <c r="E756" s="34"/>
      <c r="F756" s="34"/>
      <c r="G756" s="44"/>
      <c r="H756" s="34"/>
      <c r="I756" s="54"/>
      <c r="J756" s="34"/>
      <c r="K756" s="54"/>
      <c r="L756" s="34"/>
      <c r="M756" s="44"/>
      <c r="N756" s="44"/>
      <c r="O756" s="34"/>
      <c r="P756" s="34"/>
      <c r="Q756" s="34"/>
      <c r="R756" s="34"/>
      <c r="U756" s="44"/>
      <c r="W756" s="95"/>
      <c r="X756" s="54"/>
      <c r="Y756" s="54"/>
      <c r="Z756" s="34"/>
      <c r="AA756" s="34"/>
      <c r="AB756" s="34"/>
      <c r="AC756" s="34"/>
      <c r="AD756" s="34"/>
      <c r="AE756" s="34"/>
      <c r="AF756" s="34"/>
      <c r="AG756" s="34"/>
      <c r="AH756" s="52"/>
      <c r="AI756" s="52"/>
      <c r="AK756" s="34"/>
      <c r="AL756" s="34"/>
      <c r="AM756" s="34"/>
      <c r="AN756" s="54"/>
      <c r="AO756" s="34"/>
      <c r="AP756" s="34"/>
      <c r="AQ756" s="54"/>
      <c r="AR756" s="54"/>
      <c r="AS756" s="54"/>
      <c r="AT756" s="54"/>
      <c r="AU756" s="34"/>
      <c r="AV756" s="34"/>
      <c r="AW756" s="34"/>
      <c r="AX756" s="34"/>
      <c r="AY756" s="34"/>
      <c r="AZ756" s="44"/>
      <c r="BA756" s="34"/>
      <c r="BB756" s="34"/>
    </row>
    <row r="757" spans="1:54" x14ac:dyDescent="0.35" ht="15.0" customHeight="true">
      <c r="A757" s="51"/>
      <c r="B757" s="34"/>
      <c r="C757" s="34"/>
      <c r="D757" s="34"/>
      <c r="E757" s="34"/>
      <c r="F757" s="34"/>
      <c r="G757" s="44"/>
      <c r="H757" s="34"/>
      <c r="I757" s="54"/>
      <c r="J757" s="34"/>
      <c r="K757" s="54"/>
      <c r="L757" s="34"/>
      <c r="M757" s="44"/>
      <c r="N757" s="44"/>
      <c r="O757" s="34"/>
      <c r="P757" s="34"/>
      <c r="Q757" s="34"/>
      <c r="R757" s="34"/>
      <c r="U757" s="44"/>
      <c r="W757" s="95"/>
      <c r="X757" s="54"/>
      <c r="Y757" s="54"/>
      <c r="Z757" s="34"/>
      <c r="AA757" s="34"/>
      <c r="AB757" s="34"/>
      <c r="AC757" s="34"/>
      <c r="AD757" s="34"/>
      <c r="AE757" s="34"/>
      <c r="AF757" s="34"/>
      <c r="AG757" s="34"/>
      <c r="AH757" s="52"/>
      <c r="AI757" s="52"/>
      <c r="AK757" s="34"/>
      <c r="AL757" s="34"/>
      <c r="AM757" s="34"/>
      <c r="AN757" s="54"/>
      <c r="AO757" s="34"/>
      <c r="AP757" s="34"/>
      <c r="AQ757" s="54"/>
      <c r="AR757" s="54"/>
      <c r="AS757" s="54"/>
      <c r="AT757" s="54"/>
      <c r="AU757" s="34"/>
      <c r="AV757" s="34"/>
      <c r="AW757" s="34"/>
      <c r="AX757" s="34"/>
      <c r="AY757" s="34"/>
      <c r="AZ757" s="44"/>
      <c r="BA757" s="34"/>
      <c r="BB757" s="34"/>
    </row>
    <row r="758" spans="1:54" x14ac:dyDescent="0.35" ht="15.0" customHeight="true">
      <c r="A758" s="51"/>
      <c r="B758" s="34"/>
      <c r="C758" s="34"/>
      <c r="D758" s="34"/>
      <c r="E758" s="34"/>
      <c r="F758" s="34"/>
      <c r="G758" s="44"/>
      <c r="H758" s="34"/>
      <c r="I758" s="54"/>
      <c r="J758" s="34"/>
      <c r="K758" s="54"/>
      <c r="L758" s="34"/>
      <c r="M758" s="44"/>
      <c r="N758" s="44"/>
      <c r="O758" s="34"/>
      <c r="P758" s="34"/>
      <c r="Q758" s="34"/>
      <c r="R758" s="34"/>
      <c r="U758" s="44"/>
      <c r="W758" s="95"/>
      <c r="X758" s="54"/>
      <c r="Y758" s="54"/>
      <c r="Z758" s="34"/>
      <c r="AA758" s="34"/>
      <c r="AB758" s="34"/>
      <c r="AC758" s="34"/>
      <c r="AD758" s="34"/>
      <c r="AE758" s="34"/>
      <c r="AF758" s="34"/>
      <c r="AG758" s="34"/>
      <c r="AH758" s="52"/>
      <c r="AI758" s="52"/>
      <c r="AK758" s="34"/>
      <c r="AL758" s="34"/>
      <c r="AM758" s="34"/>
      <c r="AN758" s="54"/>
      <c r="AO758" s="34"/>
      <c r="AP758" s="34"/>
      <c r="AQ758" s="54"/>
      <c r="AR758" s="54"/>
      <c r="AS758" s="54"/>
      <c r="AT758" s="54"/>
      <c r="AU758" s="34"/>
      <c r="AV758" s="34"/>
      <c r="AW758" s="34"/>
      <c r="AX758" s="34"/>
      <c r="AY758" s="34"/>
      <c r="AZ758" s="44"/>
      <c r="BA758" s="34"/>
      <c r="BB758" s="34"/>
    </row>
    <row r="759" spans="1:54" x14ac:dyDescent="0.35" ht="15.0" customHeight="true">
      <c r="A759" s="51"/>
      <c r="B759" s="34"/>
      <c r="C759" s="34"/>
      <c r="D759" s="34"/>
      <c r="E759" s="34"/>
      <c r="F759" s="34"/>
      <c r="G759" s="44"/>
      <c r="H759" s="34"/>
      <c r="I759" s="54"/>
      <c r="J759" s="34"/>
      <c r="K759" s="54"/>
      <c r="L759" s="34"/>
      <c r="M759" s="44"/>
      <c r="N759" s="44"/>
      <c r="O759" s="34"/>
      <c r="P759" s="34"/>
      <c r="Q759" s="34"/>
      <c r="R759" s="34"/>
      <c r="U759" s="44"/>
      <c r="W759" s="95"/>
      <c r="X759" s="54"/>
      <c r="Y759" s="54"/>
      <c r="Z759" s="34"/>
      <c r="AA759" s="34"/>
      <c r="AB759" s="34"/>
      <c r="AC759" s="34"/>
      <c r="AD759" s="34"/>
      <c r="AE759" s="34"/>
      <c r="AF759" s="34"/>
      <c r="AG759" s="34"/>
      <c r="AH759" s="52"/>
      <c r="AI759" s="52"/>
      <c r="AK759" s="34"/>
      <c r="AL759" s="34"/>
      <c r="AM759" s="34"/>
      <c r="AN759" s="54"/>
      <c r="AO759" s="34"/>
      <c r="AP759" s="34"/>
      <c r="AQ759" s="54"/>
      <c r="AR759" s="54"/>
      <c r="AS759" s="54"/>
      <c r="AT759" s="54"/>
      <c r="AU759" s="34"/>
      <c r="AV759" s="34"/>
      <c r="AW759" s="34"/>
      <c r="AX759" s="34"/>
      <c r="AY759" s="34"/>
      <c r="AZ759" s="44"/>
      <c r="BA759" s="34"/>
      <c r="BB759" s="34"/>
    </row>
    <row r="760" spans="1:54" x14ac:dyDescent="0.35" ht="15.0" customHeight="true">
      <c r="A760" s="51"/>
      <c r="B760" s="34"/>
      <c r="C760" s="34"/>
      <c r="D760" s="34"/>
      <c r="E760" s="34"/>
      <c r="F760" s="34"/>
      <c r="G760" s="44"/>
      <c r="H760" s="34"/>
      <c r="I760" s="54"/>
      <c r="J760" s="34"/>
      <c r="K760" s="54"/>
      <c r="L760" s="34"/>
      <c r="M760" s="44"/>
      <c r="N760" s="44"/>
      <c r="O760" s="34"/>
      <c r="P760" s="34"/>
      <c r="Q760" s="34"/>
      <c r="R760" s="34"/>
      <c r="U760" s="44"/>
      <c r="W760" s="95"/>
      <c r="X760" s="54"/>
      <c r="Y760" s="54"/>
      <c r="Z760" s="34"/>
      <c r="AA760" s="34"/>
      <c r="AB760" s="34"/>
      <c r="AC760" s="34"/>
      <c r="AD760" s="34"/>
      <c r="AE760" s="34"/>
      <c r="AF760" s="34"/>
      <c r="AG760" s="34"/>
      <c r="AH760" s="52"/>
      <c r="AI760" s="52"/>
      <c r="AK760" s="34"/>
      <c r="AL760" s="34"/>
      <c r="AM760" s="34"/>
      <c r="AN760" s="54"/>
      <c r="AO760" s="34"/>
      <c r="AP760" s="34"/>
      <c r="AQ760" s="54"/>
      <c r="AR760" s="54"/>
      <c r="AS760" s="54"/>
      <c r="AT760" s="54"/>
      <c r="AU760" s="34"/>
      <c r="AV760" s="34"/>
      <c r="AW760" s="34"/>
      <c r="AX760" s="34"/>
      <c r="AY760" s="34"/>
      <c r="AZ760" s="44"/>
      <c r="BA760" s="34"/>
      <c r="BB760" s="34"/>
    </row>
    <row r="761" spans="1:54" x14ac:dyDescent="0.35" ht="15.0" customHeight="true">
      <c r="A761" s="51"/>
      <c r="B761" s="34"/>
      <c r="C761" s="34"/>
      <c r="D761" s="34"/>
      <c r="E761" s="34"/>
      <c r="F761" s="34"/>
      <c r="G761" s="44"/>
      <c r="H761" s="34"/>
      <c r="I761" s="54"/>
      <c r="J761" s="34"/>
      <c r="K761" s="54"/>
      <c r="L761" s="34"/>
      <c r="M761" s="44"/>
      <c r="N761" s="44"/>
      <c r="O761" s="34"/>
      <c r="P761" s="34"/>
      <c r="Q761" s="34"/>
      <c r="R761" s="34"/>
      <c r="U761" s="44"/>
      <c r="W761" s="95"/>
      <c r="X761" s="54"/>
      <c r="Y761" s="54"/>
      <c r="Z761" s="34"/>
      <c r="AA761" s="34"/>
      <c r="AB761" s="34"/>
      <c r="AC761" s="34"/>
      <c r="AD761" s="34"/>
      <c r="AE761" s="34"/>
      <c r="AF761" s="34"/>
      <c r="AG761" s="34"/>
      <c r="AH761" s="52"/>
      <c r="AI761" s="52"/>
      <c r="AK761" s="34"/>
      <c r="AL761" s="34"/>
      <c r="AM761" s="34"/>
      <c r="AN761" s="54"/>
      <c r="AO761" s="34"/>
      <c r="AP761" s="34"/>
      <c r="AQ761" s="54"/>
      <c r="AR761" s="54"/>
      <c r="AS761" s="54"/>
      <c r="AT761" s="54"/>
      <c r="AU761" s="34"/>
      <c r="AV761" s="34"/>
      <c r="AW761" s="34"/>
      <c r="AX761" s="34"/>
      <c r="AY761" s="34"/>
      <c r="AZ761" s="44"/>
      <c r="BA761" s="34"/>
      <c r="BB761" s="34"/>
    </row>
    <row r="762" spans="1:54" x14ac:dyDescent="0.35" ht="15.0" customHeight="true">
      <c r="A762" s="51"/>
      <c r="B762" s="34"/>
      <c r="C762" s="34"/>
      <c r="D762" s="34"/>
      <c r="E762" s="34"/>
      <c r="F762" s="34"/>
      <c r="G762" s="44"/>
      <c r="H762" s="34"/>
      <c r="I762" s="54"/>
      <c r="J762" s="34"/>
      <c r="K762" s="54"/>
      <c r="L762" s="34"/>
      <c r="M762" s="44"/>
      <c r="N762" s="44"/>
      <c r="O762" s="34"/>
      <c r="P762" s="34"/>
      <c r="Q762" s="34"/>
      <c r="R762" s="34"/>
      <c r="U762" s="44"/>
      <c r="W762" s="95"/>
      <c r="X762" s="54"/>
      <c r="Y762" s="54"/>
      <c r="Z762" s="34"/>
      <c r="AA762" s="34"/>
      <c r="AB762" s="34"/>
      <c r="AC762" s="34"/>
      <c r="AD762" s="34"/>
      <c r="AE762" s="34"/>
      <c r="AF762" s="34"/>
      <c r="AG762" s="34"/>
      <c r="AH762" s="52"/>
      <c r="AI762" s="52"/>
      <c r="AK762" s="34"/>
      <c r="AL762" s="34"/>
      <c r="AM762" s="34"/>
      <c r="AN762" s="54"/>
      <c r="AO762" s="34"/>
      <c r="AP762" s="34"/>
      <c r="AQ762" s="54"/>
      <c r="AR762" s="54"/>
      <c r="AS762" s="54"/>
      <c r="AT762" s="54"/>
      <c r="AU762" s="34"/>
      <c r="AV762" s="34"/>
      <c r="AW762" s="34"/>
      <c r="AX762" s="34"/>
      <c r="AY762" s="34"/>
      <c r="AZ762" s="44"/>
      <c r="BA762" s="34"/>
      <c r="BB762" s="34"/>
    </row>
    <row r="763" spans="1:54" x14ac:dyDescent="0.35" ht="15.0" customHeight="true">
      <c r="A763" s="51"/>
      <c r="B763" s="34"/>
      <c r="C763" s="34"/>
      <c r="D763" s="34"/>
      <c r="E763" s="34"/>
      <c r="F763" s="34"/>
      <c r="G763" s="44"/>
      <c r="H763" s="34"/>
      <c r="I763" s="54"/>
      <c r="J763" s="34"/>
      <c r="K763" s="54"/>
      <c r="L763" s="34"/>
      <c r="M763" s="44"/>
      <c r="N763" s="44"/>
      <c r="O763" s="34"/>
      <c r="P763" s="34"/>
      <c r="Q763" s="34"/>
      <c r="R763" s="34"/>
      <c r="U763" s="44"/>
      <c r="W763" s="95"/>
      <c r="X763" s="54"/>
      <c r="Y763" s="54"/>
      <c r="Z763" s="34"/>
      <c r="AA763" s="34"/>
      <c r="AB763" s="34"/>
      <c r="AC763" s="34"/>
      <c r="AD763" s="34"/>
      <c r="AE763" s="34"/>
      <c r="AF763" s="34"/>
      <c r="AG763" s="34"/>
      <c r="AH763" s="52"/>
      <c r="AI763" s="52"/>
      <c r="AK763" s="34"/>
      <c r="AL763" s="34"/>
      <c r="AM763" s="34"/>
      <c r="AN763" s="54"/>
      <c r="AO763" s="34"/>
      <c r="AP763" s="34"/>
      <c r="AQ763" s="54"/>
      <c r="AR763" s="54"/>
      <c r="AS763" s="54"/>
      <c r="AT763" s="54"/>
      <c r="AU763" s="34"/>
      <c r="AV763" s="34"/>
      <c r="AW763" s="34"/>
      <c r="AX763" s="34"/>
      <c r="AY763" s="34"/>
      <c r="AZ763" s="44"/>
      <c r="BA763" s="34"/>
      <c r="BB763" s="34"/>
    </row>
    <row r="764" spans="1:54" x14ac:dyDescent="0.35" ht="15.0" customHeight="true">
      <c r="A764" s="51"/>
      <c r="B764" s="34"/>
      <c r="C764" s="34"/>
      <c r="D764" s="34"/>
      <c r="E764" s="34"/>
      <c r="F764" s="34"/>
      <c r="G764" s="44"/>
      <c r="H764" s="34"/>
      <c r="I764" s="54"/>
      <c r="J764" s="34"/>
      <c r="K764" s="54"/>
      <c r="L764" s="34"/>
      <c r="M764" s="44"/>
      <c r="N764" s="44"/>
      <c r="O764" s="34"/>
      <c r="P764" s="34"/>
      <c r="Q764" s="34"/>
      <c r="R764" s="34"/>
      <c r="U764" s="44"/>
      <c r="W764" s="95"/>
      <c r="X764" s="54"/>
      <c r="Y764" s="54"/>
      <c r="Z764" s="34"/>
      <c r="AA764" s="34"/>
      <c r="AB764" s="34"/>
      <c r="AC764" s="34"/>
      <c r="AD764" s="34"/>
      <c r="AE764" s="34"/>
      <c r="AF764" s="34"/>
      <c r="AG764" s="34"/>
      <c r="AH764" s="52"/>
      <c r="AI764" s="52"/>
      <c r="AK764" s="34"/>
      <c r="AL764" s="34"/>
      <c r="AM764" s="34"/>
      <c r="AN764" s="54"/>
      <c r="AO764" s="34"/>
      <c r="AP764" s="34"/>
      <c r="AQ764" s="54"/>
      <c r="AR764" s="54"/>
      <c r="AS764" s="54"/>
      <c r="AT764" s="54"/>
      <c r="AU764" s="34"/>
      <c r="AV764" s="34"/>
      <c r="AW764" s="34"/>
      <c r="AX764" s="34"/>
      <c r="AY764" s="34"/>
      <c r="AZ764" s="44"/>
      <c r="BA764" s="34"/>
      <c r="BB764" s="34"/>
    </row>
    <row r="765" spans="1:54" x14ac:dyDescent="0.35" ht="15.0" customHeight="true">
      <c r="A765" s="51"/>
      <c r="B765" s="34"/>
      <c r="C765" s="34"/>
      <c r="D765" s="34"/>
      <c r="E765" s="34"/>
      <c r="F765" s="34"/>
      <c r="G765" s="44"/>
      <c r="H765" s="34"/>
      <c r="I765" s="54"/>
      <c r="J765" s="34"/>
      <c r="K765" s="54"/>
      <c r="L765" s="34"/>
      <c r="M765" s="44"/>
      <c r="N765" s="44"/>
      <c r="O765" s="34"/>
      <c r="P765" s="34"/>
      <c r="Q765" s="34"/>
      <c r="R765" s="34"/>
      <c r="U765" s="44"/>
      <c r="W765" s="95"/>
      <c r="X765" s="54"/>
      <c r="Y765" s="54"/>
      <c r="Z765" s="34"/>
      <c r="AA765" s="34"/>
      <c r="AB765" s="34"/>
      <c r="AC765" s="34"/>
      <c r="AD765" s="34"/>
      <c r="AE765" s="34"/>
      <c r="AF765" s="34"/>
      <c r="AG765" s="34"/>
      <c r="AH765" s="52"/>
      <c r="AI765" s="52"/>
      <c r="AK765" s="34"/>
      <c r="AL765" s="34"/>
      <c r="AM765" s="34"/>
      <c r="AN765" s="54"/>
      <c r="AO765" s="34"/>
      <c r="AP765" s="34"/>
      <c r="AQ765" s="54"/>
      <c r="AR765" s="54"/>
      <c r="AS765" s="54"/>
      <c r="AT765" s="54"/>
      <c r="AU765" s="34"/>
      <c r="AV765" s="34"/>
      <c r="AW765" s="34"/>
      <c r="AX765" s="34"/>
      <c r="AY765" s="34"/>
      <c r="AZ765" s="44"/>
      <c r="BA765" s="34"/>
      <c r="BB765" s="34"/>
    </row>
    <row r="766" spans="1:54" x14ac:dyDescent="0.35" ht="15.0" customHeight="true">
      <c r="A766" s="51"/>
      <c r="B766" s="34"/>
      <c r="C766" s="34"/>
      <c r="D766" s="34"/>
      <c r="E766" s="34"/>
      <c r="F766" s="34"/>
      <c r="G766" s="44"/>
      <c r="H766" s="34"/>
      <c r="I766" s="54"/>
      <c r="J766" s="34"/>
      <c r="K766" s="54"/>
      <c r="L766" s="34"/>
      <c r="M766" s="44"/>
      <c r="N766" s="44"/>
      <c r="O766" s="34"/>
      <c r="P766" s="34"/>
      <c r="Q766" s="34"/>
      <c r="R766" s="34"/>
      <c r="U766" s="44"/>
      <c r="W766" s="95"/>
      <c r="X766" s="54"/>
      <c r="Y766" s="54"/>
      <c r="Z766" s="34"/>
      <c r="AA766" s="34"/>
      <c r="AB766" s="34"/>
      <c r="AC766" s="34"/>
      <c r="AD766" s="34"/>
      <c r="AE766" s="34"/>
      <c r="AF766" s="34"/>
      <c r="AG766" s="34"/>
      <c r="AH766" s="52"/>
      <c r="AI766" s="52"/>
      <c r="AK766" s="34"/>
      <c r="AL766" s="34"/>
      <c r="AM766" s="34"/>
      <c r="AN766" s="54"/>
      <c r="AO766" s="34"/>
      <c r="AP766" s="34"/>
      <c r="AQ766" s="54"/>
      <c r="AR766" s="54"/>
      <c r="AS766" s="54"/>
      <c r="AT766" s="54"/>
      <c r="AU766" s="34"/>
      <c r="AV766" s="34"/>
      <c r="AW766" s="34"/>
      <c r="AX766" s="34"/>
      <c r="AY766" s="34"/>
      <c r="AZ766" s="44"/>
      <c r="BA766" s="34"/>
      <c r="BB766" s="34"/>
    </row>
    <row r="767" spans="1:54" x14ac:dyDescent="0.35" ht="15.0" customHeight="true">
      <c r="A767" s="51"/>
      <c r="B767" s="34"/>
      <c r="C767" s="34"/>
      <c r="D767" s="34"/>
      <c r="E767" s="34"/>
      <c r="F767" s="34"/>
      <c r="G767" s="44"/>
      <c r="H767" s="34"/>
      <c r="I767" s="54"/>
      <c r="J767" s="34"/>
      <c r="K767" s="54"/>
      <c r="L767" s="34"/>
      <c r="M767" s="44"/>
      <c r="N767" s="44"/>
      <c r="O767" s="34"/>
      <c r="P767" s="34"/>
      <c r="Q767" s="34"/>
      <c r="R767" s="34"/>
      <c r="U767" s="44"/>
      <c r="W767" s="95"/>
      <c r="X767" s="54"/>
      <c r="Y767" s="54"/>
      <c r="Z767" s="34"/>
      <c r="AA767" s="34"/>
      <c r="AB767" s="34"/>
      <c r="AC767" s="34"/>
      <c r="AD767" s="34"/>
      <c r="AE767" s="34"/>
      <c r="AF767" s="34"/>
      <c r="AG767" s="34"/>
      <c r="AH767" s="52"/>
      <c r="AI767" s="52"/>
      <c r="AK767" s="34"/>
      <c r="AL767" s="34"/>
      <c r="AM767" s="34"/>
      <c r="AN767" s="54"/>
      <c r="AO767" s="34"/>
      <c r="AP767" s="34"/>
      <c r="AQ767" s="54"/>
      <c r="AR767" s="54"/>
      <c r="AS767" s="54"/>
      <c r="AT767" s="54"/>
      <c r="AU767" s="34"/>
      <c r="AV767" s="34"/>
      <c r="AW767" s="34"/>
      <c r="AX767" s="34"/>
      <c r="AY767" s="34"/>
      <c r="AZ767" s="44"/>
      <c r="BA767" s="34"/>
      <c r="BB767" s="34"/>
    </row>
    <row r="768" spans="1:54" x14ac:dyDescent="0.35" ht="15.0" customHeight="true">
      <c r="A768" s="51"/>
      <c r="B768" s="34"/>
      <c r="C768" s="34"/>
      <c r="D768" s="34"/>
      <c r="E768" s="34"/>
      <c r="F768" s="34"/>
      <c r="G768" s="44"/>
      <c r="H768" s="34"/>
      <c r="I768" s="54"/>
      <c r="J768" s="34"/>
      <c r="K768" s="54"/>
      <c r="L768" s="34"/>
      <c r="M768" s="44"/>
      <c r="N768" s="44"/>
      <c r="O768" s="34"/>
      <c r="P768" s="34"/>
      <c r="Q768" s="34"/>
      <c r="R768" s="34"/>
      <c r="U768" s="44"/>
      <c r="W768" s="95"/>
      <c r="X768" s="54"/>
      <c r="Y768" s="54"/>
      <c r="Z768" s="34"/>
      <c r="AA768" s="34"/>
      <c r="AB768" s="34"/>
      <c r="AC768" s="34"/>
      <c r="AD768" s="34"/>
      <c r="AE768" s="34"/>
      <c r="AF768" s="34"/>
      <c r="AG768" s="34"/>
      <c r="AH768" s="52"/>
      <c r="AI768" s="52"/>
      <c r="AK768" s="34"/>
      <c r="AL768" s="34"/>
      <c r="AM768" s="34"/>
      <c r="AN768" s="54"/>
      <c r="AO768" s="34"/>
      <c r="AP768" s="34"/>
      <c r="AQ768" s="54"/>
      <c r="AR768" s="54"/>
      <c r="AS768" s="54"/>
      <c r="AT768" s="54"/>
      <c r="AU768" s="34"/>
      <c r="AV768" s="34"/>
      <c r="AW768" s="34"/>
      <c r="AX768" s="34"/>
      <c r="AY768" s="34"/>
      <c r="AZ768" s="44"/>
      <c r="BA768" s="34"/>
      <c r="BB768" s="34"/>
    </row>
    <row r="769" spans="1:54" x14ac:dyDescent="0.35" ht="15.0" customHeight="true">
      <c r="A769" s="51"/>
      <c r="B769" s="34"/>
      <c r="C769" s="34"/>
      <c r="D769" s="34"/>
      <c r="E769" s="34"/>
      <c r="F769" s="34"/>
      <c r="G769" s="44"/>
      <c r="H769" s="34"/>
      <c r="I769" s="54"/>
      <c r="J769" s="34"/>
      <c r="K769" s="54"/>
      <c r="L769" s="34"/>
      <c r="M769" s="44"/>
      <c r="N769" s="44"/>
      <c r="O769" s="34"/>
      <c r="P769" s="34"/>
      <c r="Q769" s="34"/>
      <c r="R769" s="34"/>
      <c r="U769" s="44"/>
      <c r="W769" s="95"/>
      <c r="X769" s="54"/>
      <c r="Y769" s="54"/>
      <c r="Z769" s="34"/>
      <c r="AA769" s="34"/>
      <c r="AB769" s="34"/>
      <c r="AC769" s="34"/>
      <c r="AD769" s="34"/>
      <c r="AE769" s="34"/>
      <c r="AF769" s="34"/>
      <c r="AG769" s="34"/>
      <c r="AH769" s="52"/>
      <c r="AI769" s="52"/>
      <c r="AK769" s="34"/>
      <c r="AL769" s="34"/>
      <c r="AM769" s="34"/>
      <c r="AN769" s="54"/>
      <c r="AO769" s="34"/>
      <c r="AP769" s="34"/>
      <c r="AQ769" s="54"/>
      <c r="AR769" s="54"/>
      <c r="AS769" s="54"/>
      <c r="AT769" s="54"/>
      <c r="AU769" s="34"/>
      <c r="AV769" s="34"/>
      <c r="AW769" s="34"/>
      <c r="AX769" s="34"/>
      <c r="AY769" s="34"/>
      <c r="AZ769" s="44"/>
      <c r="BA769" s="34"/>
      <c r="BB769" s="34"/>
    </row>
    <row r="770" spans="1:54" x14ac:dyDescent="0.35" ht="15.0" customHeight="true">
      <c r="A770" s="51"/>
      <c r="B770" s="34"/>
      <c r="C770" s="34"/>
      <c r="D770" s="34"/>
      <c r="E770" s="34"/>
      <c r="F770" s="34"/>
      <c r="G770" s="44"/>
      <c r="H770" s="34"/>
      <c r="I770" s="54"/>
      <c r="J770" s="34"/>
      <c r="K770" s="54"/>
      <c r="L770" s="34"/>
      <c r="M770" s="44"/>
      <c r="N770" s="44"/>
      <c r="O770" s="34"/>
      <c r="P770" s="34"/>
      <c r="Q770" s="34"/>
      <c r="R770" s="34"/>
      <c r="U770" s="44"/>
      <c r="W770" s="95"/>
      <c r="X770" s="54"/>
      <c r="Y770" s="54"/>
      <c r="Z770" s="34"/>
      <c r="AA770" s="34"/>
      <c r="AB770" s="34"/>
      <c r="AC770" s="34"/>
      <c r="AD770" s="34"/>
      <c r="AE770" s="34"/>
      <c r="AF770" s="34"/>
      <c r="AG770" s="34"/>
      <c r="AH770" s="52"/>
      <c r="AI770" s="52"/>
      <c r="AK770" s="34"/>
      <c r="AL770" s="34"/>
      <c r="AM770" s="34"/>
      <c r="AN770" s="54"/>
      <c r="AO770" s="34"/>
      <c r="AP770" s="34"/>
      <c r="AQ770" s="54"/>
      <c r="AR770" s="54"/>
      <c r="AS770" s="54"/>
      <c r="AT770" s="54"/>
      <c r="AU770" s="34"/>
      <c r="AV770" s="34"/>
      <c r="AW770" s="34"/>
      <c r="AX770" s="34"/>
      <c r="AY770" s="34"/>
      <c r="AZ770" s="44"/>
      <c r="BA770" s="34"/>
      <c r="BB770" s="34"/>
    </row>
    <row r="771" spans="1:54" x14ac:dyDescent="0.35" ht="15.0" customHeight="true">
      <c r="A771" s="51"/>
      <c r="B771" s="34"/>
      <c r="C771" s="34"/>
      <c r="D771" s="34"/>
      <c r="E771" s="34"/>
      <c r="F771" s="34"/>
      <c r="G771" s="44"/>
      <c r="H771" s="34"/>
      <c r="I771" s="54"/>
      <c r="J771" s="34"/>
      <c r="K771" s="54"/>
      <c r="L771" s="34"/>
      <c r="M771" s="44"/>
      <c r="N771" s="44"/>
      <c r="O771" s="34"/>
      <c r="P771" s="34"/>
      <c r="Q771" s="34"/>
      <c r="R771" s="34"/>
      <c r="U771" s="44"/>
      <c r="W771" s="95"/>
      <c r="X771" s="54"/>
      <c r="Y771" s="54"/>
      <c r="Z771" s="34"/>
      <c r="AA771" s="34"/>
      <c r="AB771" s="34"/>
      <c r="AC771" s="34"/>
      <c r="AD771" s="34"/>
      <c r="AE771" s="34"/>
      <c r="AF771" s="34"/>
      <c r="AG771" s="34"/>
      <c r="AH771" s="52"/>
      <c r="AI771" s="52"/>
      <c r="AK771" s="34"/>
      <c r="AL771" s="34"/>
      <c r="AM771" s="34"/>
      <c r="AN771" s="54"/>
      <c r="AO771" s="34"/>
      <c r="AP771" s="34"/>
      <c r="AQ771" s="54"/>
      <c r="AR771" s="54"/>
      <c r="AS771" s="54"/>
      <c r="AT771" s="54"/>
      <c r="AU771" s="34"/>
      <c r="AV771" s="34"/>
      <c r="AW771" s="34"/>
      <c r="AX771" s="34"/>
      <c r="AY771" s="34"/>
      <c r="AZ771" s="44"/>
      <c r="BA771" s="34"/>
      <c r="BB771" s="34"/>
    </row>
    <row r="772" spans="1:54" x14ac:dyDescent="0.35" ht="15.0" customHeight="true">
      <c r="A772" s="51"/>
      <c r="B772" s="34"/>
      <c r="C772" s="34"/>
      <c r="D772" s="34"/>
      <c r="E772" s="34"/>
      <c r="F772" s="34"/>
      <c r="G772" s="44"/>
      <c r="H772" s="34"/>
      <c r="I772" s="54"/>
      <c r="J772" s="34"/>
      <c r="K772" s="54"/>
      <c r="L772" s="34"/>
      <c r="M772" s="44"/>
      <c r="N772" s="44"/>
      <c r="O772" s="34"/>
      <c r="P772" s="34"/>
      <c r="Q772" s="34"/>
      <c r="R772" s="34"/>
      <c r="U772" s="44"/>
      <c r="W772" s="95"/>
      <c r="X772" s="54"/>
      <c r="Y772" s="54"/>
      <c r="Z772" s="34"/>
      <c r="AA772" s="34"/>
      <c r="AB772" s="34"/>
      <c r="AC772" s="34"/>
      <c r="AD772" s="34"/>
      <c r="AE772" s="34"/>
      <c r="AF772" s="34"/>
      <c r="AG772" s="34"/>
      <c r="AH772" s="52"/>
      <c r="AI772" s="52"/>
      <c r="AK772" s="34"/>
      <c r="AL772" s="34"/>
      <c r="AM772" s="34"/>
      <c r="AN772" s="54"/>
      <c r="AO772" s="34"/>
      <c r="AP772" s="34"/>
      <c r="AQ772" s="54"/>
      <c r="AR772" s="54"/>
      <c r="AS772" s="54"/>
      <c r="AT772" s="54"/>
      <c r="AU772" s="34"/>
      <c r="AV772" s="34"/>
      <c r="AW772" s="34"/>
      <c r="AX772" s="34"/>
      <c r="AY772" s="34"/>
      <c r="AZ772" s="44"/>
      <c r="BA772" s="34"/>
      <c r="BB772" s="34"/>
    </row>
    <row r="773" spans="1:54" x14ac:dyDescent="0.35" ht="15.0" customHeight="true">
      <c r="A773" s="51"/>
      <c r="B773" s="34"/>
      <c r="C773" s="34"/>
      <c r="D773" s="34"/>
      <c r="E773" s="34"/>
      <c r="F773" s="34"/>
      <c r="G773" s="44"/>
      <c r="H773" s="34"/>
      <c r="I773" s="54"/>
      <c r="J773" s="34"/>
      <c r="K773" s="54"/>
      <c r="L773" s="34"/>
      <c r="M773" s="44"/>
      <c r="N773" s="44"/>
      <c r="O773" s="34"/>
      <c r="P773" s="34"/>
      <c r="Q773" s="34"/>
      <c r="R773" s="34"/>
      <c r="U773" s="44"/>
      <c r="W773" s="95"/>
      <c r="X773" s="54"/>
      <c r="Y773" s="54"/>
      <c r="Z773" s="34"/>
      <c r="AA773" s="34"/>
      <c r="AB773" s="34"/>
      <c r="AC773" s="34"/>
      <c r="AD773" s="34"/>
      <c r="AE773" s="34"/>
      <c r="AF773" s="34"/>
      <c r="AG773" s="34"/>
      <c r="AH773" s="52"/>
      <c r="AI773" s="52"/>
      <c r="AK773" s="34"/>
      <c r="AL773" s="34"/>
      <c r="AM773" s="34"/>
      <c r="AN773" s="54"/>
      <c r="AO773" s="34"/>
      <c r="AP773" s="34"/>
      <c r="AQ773" s="54"/>
      <c r="AR773" s="54"/>
      <c r="AS773" s="54"/>
      <c r="AT773" s="54"/>
      <c r="AU773" s="34"/>
      <c r="AV773" s="34"/>
      <c r="AW773" s="34"/>
      <c r="AX773" s="34"/>
      <c r="AY773" s="34"/>
      <c r="AZ773" s="44"/>
      <c r="BA773" s="34"/>
      <c r="BB773" s="34"/>
    </row>
    <row r="774" spans="1:54" x14ac:dyDescent="0.35" ht="15.0" customHeight="true">
      <c r="A774" s="51"/>
      <c r="B774" s="34"/>
      <c r="C774" s="34"/>
      <c r="D774" s="34"/>
      <c r="E774" s="34"/>
      <c r="F774" s="34"/>
      <c r="G774" s="44"/>
      <c r="H774" s="34"/>
      <c r="I774" s="54"/>
      <c r="J774" s="34"/>
      <c r="K774" s="54"/>
      <c r="L774" s="34"/>
      <c r="M774" s="44"/>
      <c r="N774" s="44"/>
      <c r="O774" s="34"/>
      <c r="P774" s="34"/>
      <c r="Q774" s="34"/>
      <c r="R774" s="34"/>
      <c r="U774" s="44"/>
      <c r="W774" s="95"/>
      <c r="X774" s="54"/>
      <c r="Y774" s="54"/>
      <c r="Z774" s="34"/>
      <c r="AA774" s="34"/>
      <c r="AB774" s="34"/>
      <c r="AC774" s="34"/>
      <c r="AD774" s="34"/>
      <c r="AE774" s="34"/>
      <c r="AF774" s="34"/>
      <c r="AG774" s="34"/>
      <c r="AH774" s="52"/>
      <c r="AI774" s="52"/>
      <c r="AK774" s="34"/>
      <c r="AL774" s="34"/>
      <c r="AM774" s="34"/>
      <c r="AN774" s="54"/>
      <c r="AO774" s="34"/>
      <c r="AP774" s="34"/>
      <c r="AQ774" s="54"/>
      <c r="AR774" s="54"/>
      <c r="AS774" s="54"/>
      <c r="AT774" s="54"/>
      <c r="AU774" s="34"/>
      <c r="AV774" s="34"/>
      <c r="AW774" s="34"/>
      <c r="AX774" s="34"/>
      <c r="AY774" s="34"/>
      <c r="AZ774" s="44"/>
      <c r="BA774" s="34"/>
      <c r="BB774" s="34"/>
    </row>
    <row r="775" spans="1:54" x14ac:dyDescent="0.35" ht="15.0" customHeight="true">
      <c r="A775" s="51"/>
      <c r="B775" s="34"/>
      <c r="C775" s="34"/>
      <c r="D775" s="34"/>
      <c r="E775" s="34"/>
      <c r="F775" s="34"/>
      <c r="G775" s="44"/>
      <c r="H775" s="34"/>
      <c r="I775" s="54"/>
      <c r="J775" s="34"/>
      <c r="K775" s="54"/>
      <c r="L775" s="34"/>
      <c r="M775" s="44"/>
      <c r="N775" s="44"/>
      <c r="O775" s="34"/>
      <c r="P775" s="34"/>
      <c r="Q775" s="34"/>
      <c r="R775" s="34"/>
      <c r="U775" s="44"/>
      <c r="W775" s="95"/>
      <c r="X775" s="54"/>
      <c r="Y775" s="54"/>
      <c r="Z775" s="34"/>
      <c r="AA775" s="34"/>
      <c r="AB775" s="34"/>
      <c r="AC775" s="34"/>
      <c r="AD775" s="34"/>
      <c r="AE775" s="34"/>
      <c r="AF775" s="34"/>
      <c r="AG775" s="34"/>
      <c r="AH775" s="52"/>
      <c r="AI775" s="52"/>
      <c r="AK775" s="34"/>
      <c r="AL775" s="34"/>
      <c r="AM775" s="34"/>
      <c r="AN775" s="54"/>
      <c r="AO775" s="34"/>
      <c r="AP775" s="34"/>
      <c r="AQ775" s="54"/>
      <c r="AR775" s="54"/>
      <c r="AS775" s="54"/>
      <c r="AT775" s="54"/>
      <c r="AU775" s="34"/>
      <c r="AV775" s="34"/>
      <c r="AW775" s="34"/>
      <c r="AX775" s="34"/>
      <c r="AY775" s="34"/>
      <c r="AZ775" s="44"/>
      <c r="BA775" s="34"/>
      <c r="BB775" s="34"/>
    </row>
    <row r="776" spans="1:54" x14ac:dyDescent="0.35" ht="15.0" customHeight="true">
      <c r="A776" s="51"/>
      <c r="B776" s="34"/>
      <c r="C776" s="34"/>
      <c r="D776" s="34"/>
      <c r="E776" s="34"/>
      <c r="F776" s="34"/>
      <c r="G776" s="44"/>
      <c r="H776" s="34"/>
      <c r="I776" s="54"/>
      <c r="J776" s="34"/>
      <c r="K776" s="54"/>
      <c r="L776" s="34"/>
      <c r="M776" s="44"/>
      <c r="N776" s="44"/>
      <c r="O776" s="34"/>
      <c r="P776" s="34"/>
      <c r="Q776" s="34"/>
      <c r="R776" s="34"/>
      <c r="U776" s="44"/>
      <c r="W776" s="95"/>
      <c r="X776" s="54"/>
      <c r="Y776" s="54"/>
      <c r="Z776" s="34"/>
      <c r="AA776" s="34"/>
      <c r="AB776" s="34"/>
      <c r="AC776" s="34"/>
      <c r="AD776" s="34"/>
      <c r="AE776" s="34"/>
      <c r="AF776" s="34"/>
      <c r="AG776" s="34"/>
      <c r="AH776" s="52"/>
      <c r="AI776" s="52"/>
      <c r="AK776" s="34"/>
      <c r="AL776" s="34"/>
      <c r="AM776" s="34"/>
      <c r="AN776" s="54"/>
      <c r="AO776" s="34"/>
      <c r="AP776" s="34"/>
      <c r="AQ776" s="54"/>
      <c r="AR776" s="54"/>
      <c r="AS776" s="54"/>
      <c r="AT776" s="54"/>
      <c r="AU776" s="34"/>
      <c r="AV776" s="34"/>
      <c r="AW776" s="34"/>
      <c r="AX776" s="34"/>
      <c r="AY776" s="34"/>
      <c r="AZ776" s="44"/>
      <c r="BA776" s="34"/>
      <c r="BB776" s="34"/>
    </row>
    <row r="777" spans="1:54" x14ac:dyDescent="0.35" ht="15.0" customHeight="true">
      <c r="A777" s="51"/>
      <c r="B777" s="34"/>
      <c r="C777" s="34"/>
      <c r="D777" s="34"/>
      <c r="E777" s="34"/>
      <c r="F777" s="34"/>
      <c r="G777" s="44"/>
      <c r="H777" s="34"/>
      <c r="I777" s="54"/>
      <c r="J777" s="34"/>
      <c r="K777" s="54"/>
      <c r="L777" s="34"/>
      <c r="M777" s="44"/>
      <c r="N777" s="44"/>
      <c r="O777" s="34"/>
      <c r="P777" s="34"/>
      <c r="Q777" s="34"/>
      <c r="R777" s="34"/>
      <c r="U777" s="44"/>
      <c r="W777" s="95"/>
      <c r="X777" s="54"/>
      <c r="Y777" s="54"/>
      <c r="Z777" s="34"/>
      <c r="AA777" s="34"/>
      <c r="AB777" s="34"/>
      <c r="AC777" s="34"/>
      <c r="AD777" s="34"/>
      <c r="AE777" s="34"/>
      <c r="AF777" s="34"/>
      <c r="AG777" s="34"/>
      <c r="AH777" s="52"/>
      <c r="AI777" s="52"/>
      <c r="AK777" s="34"/>
      <c r="AL777" s="34"/>
      <c r="AM777" s="34"/>
      <c r="AN777" s="54"/>
      <c r="AO777" s="34"/>
      <c r="AP777" s="34"/>
      <c r="AQ777" s="54"/>
      <c r="AR777" s="54"/>
      <c r="AS777" s="54"/>
      <c r="AT777" s="54"/>
      <c r="AU777" s="34"/>
      <c r="AV777" s="34"/>
      <c r="AW777" s="34"/>
      <c r="AX777" s="34"/>
      <c r="AY777" s="34"/>
      <c r="AZ777" s="44"/>
      <c r="BA777" s="34"/>
      <c r="BB777" s="34"/>
    </row>
    <row r="778" spans="1:54" x14ac:dyDescent="0.35" ht="15.0" customHeight="true">
      <c r="A778" s="51"/>
      <c r="B778" s="34"/>
      <c r="C778" s="34"/>
      <c r="D778" s="34"/>
      <c r="E778" s="34"/>
      <c r="F778" s="34"/>
      <c r="G778" s="44"/>
      <c r="H778" s="34"/>
      <c r="I778" s="54"/>
      <c r="J778" s="34"/>
      <c r="K778" s="54"/>
      <c r="L778" s="34"/>
      <c r="M778" s="44"/>
      <c r="N778" s="44"/>
      <c r="O778" s="34"/>
      <c r="P778" s="34"/>
      <c r="Q778" s="34"/>
      <c r="R778" s="34"/>
      <c r="U778" s="44"/>
      <c r="W778" s="95"/>
      <c r="X778" s="54"/>
      <c r="Y778" s="54"/>
      <c r="Z778" s="34"/>
      <c r="AA778" s="34"/>
      <c r="AB778" s="34"/>
      <c r="AC778" s="34"/>
      <c r="AD778" s="34"/>
      <c r="AE778" s="34"/>
      <c r="AF778" s="34"/>
      <c r="AG778" s="34"/>
      <c r="AH778" s="52"/>
      <c r="AI778" s="52"/>
      <c r="AK778" s="34"/>
      <c r="AL778" s="34"/>
      <c r="AM778" s="34"/>
      <c r="AN778" s="54"/>
      <c r="AO778" s="34"/>
      <c r="AP778" s="34"/>
      <c r="AQ778" s="54"/>
      <c r="AR778" s="54"/>
      <c r="AS778" s="54"/>
      <c r="AT778" s="54"/>
      <c r="AU778" s="34"/>
      <c r="AV778" s="34"/>
      <c r="AW778" s="34"/>
      <c r="AX778" s="34"/>
      <c r="AY778" s="34"/>
      <c r="AZ778" s="44"/>
      <c r="BA778" s="34"/>
      <c r="BB778" s="34"/>
    </row>
    <row r="779" spans="1:54" x14ac:dyDescent="0.35" ht="15.0" customHeight="true">
      <c r="A779" s="51"/>
      <c r="B779" s="34"/>
      <c r="C779" s="34"/>
      <c r="D779" s="34"/>
      <c r="E779" s="34"/>
      <c r="F779" s="34"/>
      <c r="G779" s="44"/>
      <c r="H779" s="34"/>
      <c r="I779" s="54"/>
      <c r="J779" s="34"/>
      <c r="K779" s="54"/>
      <c r="L779" s="34"/>
      <c r="M779" s="44"/>
      <c r="N779" s="44"/>
      <c r="O779" s="34"/>
      <c r="P779" s="34"/>
      <c r="Q779" s="34"/>
      <c r="R779" s="34"/>
      <c r="U779" s="44"/>
      <c r="W779" s="95"/>
      <c r="X779" s="54"/>
      <c r="Y779" s="54"/>
      <c r="Z779" s="34"/>
      <c r="AA779" s="34"/>
      <c r="AB779" s="34"/>
      <c r="AC779" s="34"/>
      <c r="AD779" s="34"/>
      <c r="AE779" s="34"/>
      <c r="AF779" s="34"/>
      <c r="AG779" s="34"/>
      <c r="AH779" s="52"/>
      <c r="AI779" s="52"/>
      <c r="AK779" s="34"/>
      <c r="AL779" s="34"/>
      <c r="AM779" s="34"/>
      <c r="AN779" s="54"/>
      <c r="AO779" s="34"/>
      <c r="AP779" s="34"/>
      <c r="AQ779" s="54"/>
      <c r="AR779" s="54"/>
      <c r="AS779" s="54"/>
      <c r="AT779" s="54"/>
      <c r="AU779" s="34"/>
      <c r="AV779" s="34"/>
      <c r="AW779" s="34"/>
      <c r="AX779" s="34"/>
      <c r="AY779" s="34"/>
      <c r="AZ779" s="44"/>
      <c r="BA779" s="34"/>
      <c r="BB779" s="34"/>
    </row>
    <row r="780" spans="1:54" x14ac:dyDescent="0.35" ht="15.0" customHeight="true">
      <c r="A780" s="51"/>
      <c r="B780" s="34"/>
      <c r="C780" s="34"/>
      <c r="D780" s="34"/>
      <c r="E780" s="34"/>
      <c r="F780" s="34"/>
      <c r="G780" s="44"/>
      <c r="H780" s="34"/>
      <c r="I780" s="54"/>
      <c r="J780" s="34"/>
      <c r="K780" s="54"/>
      <c r="L780" s="34"/>
      <c r="M780" s="44"/>
      <c r="N780" s="44"/>
      <c r="O780" s="34"/>
      <c r="P780" s="34"/>
      <c r="Q780" s="34"/>
      <c r="R780" s="34"/>
      <c r="U780" s="44"/>
      <c r="W780" s="95"/>
      <c r="X780" s="54"/>
      <c r="Y780" s="54"/>
      <c r="Z780" s="34"/>
      <c r="AA780" s="34"/>
      <c r="AB780" s="34"/>
      <c r="AC780" s="34"/>
      <c r="AD780" s="34"/>
      <c r="AE780" s="34"/>
      <c r="AF780" s="34"/>
      <c r="AG780" s="34"/>
      <c r="AH780" s="52"/>
      <c r="AI780" s="52"/>
      <c r="AK780" s="34"/>
      <c r="AL780" s="34"/>
      <c r="AM780" s="34"/>
      <c r="AN780" s="54"/>
      <c r="AO780" s="34"/>
      <c r="AP780" s="34"/>
      <c r="AQ780" s="54"/>
      <c r="AR780" s="54"/>
      <c r="AS780" s="54"/>
      <c r="AT780" s="54"/>
      <c r="AU780" s="34"/>
      <c r="AV780" s="34"/>
      <c r="AW780" s="34"/>
      <c r="AX780" s="34"/>
      <c r="AY780" s="34"/>
      <c r="AZ780" s="44"/>
      <c r="BA780" s="34"/>
      <c r="BB780" s="34"/>
    </row>
    <row r="781" spans="1:54" x14ac:dyDescent="0.35" ht="15.0" customHeight="true">
      <c r="A781" s="51"/>
      <c r="B781" s="34"/>
      <c r="C781" s="34"/>
      <c r="D781" s="34"/>
      <c r="E781" s="34"/>
      <c r="F781" s="34"/>
      <c r="G781" s="44"/>
      <c r="H781" s="34"/>
      <c r="I781" s="54"/>
      <c r="J781" s="34"/>
      <c r="K781" s="54"/>
      <c r="L781" s="34"/>
      <c r="M781" s="44"/>
      <c r="N781" s="44"/>
      <c r="O781" s="34"/>
      <c r="P781" s="34"/>
      <c r="Q781" s="34"/>
      <c r="R781" s="34"/>
      <c r="U781" s="44"/>
      <c r="W781" s="95"/>
      <c r="X781" s="54"/>
      <c r="Y781" s="54"/>
      <c r="Z781" s="34"/>
      <c r="AA781" s="34"/>
      <c r="AB781" s="34"/>
      <c r="AC781" s="34"/>
      <c r="AD781" s="34"/>
      <c r="AE781" s="34"/>
      <c r="AF781" s="34"/>
      <c r="AG781" s="34"/>
      <c r="AH781" s="52"/>
      <c r="AI781" s="52"/>
      <c r="AK781" s="34"/>
      <c r="AL781" s="34"/>
      <c r="AM781" s="34"/>
      <c r="AN781" s="54"/>
      <c r="AO781" s="34"/>
      <c r="AP781" s="34"/>
      <c r="AQ781" s="54"/>
      <c r="AR781" s="54"/>
      <c r="AS781" s="54"/>
      <c r="AT781" s="54"/>
      <c r="AU781" s="34"/>
      <c r="AV781" s="34"/>
      <c r="AW781" s="34"/>
      <c r="AX781" s="34"/>
      <c r="AY781" s="34"/>
      <c r="AZ781" s="44"/>
      <c r="BA781" s="34"/>
      <c r="BB781" s="34"/>
    </row>
    <row r="782" spans="1:54" x14ac:dyDescent="0.35" ht="15.0" customHeight="true">
      <c r="A782" s="51"/>
      <c r="B782" s="34"/>
      <c r="C782" s="34"/>
      <c r="D782" s="34"/>
      <c r="E782" s="34"/>
      <c r="F782" s="34"/>
      <c r="G782" s="44"/>
      <c r="H782" s="34"/>
      <c r="I782" s="54"/>
      <c r="J782" s="34"/>
      <c r="K782" s="54"/>
      <c r="L782" s="34"/>
      <c r="M782" s="44"/>
      <c r="N782" s="44"/>
      <c r="O782" s="34"/>
      <c r="P782" s="34"/>
      <c r="Q782" s="34"/>
      <c r="R782" s="34"/>
      <c r="U782" s="44"/>
      <c r="W782" s="95"/>
      <c r="X782" s="54"/>
      <c r="Y782" s="54"/>
      <c r="Z782" s="34"/>
      <c r="AA782" s="34"/>
      <c r="AB782" s="34"/>
      <c r="AC782" s="34"/>
      <c r="AD782" s="34"/>
      <c r="AE782" s="34"/>
      <c r="AF782" s="34"/>
      <c r="AG782" s="34"/>
      <c r="AH782" s="52"/>
      <c r="AI782" s="52"/>
      <c r="AK782" s="34"/>
      <c r="AL782" s="34"/>
      <c r="AM782" s="34"/>
      <c r="AN782" s="54"/>
      <c r="AO782" s="34"/>
      <c r="AP782" s="34"/>
      <c r="AQ782" s="54"/>
      <c r="AR782" s="54"/>
      <c r="AS782" s="54"/>
      <c r="AT782" s="54"/>
      <c r="AU782" s="34"/>
      <c r="AV782" s="34"/>
      <c r="AW782" s="34"/>
      <c r="AX782" s="34"/>
      <c r="AY782" s="34"/>
      <c r="AZ782" s="44"/>
      <c r="BA782" s="34"/>
      <c r="BB782" s="34"/>
    </row>
    <row r="783" spans="1:54" x14ac:dyDescent="0.35" ht="15.0" customHeight="true">
      <c r="A783" s="51"/>
      <c r="B783" s="34"/>
      <c r="C783" s="34"/>
      <c r="D783" s="34"/>
      <c r="E783" s="34"/>
      <c r="F783" s="34"/>
      <c r="G783" s="44"/>
      <c r="H783" s="34"/>
      <c r="I783" s="54"/>
      <c r="J783" s="34"/>
      <c r="K783" s="54"/>
      <c r="L783" s="34"/>
      <c r="M783" s="44"/>
      <c r="N783" s="44"/>
      <c r="O783" s="34"/>
      <c r="P783" s="34"/>
      <c r="Q783" s="34"/>
      <c r="R783" s="34"/>
      <c r="U783" s="44"/>
      <c r="W783" s="95"/>
      <c r="X783" s="54"/>
      <c r="Y783" s="54"/>
      <c r="Z783" s="34"/>
      <c r="AA783" s="34"/>
      <c r="AB783" s="34"/>
      <c r="AC783" s="34"/>
      <c r="AD783" s="34"/>
      <c r="AE783" s="34"/>
      <c r="AF783" s="34"/>
      <c r="AG783" s="34"/>
      <c r="AH783" s="52"/>
      <c r="AI783" s="52"/>
      <c r="AK783" s="34"/>
      <c r="AL783" s="34"/>
      <c r="AM783" s="34"/>
      <c r="AN783" s="54"/>
      <c r="AO783" s="34"/>
      <c r="AP783" s="34"/>
      <c r="AQ783" s="54"/>
      <c r="AR783" s="54"/>
      <c r="AS783" s="54"/>
      <c r="AT783" s="54"/>
      <c r="AU783" s="34"/>
      <c r="AV783" s="34"/>
      <c r="AW783" s="34"/>
      <c r="AX783" s="34"/>
      <c r="AY783" s="34"/>
      <c r="AZ783" s="44"/>
      <c r="BA783" s="34"/>
      <c r="BB783" s="34"/>
    </row>
    <row r="784" spans="1:54" x14ac:dyDescent="0.35" ht="15.0" customHeight="true">
      <c r="A784" s="51"/>
      <c r="B784" s="34"/>
      <c r="C784" s="34"/>
      <c r="D784" s="34"/>
      <c r="E784" s="34"/>
      <c r="F784" s="34"/>
      <c r="G784" s="44"/>
      <c r="H784" s="34"/>
      <c r="I784" s="54"/>
      <c r="J784" s="34"/>
      <c r="K784" s="54"/>
      <c r="L784" s="34"/>
      <c r="M784" s="44"/>
      <c r="N784" s="44"/>
      <c r="O784" s="34"/>
      <c r="P784" s="34"/>
      <c r="Q784" s="34"/>
      <c r="R784" s="34"/>
      <c r="U784" s="44"/>
      <c r="W784" s="95"/>
      <c r="X784" s="54"/>
      <c r="Y784" s="54"/>
      <c r="Z784" s="34"/>
      <c r="AA784" s="34"/>
      <c r="AB784" s="34"/>
      <c r="AC784" s="34"/>
      <c r="AD784" s="34"/>
      <c r="AE784" s="34"/>
      <c r="AF784" s="34"/>
      <c r="AG784" s="34"/>
      <c r="AH784" s="52"/>
      <c r="AI784" s="52"/>
      <c r="AK784" s="34"/>
      <c r="AL784" s="34"/>
      <c r="AM784" s="34"/>
      <c r="AN784" s="54"/>
      <c r="AO784" s="34"/>
      <c r="AP784" s="34"/>
      <c r="AQ784" s="54"/>
      <c r="AR784" s="54"/>
      <c r="AS784" s="54"/>
      <c r="AT784" s="54"/>
      <c r="AU784" s="34"/>
      <c r="AV784" s="34"/>
      <c r="AW784" s="34"/>
      <c r="AX784" s="34"/>
      <c r="AY784" s="34"/>
      <c r="AZ784" s="44"/>
      <c r="BA784" s="34"/>
      <c r="BB784" s="34"/>
    </row>
    <row r="785" spans="1:54" x14ac:dyDescent="0.35" ht="15.0" customHeight="true">
      <c r="A785" s="51"/>
      <c r="B785" s="34"/>
      <c r="C785" s="34"/>
      <c r="D785" s="34"/>
      <c r="E785" s="34"/>
      <c r="F785" s="34"/>
      <c r="G785" s="44"/>
      <c r="H785" s="34"/>
      <c r="I785" s="54"/>
      <c r="J785" s="34"/>
      <c r="K785" s="54"/>
      <c r="L785" s="34"/>
      <c r="M785" s="44"/>
      <c r="N785" s="44"/>
      <c r="O785" s="34"/>
      <c r="P785" s="34"/>
      <c r="Q785" s="34"/>
      <c r="R785" s="34"/>
      <c r="U785" s="44"/>
      <c r="W785" s="95"/>
      <c r="X785" s="54"/>
      <c r="Y785" s="54"/>
      <c r="Z785" s="34"/>
      <c r="AA785" s="34"/>
      <c r="AB785" s="34"/>
      <c r="AC785" s="34"/>
      <c r="AD785" s="34"/>
      <c r="AE785" s="34"/>
      <c r="AF785" s="34"/>
      <c r="AG785" s="34"/>
      <c r="AH785" s="52"/>
      <c r="AI785" s="52"/>
      <c r="AK785" s="34"/>
      <c r="AL785" s="34"/>
      <c r="AM785" s="34"/>
      <c r="AN785" s="54"/>
      <c r="AO785" s="34"/>
      <c r="AP785" s="34"/>
      <c r="AQ785" s="54"/>
      <c r="AR785" s="54"/>
      <c r="AS785" s="54"/>
      <c r="AT785" s="54"/>
      <c r="AU785" s="34"/>
      <c r="AV785" s="34"/>
      <c r="AW785" s="34"/>
      <c r="AX785" s="34"/>
      <c r="AY785" s="34"/>
      <c r="AZ785" s="44"/>
      <c r="BA785" s="34"/>
      <c r="BB785" s="34"/>
    </row>
    <row r="786" spans="1:54" x14ac:dyDescent="0.35" ht="15.0" customHeight="true">
      <c r="A786" s="51"/>
      <c r="B786" s="34"/>
      <c r="C786" s="34"/>
      <c r="D786" s="34"/>
      <c r="E786" s="34"/>
      <c r="F786" s="34"/>
      <c r="G786" s="44"/>
      <c r="H786" s="34"/>
      <c r="I786" s="54"/>
      <c r="J786" s="34"/>
      <c r="K786" s="54"/>
      <c r="L786" s="34"/>
      <c r="M786" s="44"/>
      <c r="N786" s="44"/>
      <c r="O786" s="34"/>
      <c r="P786" s="34"/>
      <c r="Q786" s="34"/>
      <c r="R786" s="34"/>
      <c r="U786" s="44"/>
      <c r="W786" s="95"/>
      <c r="X786" s="54"/>
      <c r="Y786" s="54"/>
      <c r="Z786" s="34"/>
      <c r="AA786" s="34"/>
      <c r="AB786" s="34"/>
      <c r="AC786" s="34"/>
      <c r="AD786" s="34"/>
      <c r="AE786" s="34"/>
      <c r="AF786" s="34"/>
      <c r="AG786" s="34"/>
      <c r="AH786" s="52"/>
      <c r="AI786" s="52"/>
      <c r="AK786" s="34"/>
      <c r="AL786" s="34"/>
      <c r="AM786" s="34"/>
      <c r="AN786" s="54"/>
      <c r="AO786" s="34"/>
      <c r="AP786" s="34"/>
      <c r="AQ786" s="54"/>
      <c r="AR786" s="54"/>
      <c r="AS786" s="54"/>
      <c r="AT786" s="54"/>
      <c r="AU786" s="34"/>
      <c r="AV786" s="34"/>
      <c r="AW786" s="34"/>
      <c r="AX786" s="34"/>
      <c r="AY786" s="34"/>
      <c r="AZ786" s="44"/>
      <c r="BA786" s="34"/>
      <c r="BB786" s="34"/>
    </row>
    <row r="787" spans="1:54" x14ac:dyDescent="0.35" ht="15.0" customHeight="true">
      <c r="A787" s="51"/>
      <c r="B787" s="34"/>
      <c r="C787" s="34"/>
      <c r="D787" s="34"/>
      <c r="E787" s="34"/>
      <c r="F787" s="34"/>
      <c r="G787" s="44"/>
      <c r="H787" s="34"/>
      <c r="I787" s="54"/>
      <c r="J787" s="34"/>
      <c r="K787" s="54"/>
      <c r="L787" s="34"/>
      <c r="M787" s="44"/>
      <c r="N787" s="44"/>
      <c r="O787" s="34"/>
      <c r="P787" s="34"/>
      <c r="Q787" s="34"/>
      <c r="R787" s="34"/>
      <c r="U787" s="44"/>
      <c r="W787" s="95"/>
      <c r="X787" s="54"/>
      <c r="Y787" s="54"/>
      <c r="Z787" s="34"/>
      <c r="AA787" s="34"/>
      <c r="AB787" s="34"/>
      <c r="AC787" s="34"/>
      <c r="AD787" s="34"/>
      <c r="AE787" s="34"/>
      <c r="AF787" s="34"/>
      <c r="AG787" s="34"/>
      <c r="AH787" s="52"/>
      <c r="AI787" s="52"/>
      <c r="AK787" s="34"/>
      <c r="AL787" s="34"/>
      <c r="AM787" s="34"/>
      <c r="AN787" s="54"/>
      <c r="AO787" s="34"/>
      <c r="AP787" s="34"/>
      <c r="AQ787" s="54"/>
      <c r="AR787" s="54"/>
      <c r="AS787" s="54"/>
      <c r="AT787" s="54"/>
      <c r="AU787" s="34"/>
      <c r="AV787" s="34"/>
      <c r="AW787" s="34"/>
      <c r="AX787" s="34"/>
      <c r="AY787" s="34"/>
      <c r="AZ787" s="44"/>
      <c r="BA787" s="34"/>
      <c r="BB787" s="34"/>
    </row>
    <row r="788" spans="1:54" x14ac:dyDescent="0.35" ht="15.0" customHeight="true">
      <c r="A788" s="51"/>
      <c r="B788" s="34"/>
      <c r="C788" s="34"/>
      <c r="D788" s="34"/>
      <c r="E788" s="34"/>
      <c r="F788" s="34"/>
      <c r="G788" s="44"/>
      <c r="H788" s="34"/>
      <c r="I788" s="54"/>
      <c r="J788" s="34"/>
      <c r="K788" s="54"/>
      <c r="L788" s="34"/>
      <c r="M788" s="44"/>
      <c r="N788" s="44"/>
      <c r="O788" s="34"/>
      <c r="P788" s="34"/>
      <c r="Q788" s="34"/>
      <c r="R788" s="34"/>
      <c r="U788" s="44"/>
      <c r="W788" s="95"/>
      <c r="X788" s="54"/>
      <c r="Y788" s="54"/>
      <c r="Z788" s="34"/>
      <c r="AA788" s="34"/>
      <c r="AB788" s="34"/>
      <c r="AC788" s="34"/>
      <c r="AD788" s="34"/>
      <c r="AE788" s="34"/>
      <c r="AF788" s="34"/>
      <c r="AG788" s="34"/>
      <c r="AH788" s="52"/>
      <c r="AI788" s="52"/>
      <c r="AK788" s="34"/>
      <c r="AL788" s="34"/>
      <c r="AM788" s="34"/>
      <c r="AN788" s="54"/>
      <c r="AO788" s="34"/>
      <c r="AP788" s="34"/>
      <c r="AQ788" s="54"/>
      <c r="AR788" s="54"/>
      <c r="AS788" s="54"/>
      <c r="AT788" s="54"/>
      <c r="AU788" s="34"/>
      <c r="AV788" s="34"/>
      <c r="AW788" s="34"/>
      <c r="AX788" s="34"/>
      <c r="AY788" s="34"/>
      <c r="AZ788" s="44"/>
      <c r="BA788" s="34"/>
      <c r="BB788" s="34"/>
    </row>
    <row r="789" spans="1:54" x14ac:dyDescent="0.35" ht="15.0" customHeight="true">
      <c r="A789" s="51"/>
      <c r="B789" s="34"/>
      <c r="C789" s="34"/>
      <c r="D789" s="34"/>
      <c r="E789" s="34"/>
      <c r="F789" s="34"/>
      <c r="G789" s="44"/>
      <c r="H789" s="34"/>
      <c r="I789" s="54"/>
      <c r="J789" s="34"/>
      <c r="K789" s="54"/>
      <c r="L789" s="34"/>
      <c r="M789" s="44"/>
      <c r="N789" s="44"/>
      <c r="O789" s="34"/>
      <c r="P789" s="34"/>
      <c r="Q789" s="34"/>
      <c r="R789" s="34"/>
      <c r="U789" s="44"/>
      <c r="W789" s="95"/>
      <c r="X789" s="54"/>
      <c r="Y789" s="54"/>
      <c r="Z789" s="34"/>
      <c r="AA789" s="34"/>
      <c r="AB789" s="34"/>
      <c r="AC789" s="34"/>
      <c r="AD789" s="34"/>
      <c r="AE789" s="34"/>
      <c r="AF789" s="34"/>
      <c r="AG789" s="34"/>
      <c r="AH789" s="52"/>
      <c r="AI789" s="52"/>
      <c r="AK789" s="34"/>
      <c r="AL789" s="34"/>
      <c r="AM789" s="34"/>
      <c r="AN789" s="54"/>
      <c r="AO789" s="34"/>
      <c r="AP789" s="34"/>
      <c r="AQ789" s="54"/>
      <c r="AR789" s="54"/>
      <c r="AS789" s="54"/>
      <c r="AT789" s="54"/>
      <c r="AU789" s="34"/>
      <c r="AV789" s="34"/>
      <c r="AW789" s="34"/>
      <c r="AX789" s="34"/>
      <c r="AY789" s="34"/>
      <c r="AZ789" s="44"/>
      <c r="BA789" s="34"/>
      <c r="BB789" s="34"/>
    </row>
    <row r="790" spans="1:54" x14ac:dyDescent="0.35" ht="15.0" customHeight="true">
      <c r="A790" s="51"/>
      <c r="B790" s="34"/>
      <c r="C790" s="34"/>
      <c r="D790" s="34"/>
      <c r="E790" s="34"/>
      <c r="F790" s="34"/>
      <c r="G790" s="44"/>
      <c r="H790" s="34"/>
      <c r="I790" s="54"/>
      <c r="J790" s="34"/>
      <c r="K790" s="54"/>
      <c r="L790" s="34"/>
      <c r="M790" s="44"/>
      <c r="N790" s="44"/>
      <c r="O790" s="34"/>
      <c r="P790" s="34"/>
      <c r="Q790" s="34"/>
      <c r="R790" s="34"/>
      <c r="U790" s="44"/>
      <c r="W790" s="95"/>
      <c r="X790" s="54"/>
      <c r="Y790" s="54"/>
      <c r="Z790" s="34"/>
      <c r="AA790" s="34"/>
      <c r="AB790" s="34"/>
      <c r="AC790" s="34"/>
      <c r="AD790" s="34"/>
      <c r="AE790" s="34"/>
      <c r="AF790" s="34"/>
      <c r="AG790" s="34"/>
      <c r="AH790" s="52"/>
      <c r="AI790" s="52"/>
      <c r="AK790" s="34"/>
      <c r="AL790" s="34"/>
      <c r="AM790" s="34"/>
      <c r="AN790" s="54"/>
      <c r="AO790" s="34"/>
      <c r="AP790" s="34"/>
      <c r="AQ790" s="54"/>
      <c r="AR790" s="54"/>
      <c r="AS790" s="54"/>
      <c r="AT790" s="54"/>
      <c r="AU790" s="34"/>
      <c r="AV790" s="34"/>
      <c r="AW790" s="34"/>
      <c r="AX790" s="34"/>
      <c r="AY790" s="34"/>
      <c r="AZ790" s="44"/>
      <c r="BA790" s="34"/>
      <c r="BB790" s="34"/>
    </row>
    <row r="791" spans="1:54" x14ac:dyDescent="0.35" ht="15.0" customHeight="true">
      <c r="A791" s="51"/>
      <c r="B791" s="34"/>
      <c r="C791" s="34"/>
      <c r="D791" s="34"/>
      <c r="E791" s="34"/>
      <c r="F791" s="34"/>
      <c r="G791" s="44"/>
      <c r="H791" s="34"/>
      <c r="I791" s="54"/>
      <c r="J791" s="34"/>
      <c r="K791" s="54"/>
      <c r="L791" s="34"/>
      <c r="M791" s="44"/>
      <c r="N791" s="44"/>
      <c r="O791" s="34"/>
      <c r="P791" s="34"/>
      <c r="Q791" s="34"/>
      <c r="R791" s="34"/>
      <c r="U791" s="44"/>
      <c r="W791" s="95"/>
      <c r="X791" s="54"/>
      <c r="Y791" s="54"/>
      <c r="Z791" s="34"/>
      <c r="AA791" s="34"/>
      <c r="AB791" s="34"/>
      <c r="AC791" s="34"/>
      <c r="AD791" s="34"/>
      <c r="AE791" s="34"/>
      <c r="AF791" s="34"/>
      <c r="AG791" s="34"/>
      <c r="AH791" s="52"/>
      <c r="AI791" s="52"/>
      <c r="AK791" s="34"/>
      <c r="AL791" s="34"/>
      <c r="AM791" s="34"/>
      <c r="AN791" s="54"/>
      <c r="AO791" s="34"/>
      <c r="AP791" s="34"/>
      <c r="AQ791" s="54"/>
      <c r="AR791" s="54"/>
      <c r="AS791" s="54"/>
      <c r="AT791" s="54"/>
      <c r="AU791" s="34"/>
      <c r="AV791" s="34"/>
      <c r="AW791" s="34"/>
      <c r="AX791" s="34"/>
      <c r="AY791" s="34"/>
      <c r="AZ791" s="44"/>
      <c r="BA791" s="34"/>
      <c r="BB791" s="34"/>
    </row>
    <row r="792" spans="1:54" x14ac:dyDescent="0.35" ht="15.0" customHeight="true">
      <c r="A792" s="51"/>
      <c r="B792" s="34"/>
      <c r="C792" s="34"/>
      <c r="D792" s="34"/>
      <c r="E792" s="34"/>
      <c r="F792" s="34"/>
      <c r="G792" s="44"/>
      <c r="H792" s="34"/>
      <c r="I792" s="54"/>
      <c r="J792" s="34"/>
      <c r="K792" s="54"/>
      <c r="L792" s="34"/>
      <c r="M792" s="44"/>
      <c r="N792" s="44"/>
      <c r="O792" s="34"/>
      <c r="P792" s="34"/>
      <c r="Q792" s="34"/>
      <c r="R792" s="34"/>
      <c r="U792" s="44"/>
      <c r="W792" s="95"/>
      <c r="X792" s="54"/>
      <c r="Y792" s="54"/>
      <c r="Z792" s="34"/>
      <c r="AA792" s="34"/>
      <c r="AB792" s="34"/>
      <c r="AC792" s="34"/>
      <c r="AD792" s="34"/>
      <c r="AE792" s="34"/>
      <c r="AF792" s="34"/>
      <c r="AG792" s="34"/>
      <c r="AH792" s="52"/>
      <c r="AI792" s="52"/>
      <c r="AK792" s="34"/>
      <c r="AL792" s="34"/>
      <c r="AM792" s="34"/>
      <c r="AN792" s="54"/>
      <c r="AO792" s="34"/>
      <c r="AP792" s="34"/>
      <c r="AQ792" s="54"/>
      <c r="AR792" s="54"/>
      <c r="AS792" s="54"/>
      <c r="AT792" s="54"/>
      <c r="AU792" s="34"/>
      <c r="AV792" s="34"/>
      <c r="AW792" s="34"/>
      <c r="AX792" s="34"/>
      <c r="AY792" s="34"/>
      <c r="AZ792" s="44"/>
      <c r="BA792" s="34"/>
      <c r="BB792" s="34"/>
    </row>
    <row r="793" spans="1:54" x14ac:dyDescent="0.35" ht="15.0" customHeight="true">
      <c r="A793" s="51"/>
      <c r="B793" s="34"/>
      <c r="C793" s="34"/>
      <c r="D793" s="34"/>
      <c r="E793" s="34"/>
      <c r="F793" s="34"/>
      <c r="G793" s="44"/>
      <c r="H793" s="34"/>
      <c r="I793" s="54"/>
      <c r="J793" s="34"/>
      <c r="K793" s="54"/>
      <c r="L793" s="34"/>
      <c r="M793" s="44"/>
      <c r="N793" s="44"/>
      <c r="O793" s="34"/>
      <c r="P793" s="34"/>
      <c r="Q793" s="34"/>
      <c r="R793" s="34"/>
      <c r="U793" s="44"/>
      <c r="W793" s="95"/>
      <c r="X793" s="54"/>
      <c r="Y793" s="54"/>
      <c r="Z793" s="34"/>
      <c r="AA793" s="34"/>
      <c r="AB793" s="34"/>
      <c r="AC793" s="34"/>
      <c r="AD793" s="34"/>
      <c r="AE793" s="34"/>
      <c r="AF793" s="34"/>
      <c r="AG793" s="34"/>
      <c r="AH793" s="52"/>
      <c r="AI793" s="52"/>
      <c r="AK793" s="34"/>
      <c r="AL793" s="34"/>
      <c r="AM793" s="34"/>
      <c r="AN793" s="54"/>
      <c r="AO793" s="34"/>
      <c r="AP793" s="34"/>
      <c r="AQ793" s="54"/>
      <c r="AR793" s="54"/>
      <c r="AS793" s="54"/>
      <c r="AT793" s="54"/>
      <c r="AU793" s="34"/>
      <c r="AV793" s="34"/>
      <c r="AW793" s="34"/>
      <c r="AX793" s="34"/>
      <c r="AY793" s="34"/>
      <c r="AZ793" s="44"/>
      <c r="BA793" s="34"/>
      <c r="BB793" s="34"/>
    </row>
    <row r="794" spans="1:54" x14ac:dyDescent="0.35" ht="15.0" customHeight="true">
      <c r="A794" s="51"/>
      <c r="B794" s="34"/>
      <c r="C794" s="34"/>
      <c r="D794" s="34"/>
      <c r="E794" s="34"/>
      <c r="F794" s="34"/>
      <c r="G794" s="44"/>
      <c r="H794" s="34"/>
      <c r="I794" s="54"/>
      <c r="J794" s="34"/>
      <c r="K794" s="54"/>
      <c r="L794" s="34"/>
      <c r="M794" s="44"/>
      <c r="N794" s="44"/>
      <c r="O794" s="34"/>
      <c r="P794" s="34"/>
      <c r="Q794" s="34"/>
      <c r="R794" s="34"/>
      <c r="U794" s="44"/>
      <c r="W794" s="95"/>
      <c r="X794" s="54"/>
      <c r="Y794" s="54"/>
      <c r="Z794" s="34"/>
      <c r="AA794" s="34"/>
      <c r="AB794" s="34"/>
      <c r="AC794" s="34"/>
      <c r="AD794" s="34"/>
      <c r="AE794" s="34"/>
      <c r="AF794" s="34"/>
      <c r="AG794" s="34"/>
      <c r="AH794" s="52"/>
      <c r="AI794" s="52"/>
      <c r="AK794" s="34"/>
      <c r="AL794" s="34"/>
      <c r="AM794" s="34"/>
      <c r="AN794" s="54"/>
      <c r="AO794" s="34"/>
      <c r="AP794" s="34"/>
      <c r="AQ794" s="54"/>
      <c r="AR794" s="54"/>
      <c r="AS794" s="54"/>
      <c r="AT794" s="54"/>
      <c r="AU794" s="34"/>
      <c r="AV794" s="34"/>
      <c r="AW794" s="34"/>
      <c r="AX794" s="34"/>
      <c r="AY794" s="34"/>
      <c r="AZ794" s="44"/>
      <c r="BA794" s="34"/>
      <c r="BB794" s="34"/>
    </row>
    <row r="795" spans="1:54" x14ac:dyDescent="0.35" ht="15.0" customHeight="true">
      <c r="A795" s="51"/>
      <c r="B795" s="34"/>
      <c r="C795" s="34"/>
      <c r="D795" s="34"/>
      <c r="E795" s="34"/>
      <c r="F795" s="34"/>
      <c r="G795" s="44"/>
      <c r="H795" s="34"/>
      <c r="I795" s="54"/>
      <c r="J795" s="34"/>
      <c r="K795" s="54"/>
      <c r="L795" s="34"/>
      <c r="M795" s="44"/>
      <c r="N795" s="44"/>
      <c r="O795" s="34"/>
      <c r="P795" s="34"/>
      <c r="Q795" s="34"/>
      <c r="R795" s="34"/>
      <c r="U795" s="44"/>
      <c r="W795" s="95"/>
      <c r="X795" s="54"/>
      <c r="Y795" s="54"/>
      <c r="Z795" s="34"/>
      <c r="AA795" s="34"/>
      <c r="AB795" s="34"/>
      <c r="AC795" s="34"/>
      <c r="AD795" s="34"/>
      <c r="AE795" s="34"/>
      <c r="AF795" s="34"/>
      <c r="AG795" s="34"/>
      <c r="AH795" s="52"/>
      <c r="AI795" s="52"/>
      <c r="AK795" s="34"/>
      <c r="AL795" s="34"/>
      <c r="AM795" s="34"/>
      <c r="AN795" s="54"/>
      <c r="AO795" s="34"/>
      <c r="AP795" s="34"/>
      <c r="AQ795" s="54"/>
      <c r="AR795" s="54"/>
      <c r="AS795" s="54"/>
      <c r="AT795" s="54"/>
      <c r="AU795" s="34"/>
      <c r="AV795" s="34"/>
      <c r="AW795" s="34"/>
      <c r="AX795" s="34"/>
      <c r="AY795" s="34"/>
      <c r="AZ795" s="44"/>
      <c r="BA795" s="34"/>
      <c r="BB795" s="34"/>
    </row>
    <row r="796" spans="1:54" x14ac:dyDescent="0.35" ht="15.0" customHeight="true">
      <c r="A796" s="51"/>
      <c r="B796" s="34"/>
      <c r="C796" s="34"/>
      <c r="D796" s="34"/>
      <c r="E796" s="34"/>
      <c r="F796" s="34"/>
      <c r="G796" s="44"/>
      <c r="H796" s="34"/>
      <c r="I796" s="54"/>
      <c r="J796" s="34"/>
      <c r="K796" s="54"/>
      <c r="L796" s="34"/>
      <c r="M796" s="44"/>
      <c r="N796" s="44"/>
      <c r="O796" s="34"/>
      <c r="P796" s="34"/>
      <c r="Q796" s="34"/>
      <c r="R796" s="34"/>
      <c r="U796" s="44"/>
      <c r="W796" s="95"/>
      <c r="X796" s="54"/>
      <c r="Y796" s="54"/>
      <c r="Z796" s="34"/>
      <c r="AA796" s="34"/>
      <c r="AB796" s="34"/>
      <c r="AC796" s="34"/>
      <c r="AD796" s="34"/>
      <c r="AE796" s="34"/>
      <c r="AF796" s="34"/>
      <c r="AG796" s="34"/>
      <c r="AH796" s="52"/>
      <c r="AI796" s="52"/>
      <c r="AK796" s="34"/>
      <c r="AL796" s="34"/>
      <c r="AM796" s="34"/>
      <c r="AN796" s="54"/>
      <c r="AO796" s="34"/>
      <c r="AP796" s="34"/>
      <c r="AQ796" s="54"/>
      <c r="AR796" s="54"/>
      <c r="AS796" s="54"/>
      <c r="AT796" s="54"/>
      <c r="AU796" s="34"/>
      <c r="AV796" s="34"/>
      <c r="AW796" s="34"/>
      <c r="AX796" s="34"/>
      <c r="AY796" s="34"/>
      <c r="AZ796" s="44"/>
      <c r="BA796" s="34"/>
      <c r="BB796" s="34"/>
    </row>
    <row r="797" spans="1:54" x14ac:dyDescent="0.35" ht="15.0" customHeight="true">
      <c r="A797" s="51"/>
      <c r="B797" s="34"/>
      <c r="C797" s="34"/>
      <c r="D797" s="34"/>
      <c r="E797" s="34"/>
      <c r="F797" s="34"/>
      <c r="G797" s="44"/>
      <c r="H797" s="34"/>
      <c r="I797" s="54"/>
      <c r="J797" s="34"/>
      <c r="K797" s="54"/>
      <c r="L797" s="34"/>
      <c r="M797" s="44"/>
      <c r="N797" s="44"/>
      <c r="O797" s="34"/>
      <c r="P797" s="34"/>
      <c r="Q797" s="34"/>
      <c r="R797" s="34"/>
      <c r="U797" s="44"/>
      <c r="W797" s="95"/>
      <c r="X797" s="54"/>
      <c r="Y797" s="54"/>
      <c r="Z797" s="34"/>
      <c r="AA797" s="34"/>
      <c r="AB797" s="34"/>
      <c r="AC797" s="34"/>
      <c r="AD797" s="34"/>
      <c r="AE797" s="34"/>
      <c r="AF797" s="34"/>
      <c r="AG797" s="34"/>
      <c r="AH797" s="52"/>
      <c r="AI797" s="52"/>
      <c r="AK797" s="34"/>
      <c r="AL797" s="34"/>
      <c r="AM797" s="34"/>
      <c r="AN797" s="54"/>
      <c r="AO797" s="34"/>
      <c r="AP797" s="34"/>
      <c r="AQ797" s="54"/>
      <c r="AR797" s="54"/>
      <c r="AS797" s="54"/>
      <c r="AT797" s="54"/>
      <c r="AU797" s="34"/>
      <c r="AV797" s="34"/>
      <c r="AW797" s="34"/>
      <c r="AX797" s="34"/>
      <c r="AY797" s="34"/>
      <c r="AZ797" s="44"/>
      <c r="BA797" s="34"/>
      <c r="BB797" s="34"/>
    </row>
    <row r="798" spans="1:54" x14ac:dyDescent="0.35" ht="15.0" customHeight="true">
      <c r="A798" s="51"/>
      <c r="B798" s="34"/>
      <c r="C798" s="34"/>
      <c r="D798" s="34"/>
      <c r="E798" s="34"/>
      <c r="F798" s="34"/>
      <c r="G798" s="44"/>
      <c r="H798" s="34"/>
      <c r="I798" s="54"/>
      <c r="J798" s="34"/>
      <c r="K798" s="54"/>
      <c r="L798" s="34"/>
      <c r="M798" s="44"/>
      <c r="N798" s="44"/>
      <c r="O798" s="34"/>
      <c r="P798" s="34"/>
      <c r="Q798" s="34"/>
      <c r="R798" s="34"/>
      <c r="U798" s="44"/>
      <c r="W798" s="95"/>
      <c r="X798" s="54"/>
      <c r="Y798" s="54"/>
      <c r="Z798" s="34"/>
      <c r="AA798" s="34"/>
      <c r="AB798" s="34"/>
      <c r="AC798" s="34"/>
      <c r="AD798" s="34"/>
      <c r="AE798" s="34"/>
      <c r="AF798" s="34"/>
      <c r="AG798" s="34"/>
      <c r="AH798" s="52"/>
      <c r="AI798" s="52"/>
      <c r="AK798" s="34"/>
      <c r="AL798" s="34"/>
      <c r="AM798" s="34"/>
      <c r="AN798" s="54"/>
      <c r="AO798" s="34"/>
      <c r="AP798" s="34"/>
      <c r="AQ798" s="54"/>
      <c r="AR798" s="54"/>
      <c r="AS798" s="54"/>
      <c r="AT798" s="54"/>
      <c r="AU798" s="34"/>
      <c r="AV798" s="34"/>
      <c r="AW798" s="34"/>
      <c r="AX798" s="34"/>
      <c r="AY798" s="34"/>
      <c r="AZ798" s="44"/>
      <c r="BA798" s="34"/>
      <c r="BB798" s="34"/>
    </row>
    <row r="799" spans="1:54" x14ac:dyDescent="0.35" ht="15.0" customHeight="true">
      <c r="A799" s="51"/>
      <c r="B799" s="34"/>
      <c r="C799" s="34"/>
      <c r="D799" s="34"/>
      <c r="E799" s="34"/>
      <c r="F799" s="34"/>
      <c r="G799" s="44"/>
      <c r="H799" s="34"/>
      <c r="I799" s="54"/>
      <c r="J799" s="34"/>
      <c r="K799" s="54"/>
      <c r="L799" s="34"/>
      <c r="M799" s="44"/>
      <c r="N799" s="44"/>
      <c r="O799" s="34"/>
      <c r="P799" s="34"/>
      <c r="Q799" s="34"/>
      <c r="R799" s="34"/>
      <c r="U799" s="44"/>
      <c r="W799" s="95"/>
      <c r="X799" s="54"/>
      <c r="Y799" s="54"/>
      <c r="Z799" s="34"/>
      <c r="AA799" s="34"/>
      <c r="AB799" s="34"/>
      <c r="AC799" s="34"/>
      <c r="AD799" s="34"/>
      <c r="AE799" s="34"/>
      <c r="AF799" s="34"/>
      <c r="AG799" s="34"/>
      <c r="AH799" s="52"/>
      <c r="AI799" s="52"/>
      <c r="AK799" s="34"/>
      <c r="AL799" s="34"/>
      <c r="AM799" s="34"/>
      <c r="AN799" s="54"/>
      <c r="AO799" s="34"/>
      <c r="AP799" s="34"/>
      <c r="AQ799" s="54"/>
      <c r="AR799" s="54"/>
      <c r="AS799" s="54"/>
      <c r="AT799" s="54"/>
      <c r="AU799" s="34"/>
      <c r="AV799" s="34"/>
      <c r="AW799" s="34"/>
      <c r="AX799" s="34"/>
      <c r="AY799" s="34"/>
      <c r="AZ799" s="44"/>
      <c r="BA799" s="34"/>
      <c r="BB799" s="34"/>
    </row>
    <row r="800" spans="1:54" x14ac:dyDescent="0.35" ht="15.0" customHeight="true">
      <c r="A800" s="51"/>
      <c r="B800" s="34"/>
      <c r="C800" s="34"/>
      <c r="D800" s="34"/>
      <c r="E800" s="34"/>
      <c r="F800" s="34"/>
      <c r="G800" s="44"/>
      <c r="H800" s="34"/>
      <c r="I800" s="54"/>
      <c r="J800" s="34"/>
      <c r="K800" s="54"/>
      <c r="L800" s="34"/>
      <c r="M800" s="44"/>
      <c r="N800" s="44"/>
      <c r="O800" s="34"/>
      <c r="P800" s="34"/>
      <c r="Q800" s="34"/>
      <c r="R800" s="34"/>
      <c r="U800" s="44"/>
      <c r="W800" s="95"/>
      <c r="X800" s="54"/>
      <c r="Y800" s="54"/>
      <c r="Z800" s="34"/>
      <c r="AA800" s="34"/>
      <c r="AB800" s="34"/>
      <c r="AC800" s="34"/>
      <c r="AD800" s="34"/>
      <c r="AE800" s="34"/>
      <c r="AF800" s="34"/>
      <c r="AG800" s="34"/>
      <c r="AH800" s="52"/>
      <c r="AI800" s="52"/>
      <c r="AK800" s="34"/>
      <c r="AL800" s="34"/>
      <c r="AM800" s="34"/>
      <c r="AN800" s="54"/>
      <c r="AO800" s="34"/>
      <c r="AP800" s="34"/>
      <c r="AQ800" s="54"/>
      <c r="AR800" s="54"/>
      <c r="AS800" s="54"/>
      <c r="AT800" s="54"/>
      <c r="AU800" s="34"/>
      <c r="AV800" s="34"/>
      <c r="AW800" s="34"/>
      <c r="AX800" s="34"/>
      <c r="AY800" s="34"/>
      <c r="AZ800" s="44"/>
      <c r="BA800" s="34"/>
      <c r="BB800" s="34"/>
    </row>
    <row r="801" spans="1:54" x14ac:dyDescent="0.35" ht="15.0" customHeight="true">
      <c r="A801" s="51"/>
      <c r="B801" s="34"/>
      <c r="C801" s="34"/>
      <c r="D801" s="34"/>
      <c r="E801" s="34"/>
      <c r="F801" s="34"/>
      <c r="G801" s="44"/>
      <c r="H801" s="34"/>
      <c r="I801" s="54"/>
      <c r="J801" s="34"/>
      <c r="K801" s="54"/>
      <c r="L801" s="34"/>
      <c r="M801" s="44"/>
      <c r="N801" s="44"/>
      <c r="O801" s="34"/>
      <c r="P801" s="34"/>
      <c r="Q801" s="34"/>
      <c r="R801" s="34"/>
      <c r="U801" s="44"/>
      <c r="W801" s="95"/>
      <c r="X801" s="54"/>
      <c r="Y801" s="54"/>
      <c r="Z801" s="34"/>
      <c r="AA801" s="34"/>
      <c r="AB801" s="34"/>
      <c r="AC801" s="34"/>
      <c r="AD801" s="34"/>
      <c r="AE801" s="34"/>
      <c r="AF801" s="34"/>
      <c r="AG801" s="34"/>
      <c r="AH801" s="52"/>
      <c r="AI801" s="52"/>
      <c r="AK801" s="34"/>
      <c r="AL801" s="34"/>
      <c r="AM801" s="34"/>
      <c r="AN801" s="54"/>
      <c r="AO801" s="34"/>
      <c r="AP801" s="34"/>
      <c r="AQ801" s="54"/>
      <c r="AR801" s="54"/>
      <c r="AS801" s="54"/>
      <c r="AT801" s="54"/>
      <c r="AU801" s="34"/>
      <c r="AV801" s="34"/>
      <c r="AW801" s="34"/>
      <c r="AX801" s="34"/>
      <c r="AY801" s="34"/>
      <c r="AZ801" s="44"/>
      <c r="BA801" s="34"/>
      <c r="BB801" s="34"/>
    </row>
    <row r="802" spans="1:54" x14ac:dyDescent="0.35" ht="15.0" customHeight="true">
      <c r="A802" s="51"/>
      <c r="B802" s="34"/>
      <c r="C802" s="34"/>
      <c r="D802" s="34"/>
      <c r="E802" s="34"/>
      <c r="F802" s="34"/>
      <c r="G802" s="44"/>
      <c r="H802" s="34"/>
      <c r="I802" s="54"/>
      <c r="J802" s="34"/>
      <c r="K802" s="54"/>
      <c r="L802" s="34"/>
      <c r="M802" s="44"/>
      <c r="N802" s="44"/>
      <c r="O802" s="34"/>
      <c r="P802" s="34"/>
      <c r="Q802" s="34"/>
      <c r="R802" s="34"/>
      <c r="U802" s="44"/>
      <c r="W802" s="95"/>
      <c r="X802" s="54"/>
      <c r="Y802" s="54"/>
      <c r="Z802" s="34"/>
      <c r="AA802" s="34"/>
      <c r="AB802" s="34"/>
      <c r="AC802" s="34"/>
      <c r="AD802" s="34"/>
      <c r="AE802" s="34"/>
      <c r="AF802" s="34"/>
      <c r="AG802" s="34"/>
      <c r="AH802" s="52"/>
      <c r="AI802" s="52"/>
      <c r="AK802" s="34"/>
      <c r="AL802" s="34"/>
      <c r="AM802" s="34"/>
      <c r="AN802" s="54"/>
      <c r="AO802" s="34"/>
      <c r="AP802" s="34"/>
      <c r="AQ802" s="54"/>
      <c r="AR802" s="54"/>
      <c r="AS802" s="54"/>
      <c r="AT802" s="54"/>
      <c r="AU802" s="34"/>
      <c r="AV802" s="34"/>
      <c r="AW802" s="34"/>
      <c r="AX802" s="34"/>
      <c r="AY802" s="34"/>
      <c r="AZ802" s="44"/>
      <c r="BA802" s="34"/>
      <c r="BB802" s="34"/>
    </row>
    <row r="803" spans="1:54" x14ac:dyDescent="0.35" ht="15.0" customHeight="true">
      <c r="A803" s="51"/>
      <c r="B803" s="34"/>
      <c r="C803" s="34"/>
      <c r="D803" s="34"/>
      <c r="E803" s="34"/>
      <c r="F803" s="34"/>
      <c r="G803" s="44"/>
      <c r="H803" s="34"/>
      <c r="I803" s="54"/>
      <c r="J803" s="34"/>
      <c r="K803" s="54"/>
      <c r="L803" s="34"/>
      <c r="M803" s="44"/>
      <c r="N803" s="44"/>
      <c r="O803" s="34"/>
      <c r="P803" s="34"/>
      <c r="Q803" s="34"/>
      <c r="R803" s="34"/>
      <c r="U803" s="44"/>
      <c r="W803" s="95"/>
      <c r="X803" s="54"/>
      <c r="Y803" s="54"/>
      <c r="Z803" s="34"/>
      <c r="AA803" s="34"/>
      <c r="AB803" s="34"/>
      <c r="AC803" s="34"/>
      <c r="AD803" s="34"/>
      <c r="AE803" s="34"/>
      <c r="AF803" s="34"/>
      <c r="AG803" s="34"/>
      <c r="AH803" s="52"/>
      <c r="AI803" s="52"/>
      <c r="AK803" s="34"/>
      <c r="AL803" s="34"/>
      <c r="AM803" s="34"/>
      <c r="AN803" s="54"/>
      <c r="AO803" s="34"/>
      <c r="AP803" s="34"/>
      <c r="AQ803" s="54"/>
      <c r="AR803" s="54"/>
      <c r="AS803" s="54"/>
      <c r="AT803" s="54"/>
      <c r="AU803" s="34"/>
      <c r="AV803" s="34"/>
      <c r="AW803" s="34"/>
      <c r="AX803" s="34"/>
      <c r="AY803" s="34"/>
      <c r="AZ803" s="44"/>
      <c r="BA803" s="34"/>
      <c r="BB803" s="34"/>
    </row>
    <row r="804" spans="1:54" x14ac:dyDescent="0.35" ht="15.0" customHeight="true">
      <c r="A804" s="51"/>
      <c r="B804" s="34"/>
      <c r="C804" s="34"/>
      <c r="D804" s="34"/>
      <c r="E804" s="34"/>
      <c r="F804" s="34"/>
      <c r="G804" s="44"/>
      <c r="H804" s="34"/>
      <c r="I804" s="54"/>
      <c r="J804" s="34"/>
      <c r="K804" s="54"/>
      <c r="L804" s="34"/>
      <c r="M804" s="44"/>
      <c r="N804" s="44"/>
      <c r="O804" s="34"/>
      <c r="P804" s="34"/>
      <c r="Q804" s="34"/>
      <c r="R804" s="34"/>
      <c r="U804" s="44"/>
      <c r="W804" s="95"/>
      <c r="X804" s="54"/>
      <c r="Y804" s="54"/>
      <c r="Z804" s="34"/>
      <c r="AA804" s="34"/>
      <c r="AB804" s="34"/>
      <c r="AC804" s="34"/>
      <c r="AD804" s="34"/>
      <c r="AE804" s="34"/>
      <c r="AF804" s="34"/>
      <c r="AG804" s="34"/>
      <c r="AH804" s="52"/>
      <c r="AI804" s="52"/>
      <c r="AK804" s="34"/>
      <c r="AL804" s="34"/>
      <c r="AM804" s="34"/>
      <c r="AN804" s="54"/>
      <c r="AO804" s="34"/>
      <c r="AP804" s="34"/>
      <c r="AQ804" s="54"/>
      <c r="AR804" s="54"/>
      <c r="AS804" s="54"/>
      <c r="AT804" s="54"/>
      <c r="AU804" s="34"/>
      <c r="AV804" s="34"/>
      <c r="AW804" s="34"/>
      <c r="AX804" s="34"/>
      <c r="AY804" s="34"/>
      <c r="AZ804" s="44"/>
      <c r="BA804" s="34"/>
      <c r="BB804" s="34"/>
    </row>
    <row r="805" spans="1:54" x14ac:dyDescent="0.35" ht="15.0" customHeight="true">
      <c r="A805" s="51"/>
      <c r="B805" s="34"/>
      <c r="C805" s="34"/>
      <c r="D805" s="34"/>
      <c r="E805" s="34"/>
      <c r="F805" s="34"/>
      <c r="G805" s="44"/>
      <c r="H805" s="34"/>
      <c r="I805" s="54"/>
      <c r="J805" s="34"/>
      <c r="K805" s="54"/>
      <c r="L805" s="34"/>
      <c r="M805" s="44"/>
      <c r="N805" s="44"/>
      <c r="O805" s="34"/>
      <c r="P805" s="34"/>
      <c r="Q805" s="34"/>
      <c r="R805" s="34"/>
      <c r="U805" s="44"/>
      <c r="W805" s="95"/>
      <c r="X805" s="54"/>
      <c r="Y805" s="54"/>
      <c r="Z805" s="34"/>
      <c r="AA805" s="34"/>
      <c r="AB805" s="34"/>
      <c r="AC805" s="34"/>
      <c r="AD805" s="34"/>
      <c r="AE805" s="34"/>
      <c r="AF805" s="34"/>
      <c r="AG805" s="34"/>
      <c r="AH805" s="52"/>
      <c r="AI805" s="52"/>
      <c r="AK805" s="34"/>
      <c r="AL805" s="34"/>
      <c r="AM805" s="34"/>
      <c r="AN805" s="54"/>
      <c r="AO805" s="34"/>
      <c r="AP805" s="34"/>
      <c r="AQ805" s="54"/>
      <c r="AR805" s="54"/>
      <c r="AS805" s="54"/>
      <c r="AT805" s="54"/>
      <c r="AU805" s="34"/>
      <c r="AV805" s="34"/>
      <c r="AW805" s="34"/>
      <c r="AX805" s="34"/>
      <c r="AY805" s="34"/>
      <c r="AZ805" s="44"/>
      <c r="BA805" s="34"/>
      <c r="BB805" s="34"/>
    </row>
    <row r="806" spans="1:54" x14ac:dyDescent="0.35" ht="15.0" customHeight="true">
      <c r="A806" s="51"/>
      <c r="B806" s="34"/>
      <c r="C806" s="34"/>
      <c r="D806" s="34"/>
      <c r="E806" s="34"/>
      <c r="F806" s="34"/>
      <c r="G806" s="44"/>
      <c r="H806" s="34"/>
      <c r="I806" s="54"/>
      <c r="J806" s="34"/>
      <c r="K806" s="54"/>
      <c r="L806" s="34"/>
      <c r="M806" s="44"/>
      <c r="N806" s="44"/>
      <c r="O806" s="34"/>
      <c r="P806" s="34"/>
      <c r="Q806" s="34"/>
      <c r="R806" s="34"/>
      <c r="U806" s="44"/>
      <c r="W806" s="95"/>
      <c r="X806" s="54"/>
      <c r="Y806" s="54"/>
      <c r="Z806" s="34"/>
      <c r="AA806" s="34"/>
      <c r="AB806" s="34"/>
      <c r="AC806" s="34"/>
      <c r="AD806" s="34"/>
      <c r="AE806" s="34"/>
      <c r="AF806" s="34"/>
      <c r="AG806" s="34"/>
      <c r="AH806" s="52"/>
      <c r="AI806" s="52"/>
      <c r="AK806" s="34"/>
      <c r="AL806" s="34"/>
      <c r="AM806" s="34"/>
      <c r="AN806" s="54"/>
      <c r="AO806" s="34"/>
      <c r="AP806" s="34"/>
      <c r="AQ806" s="54"/>
      <c r="AR806" s="54"/>
      <c r="AS806" s="54"/>
      <c r="AT806" s="54"/>
      <c r="AU806" s="34"/>
      <c r="AV806" s="34"/>
      <c r="AW806" s="34"/>
      <c r="AX806" s="34"/>
      <c r="AY806" s="34"/>
      <c r="AZ806" s="44"/>
      <c r="BA806" s="34"/>
      <c r="BB806" s="34"/>
    </row>
    <row r="807" spans="1:54" x14ac:dyDescent="0.35" ht="15.0" customHeight="true">
      <c r="A807" s="51"/>
      <c r="B807" s="34"/>
      <c r="C807" s="34"/>
      <c r="D807" s="34"/>
      <c r="E807" s="34"/>
      <c r="F807" s="34"/>
      <c r="G807" s="44"/>
      <c r="H807" s="34"/>
      <c r="I807" s="54"/>
      <c r="J807" s="34"/>
      <c r="K807" s="54"/>
      <c r="L807" s="34"/>
      <c r="M807" s="44"/>
      <c r="N807" s="44"/>
      <c r="O807" s="34"/>
      <c r="P807" s="34"/>
      <c r="Q807" s="34"/>
      <c r="R807" s="34"/>
      <c r="U807" s="44"/>
      <c r="W807" s="95"/>
      <c r="X807" s="54"/>
      <c r="Y807" s="54"/>
      <c r="Z807" s="34"/>
      <c r="AA807" s="34"/>
      <c r="AB807" s="34"/>
      <c r="AC807" s="34"/>
      <c r="AD807" s="34"/>
      <c r="AE807" s="34"/>
      <c r="AF807" s="34"/>
      <c r="AG807" s="34"/>
      <c r="AH807" s="52"/>
      <c r="AI807" s="52"/>
      <c r="AK807" s="34"/>
      <c r="AL807" s="34"/>
      <c r="AM807" s="34"/>
      <c r="AN807" s="54"/>
      <c r="AO807" s="34"/>
      <c r="AP807" s="34"/>
      <c r="AQ807" s="54"/>
      <c r="AR807" s="54"/>
      <c r="AS807" s="54"/>
      <c r="AT807" s="54"/>
      <c r="AU807" s="34"/>
      <c r="AV807" s="34"/>
      <c r="AW807" s="34"/>
      <c r="AX807" s="34"/>
      <c r="AY807" s="34"/>
      <c r="AZ807" s="44"/>
      <c r="BA807" s="34"/>
      <c r="BB807" s="34"/>
    </row>
    <row r="808" spans="1:54" x14ac:dyDescent="0.35" ht="15.0" customHeight="true">
      <c r="A808" s="51"/>
      <c r="B808" s="34"/>
      <c r="C808" s="34"/>
      <c r="D808" s="34"/>
      <c r="E808" s="34"/>
      <c r="F808" s="34"/>
      <c r="G808" s="44"/>
      <c r="H808" s="34"/>
      <c r="I808" s="54"/>
      <c r="J808" s="34"/>
      <c r="K808" s="54"/>
      <c r="L808" s="34"/>
      <c r="M808" s="44"/>
      <c r="N808" s="44"/>
      <c r="O808" s="34"/>
      <c r="P808" s="34"/>
      <c r="Q808" s="34"/>
      <c r="R808" s="34"/>
      <c r="U808" s="44"/>
      <c r="W808" s="95"/>
      <c r="X808" s="54"/>
      <c r="Y808" s="54"/>
      <c r="Z808" s="34"/>
      <c r="AA808" s="34"/>
      <c r="AB808" s="34"/>
      <c r="AC808" s="34"/>
      <c r="AD808" s="34"/>
      <c r="AE808" s="34"/>
      <c r="AF808" s="34"/>
      <c r="AG808" s="34"/>
      <c r="AH808" s="52"/>
      <c r="AI808" s="52"/>
      <c r="AK808" s="34"/>
      <c r="AL808" s="34"/>
      <c r="AM808" s="34"/>
      <c r="AN808" s="54"/>
      <c r="AO808" s="34"/>
      <c r="AP808" s="34"/>
      <c r="AQ808" s="54"/>
      <c r="AR808" s="54"/>
      <c r="AS808" s="54"/>
      <c r="AT808" s="54"/>
      <c r="AU808" s="34"/>
      <c r="AV808" s="34"/>
      <c r="AW808" s="34"/>
      <c r="AX808" s="34"/>
      <c r="AY808" s="34"/>
      <c r="AZ808" s="44"/>
      <c r="BA808" s="34"/>
      <c r="BB808" s="34"/>
    </row>
    <row r="809" spans="1:54" x14ac:dyDescent="0.35" ht="15.0" customHeight="true">
      <c r="A809" s="51"/>
      <c r="B809" s="34"/>
      <c r="C809" s="34"/>
      <c r="D809" s="34"/>
      <c r="E809" s="34"/>
      <c r="F809" s="34"/>
      <c r="G809" s="44"/>
      <c r="H809" s="34"/>
      <c r="I809" s="54"/>
      <c r="J809" s="34"/>
      <c r="K809" s="54"/>
      <c r="L809" s="34"/>
      <c r="M809" s="44"/>
      <c r="N809" s="44"/>
      <c r="O809" s="34"/>
      <c r="P809" s="34"/>
      <c r="Q809" s="34"/>
      <c r="R809" s="34"/>
      <c r="U809" s="44"/>
      <c r="W809" s="95"/>
      <c r="X809" s="54"/>
      <c r="Y809" s="54"/>
      <c r="Z809" s="34"/>
      <c r="AA809" s="34"/>
      <c r="AB809" s="34"/>
      <c r="AC809" s="34"/>
      <c r="AD809" s="34"/>
      <c r="AE809" s="34"/>
      <c r="AF809" s="34"/>
      <c r="AG809" s="34"/>
      <c r="AH809" s="52"/>
      <c r="AI809" s="52"/>
      <c r="AK809" s="34"/>
      <c r="AL809" s="34"/>
      <c r="AM809" s="34"/>
      <c r="AN809" s="54"/>
      <c r="AO809" s="34"/>
      <c r="AP809" s="34"/>
      <c r="AQ809" s="54"/>
      <c r="AR809" s="54"/>
      <c r="AS809" s="54"/>
      <c r="AT809" s="54"/>
      <c r="AU809" s="34"/>
      <c r="AV809" s="34"/>
      <c r="AW809" s="34"/>
      <c r="AX809" s="34"/>
      <c r="AY809" s="34"/>
      <c r="AZ809" s="44"/>
      <c r="BA809" s="34"/>
      <c r="BB809" s="34"/>
    </row>
    <row r="810" spans="1:54" x14ac:dyDescent="0.35" ht="15.0" customHeight="true">
      <c r="A810" s="51"/>
      <c r="B810" s="34"/>
      <c r="C810" s="34"/>
      <c r="D810" s="34"/>
      <c r="E810" s="34"/>
      <c r="F810" s="34"/>
      <c r="G810" s="44"/>
      <c r="H810" s="34"/>
      <c r="I810" s="54"/>
      <c r="J810" s="34"/>
      <c r="K810" s="54"/>
      <c r="L810" s="34"/>
      <c r="M810" s="44"/>
      <c r="N810" s="44"/>
      <c r="O810" s="34"/>
      <c r="P810" s="34"/>
      <c r="Q810" s="34"/>
      <c r="R810" s="34"/>
      <c r="U810" s="44"/>
      <c r="W810" s="95"/>
      <c r="X810" s="54"/>
      <c r="Y810" s="54"/>
      <c r="Z810" s="34"/>
      <c r="AA810" s="34"/>
      <c r="AB810" s="34"/>
      <c r="AC810" s="34"/>
      <c r="AD810" s="34"/>
      <c r="AE810" s="34"/>
      <c r="AF810" s="34"/>
      <c r="AG810" s="34"/>
      <c r="AH810" s="52"/>
      <c r="AI810" s="52"/>
      <c r="AK810" s="34"/>
      <c r="AL810" s="34"/>
      <c r="AM810" s="34"/>
      <c r="AN810" s="54"/>
      <c r="AO810" s="34"/>
      <c r="AP810" s="34"/>
      <c r="AQ810" s="54"/>
      <c r="AR810" s="54"/>
      <c r="AS810" s="54"/>
      <c r="AT810" s="54"/>
      <c r="AU810" s="34"/>
      <c r="AV810" s="34"/>
      <c r="AW810" s="34"/>
      <c r="AX810" s="34"/>
      <c r="AY810" s="34"/>
      <c r="AZ810" s="44"/>
      <c r="BA810" s="34"/>
      <c r="BB810" s="34"/>
    </row>
    <row r="811" spans="1:54" x14ac:dyDescent="0.35" ht="15.0" customHeight="true">
      <c r="A811" s="51"/>
      <c r="B811" s="34"/>
      <c r="C811" s="34"/>
      <c r="D811" s="34"/>
      <c r="E811" s="34"/>
      <c r="F811" s="34"/>
      <c r="G811" s="44"/>
      <c r="H811" s="34"/>
      <c r="I811" s="54"/>
      <c r="J811" s="34"/>
      <c r="K811" s="54"/>
      <c r="L811" s="34"/>
      <c r="M811" s="44"/>
      <c r="N811" s="44"/>
      <c r="O811" s="34"/>
      <c r="P811" s="34"/>
      <c r="Q811" s="34"/>
      <c r="R811" s="34"/>
      <c r="U811" s="44"/>
      <c r="W811" s="95"/>
      <c r="X811" s="54"/>
      <c r="Y811" s="54"/>
      <c r="Z811" s="34"/>
      <c r="AA811" s="34"/>
      <c r="AB811" s="34"/>
      <c r="AC811" s="34"/>
      <c r="AD811" s="34"/>
      <c r="AE811" s="34"/>
      <c r="AF811" s="34"/>
      <c r="AG811" s="34"/>
      <c r="AH811" s="52"/>
      <c r="AI811" s="52"/>
      <c r="AK811" s="34"/>
      <c r="AL811" s="34"/>
      <c r="AM811" s="34"/>
      <c r="AN811" s="54"/>
      <c r="AO811" s="34"/>
      <c r="AP811" s="34"/>
      <c r="AQ811" s="54"/>
      <c r="AR811" s="54"/>
      <c r="AS811" s="54"/>
      <c r="AT811" s="54"/>
      <c r="AU811" s="34"/>
      <c r="AV811" s="34"/>
      <c r="AW811" s="34"/>
      <c r="AX811" s="34"/>
      <c r="AY811" s="34"/>
      <c r="AZ811" s="44"/>
      <c r="BA811" s="34"/>
      <c r="BB811" s="34"/>
    </row>
    <row r="812" spans="1:54" x14ac:dyDescent="0.35" ht="15.0" customHeight="true">
      <c r="A812" s="51"/>
      <c r="B812" s="34"/>
      <c r="C812" s="34"/>
      <c r="D812" s="34"/>
      <c r="E812" s="34"/>
      <c r="F812" s="34"/>
      <c r="G812" s="44"/>
      <c r="H812" s="34"/>
      <c r="I812" s="54"/>
      <c r="J812" s="34"/>
      <c r="K812" s="54"/>
      <c r="L812" s="34"/>
      <c r="M812" s="44"/>
      <c r="N812" s="44"/>
      <c r="O812" s="34"/>
      <c r="P812" s="34"/>
      <c r="Q812" s="34"/>
      <c r="R812" s="34"/>
      <c r="U812" s="44"/>
      <c r="W812" s="95"/>
      <c r="X812" s="54"/>
      <c r="Y812" s="54"/>
      <c r="Z812" s="34"/>
      <c r="AA812" s="34"/>
      <c r="AB812" s="34"/>
      <c r="AC812" s="34"/>
      <c r="AD812" s="34"/>
      <c r="AE812" s="34"/>
      <c r="AF812" s="34"/>
      <c r="AG812" s="34"/>
      <c r="AH812" s="52"/>
      <c r="AI812" s="52"/>
      <c r="AK812" s="34"/>
      <c r="AL812" s="34"/>
      <c r="AM812" s="34"/>
      <c r="AN812" s="54"/>
      <c r="AO812" s="34"/>
      <c r="AP812" s="34"/>
      <c r="AQ812" s="54"/>
      <c r="AR812" s="54"/>
      <c r="AS812" s="54"/>
      <c r="AT812" s="54"/>
      <c r="AU812" s="34"/>
      <c r="AV812" s="34"/>
      <c r="AW812" s="34"/>
      <c r="AX812" s="34"/>
      <c r="AY812" s="34"/>
      <c r="AZ812" s="44"/>
      <c r="BA812" s="34"/>
      <c r="BB812" s="34"/>
    </row>
    <row r="813" spans="1:54" x14ac:dyDescent="0.35" ht="15.0" customHeight="true">
      <c r="A813" s="51"/>
      <c r="B813" s="34"/>
      <c r="C813" s="34"/>
      <c r="D813" s="34"/>
      <c r="E813" s="34"/>
      <c r="F813" s="34"/>
      <c r="G813" s="44"/>
      <c r="H813" s="34"/>
      <c r="I813" s="54"/>
      <c r="J813" s="34"/>
      <c r="K813" s="54"/>
      <c r="L813" s="34"/>
      <c r="M813" s="44"/>
      <c r="N813" s="44"/>
      <c r="O813" s="34"/>
      <c r="P813" s="34"/>
      <c r="Q813" s="34"/>
      <c r="R813" s="34"/>
      <c r="U813" s="44"/>
      <c r="W813" s="95"/>
      <c r="X813" s="54"/>
      <c r="Y813" s="54"/>
      <c r="Z813" s="34"/>
      <c r="AA813" s="34"/>
      <c r="AB813" s="34"/>
      <c r="AC813" s="34"/>
      <c r="AD813" s="34"/>
      <c r="AE813" s="34"/>
      <c r="AF813" s="34"/>
      <c r="AG813" s="34"/>
      <c r="AH813" s="52"/>
      <c r="AI813" s="52"/>
      <c r="AK813" s="34"/>
      <c r="AL813" s="34"/>
      <c r="AM813" s="34"/>
      <c r="AN813" s="54"/>
      <c r="AO813" s="34"/>
      <c r="AP813" s="34"/>
      <c r="AQ813" s="54"/>
      <c r="AR813" s="54"/>
      <c r="AS813" s="54"/>
      <c r="AT813" s="54"/>
      <c r="AU813" s="34"/>
      <c r="AV813" s="34"/>
      <c r="AW813" s="34"/>
      <c r="AX813" s="34"/>
      <c r="AY813" s="34"/>
      <c r="AZ813" s="44"/>
      <c r="BA813" s="34"/>
      <c r="BB813" s="34"/>
    </row>
    <row r="814" spans="1:54" x14ac:dyDescent="0.35" ht="15.0" customHeight="true">
      <c r="A814" s="51"/>
      <c r="B814" s="34"/>
      <c r="C814" s="34"/>
      <c r="D814" s="34"/>
      <c r="E814" s="34"/>
      <c r="F814" s="34"/>
      <c r="G814" s="44"/>
      <c r="H814" s="34"/>
      <c r="I814" s="54"/>
      <c r="J814" s="34"/>
      <c r="K814" s="54"/>
      <c r="L814" s="34"/>
      <c r="M814" s="44"/>
      <c r="N814" s="44"/>
      <c r="O814" s="34"/>
      <c r="P814" s="34"/>
      <c r="Q814" s="34"/>
      <c r="R814" s="34"/>
      <c r="U814" s="44"/>
      <c r="W814" s="95"/>
      <c r="X814" s="54"/>
      <c r="Y814" s="54"/>
      <c r="Z814" s="34"/>
      <c r="AA814" s="34"/>
      <c r="AB814" s="34"/>
      <c r="AC814" s="34"/>
      <c r="AD814" s="34"/>
      <c r="AE814" s="34"/>
      <c r="AF814" s="34"/>
      <c r="AG814" s="34"/>
      <c r="AH814" s="52"/>
      <c r="AI814" s="52"/>
      <c r="AK814" s="34"/>
      <c r="AL814" s="34"/>
      <c r="AM814" s="34"/>
      <c r="AN814" s="54"/>
      <c r="AO814" s="34"/>
      <c r="AP814" s="34"/>
      <c r="AQ814" s="54"/>
      <c r="AR814" s="54"/>
      <c r="AS814" s="54"/>
      <c r="AT814" s="54"/>
      <c r="AU814" s="34"/>
      <c r="AV814" s="34"/>
      <c r="AW814" s="34"/>
      <c r="AX814" s="34"/>
      <c r="AY814" s="34"/>
      <c r="AZ814" s="44"/>
      <c r="BA814" s="34"/>
      <c r="BB814" s="34"/>
    </row>
    <row r="815" spans="1:54" x14ac:dyDescent="0.35" ht="15.0" customHeight="true">
      <c r="A815" s="51"/>
      <c r="B815" s="34"/>
      <c r="C815" s="34"/>
      <c r="D815" s="34"/>
      <c r="E815" s="34"/>
      <c r="F815" s="34"/>
      <c r="G815" s="44"/>
      <c r="H815" s="34"/>
      <c r="I815" s="54"/>
      <c r="J815" s="34"/>
      <c r="K815" s="54"/>
      <c r="L815" s="34"/>
      <c r="M815" s="44"/>
      <c r="N815" s="44"/>
      <c r="O815" s="34"/>
      <c r="P815" s="34"/>
      <c r="Q815" s="34"/>
      <c r="R815" s="34"/>
      <c r="U815" s="44"/>
      <c r="W815" s="95"/>
      <c r="X815" s="54"/>
      <c r="Y815" s="54"/>
      <c r="Z815" s="34"/>
      <c r="AA815" s="34"/>
      <c r="AB815" s="34"/>
      <c r="AC815" s="34"/>
      <c r="AD815" s="34"/>
      <c r="AE815" s="34"/>
      <c r="AF815" s="34"/>
      <c r="AG815" s="34"/>
      <c r="AH815" s="52"/>
      <c r="AI815" s="52"/>
      <c r="AK815" s="34"/>
      <c r="AL815" s="34"/>
      <c r="AM815" s="34"/>
      <c r="AN815" s="54"/>
      <c r="AO815" s="34"/>
      <c r="AP815" s="34"/>
      <c r="AQ815" s="54"/>
      <c r="AR815" s="54"/>
      <c r="AS815" s="54"/>
      <c r="AT815" s="54"/>
      <c r="AU815" s="34"/>
      <c r="AV815" s="34"/>
      <c r="AW815" s="34"/>
      <c r="AX815" s="34"/>
      <c r="AY815" s="34"/>
      <c r="AZ815" s="44"/>
      <c r="BA815" s="34"/>
      <c r="BB815" s="34"/>
    </row>
    <row r="816" spans="1:54" x14ac:dyDescent="0.35" ht="15.0" customHeight="true">
      <c r="A816" s="51"/>
      <c r="B816" s="34"/>
      <c r="C816" s="34"/>
      <c r="D816" s="34"/>
      <c r="E816" s="34"/>
      <c r="F816" s="34"/>
      <c r="G816" s="44"/>
      <c r="H816" s="34"/>
      <c r="I816" s="54"/>
      <c r="J816" s="34"/>
      <c r="K816" s="54"/>
      <c r="L816" s="34"/>
      <c r="M816" s="44"/>
      <c r="N816" s="44"/>
      <c r="O816" s="34"/>
      <c r="P816" s="34"/>
      <c r="Q816" s="34"/>
      <c r="R816" s="34"/>
      <c r="U816" s="44"/>
      <c r="W816" s="95"/>
      <c r="X816" s="54"/>
      <c r="Y816" s="54"/>
      <c r="Z816" s="34"/>
      <c r="AA816" s="34"/>
      <c r="AB816" s="34"/>
      <c r="AC816" s="34"/>
      <c r="AD816" s="34"/>
      <c r="AE816" s="34"/>
      <c r="AF816" s="34"/>
      <c r="AG816" s="34"/>
      <c r="AH816" s="52"/>
      <c r="AI816" s="52"/>
      <c r="AK816" s="34"/>
      <c r="AL816" s="34"/>
      <c r="AM816" s="34"/>
      <c r="AN816" s="54"/>
      <c r="AO816" s="34"/>
      <c r="AP816" s="34"/>
      <c r="AQ816" s="54"/>
      <c r="AR816" s="54"/>
      <c r="AS816" s="54"/>
      <c r="AT816" s="54"/>
      <c r="AU816" s="34"/>
      <c r="AV816" s="34"/>
      <c r="AW816" s="34"/>
      <c r="AX816" s="34"/>
      <c r="AY816" s="34"/>
      <c r="AZ816" s="44"/>
      <c r="BA816" s="34"/>
      <c r="BB816" s="34"/>
    </row>
    <row r="817" spans="1:54" x14ac:dyDescent="0.35" ht="15.0" customHeight="true">
      <c r="A817" s="51"/>
      <c r="B817" s="34"/>
      <c r="C817" s="34"/>
      <c r="D817" s="34"/>
      <c r="E817" s="34"/>
      <c r="F817" s="34"/>
      <c r="G817" s="44"/>
      <c r="H817" s="34"/>
      <c r="I817" s="54"/>
      <c r="J817" s="34"/>
      <c r="K817" s="54"/>
      <c r="L817" s="34"/>
      <c r="M817" s="44"/>
      <c r="N817" s="44"/>
      <c r="O817" s="34"/>
      <c r="P817" s="34"/>
      <c r="Q817" s="34"/>
      <c r="R817" s="34"/>
      <c r="U817" s="44"/>
      <c r="W817" s="95"/>
      <c r="X817" s="54"/>
      <c r="Y817" s="54"/>
      <c r="Z817" s="34"/>
      <c r="AA817" s="34"/>
      <c r="AB817" s="34"/>
      <c r="AC817" s="34"/>
      <c r="AD817" s="34"/>
      <c r="AE817" s="34"/>
      <c r="AF817" s="34"/>
      <c r="AG817" s="34"/>
      <c r="AH817" s="52"/>
      <c r="AI817" s="52"/>
      <c r="AK817" s="34"/>
      <c r="AL817" s="34"/>
      <c r="AM817" s="34"/>
      <c r="AN817" s="54"/>
      <c r="AO817" s="34"/>
      <c r="AP817" s="34"/>
      <c r="AQ817" s="54"/>
      <c r="AR817" s="54"/>
      <c r="AS817" s="54"/>
      <c r="AT817" s="54"/>
      <c r="AU817" s="34"/>
      <c r="AV817" s="34"/>
      <c r="AW817" s="34"/>
      <c r="AX817" s="34"/>
      <c r="AY817" s="34"/>
      <c r="AZ817" s="44"/>
      <c r="BA817" s="34"/>
      <c r="BB817" s="34"/>
    </row>
    <row r="818" spans="1:54" x14ac:dyDescent="0.35" ht="15.0" customHeight="true">
      <c r="A818" s="51"/>
      <c r="B818" s="34"/>
      <c r="C818" s="34"/>
      <c r="D818" s="34"/>
      <c r="E818" s="34"/>
      <c r="F818" s="34"/>
      <c r="G818" s="44"/>
      <c r="H818" s="34"/>
      <c r="I818" s="54"/>
      <c r="J818" s="34"/>
      <c r="K818" s="54"/>
      <c r="L818" s="34"/>
      <c r="M818" s="44"/>
      <c r="N818" s="44"/>
      <c r="O818" s="34"/>
      <c r="P818" s="34"/>
      <c r="Q818" s="34"/>
      <c r="R818" s="34"/>
      <c r="U818" s="44"/>
      <c r="W818" s="95"/>
      <c r="X818" s="54"/>
      <c r="Y818" s="54"/>
      <c r="Z818" s="34"/>
      <c r="AA818" s="34"/>
      <c r="AB818" s="34"/>
      <c r="AC818" s="34"/>
      <c r="AD818" s="34"/>
      <c r="AE818" s="34"/>
      <c r="AF818" s="34"/>
      <c r="AG818" s="34"/>
      <c r="AH818" s="52"/>
      <c r="AI818" s="52"/>
      <c r="AK818" s="34"/>
      <c r="AL818" s="34"/>
      <c r="AM818" s="34"/>
      <c r="AN818" s="54"/>
      <c r="AO818" s="34"/>
      <c r="AP818" s="34"/>
      <c r="AQ818" s="54"/>
      <c r="AR818" s="54"/>
      <c r="AS818" s="54"/>
      <c r="AT818" s="54"/>
      <c r="AU818" s="34"/>
      <c r="AV818" s="34"/>
      <c r="AW818" s="34"/>
      <c r="AX818" s="34"/>
      <c r="AY818" s="34"/>
      <c r="AZ818" s="44"/>
      <c r="BA818" s="34"/>
      <c r="BB818" s="34"/>
    </row>
    <row r="819" spans="1:54" x14ac:dyDescent="0.35" ht="15.0" customHeight="true">
      <c r="A819" s="51"/>
      <c r="B819" s="34"/>
      <c r="C819" s="34"/>
      <c r="D819" s="34"/>
      <c r="E819" s="34"/>
      <c r="F819" s="34"/>
      <c r="G819" s="44"/>
      <c r="H819" s="34"/>
      <c r="I819" s="54"/>
      <c r="J819" s="34"/>
      <c r="K819" s="54"/>
      <c r="L819" s="34"/>
      <c r="M819" s="44"/>
      <c r="N819" s="44"/>
      <c r="O819" s="34"/>
      <c r="P819" s="34"/>
      <c r="Q819" s="34"/>
      <c r="R819" s="34"/>
      <c r="U819" s="44"/>
      <c r="W819" s="95"/>
      <c r="X819" s="54"/>
      <c r="Y819" s="54"/>
      <c r="Z819" s="34"/>
      <c r="AA819" s="34"/>
      <c r="AB819" s="34"/>
      <c r="AC819" s="34"/>
      <c r="AD819" s="34"/>
      <c r="AE819" s="34"/>
      <c r="AF819" s="34"/>
      <c r="AG819" s="34"/>
      <c r="AH819" s="52"/>
      <c r="AI819" s="52"/>
      <c r="AK819" s="34"/>
      <c r="AL819" s="34"/>
      <c r="AM819" s="34"/>
      <c r="AN819" s="54"/>
      <c r="AO819" s="34"/>
      <c r="AP819" s="34"/>
      <c r="AQ819" s="54"/>
      <c r="AR819" s="54"/>
      <c r="AS819" s="54"/>
      <c r="AT819" s="54"/>
      <c r="AU819" s="34"/>
      <c r="AV819" s="34"/>
      <c r="AW819" s="34"/>
      <c r="AX819" s="34"/>
      <c r="AY819" s="34"/>
      <c r="AZ819" s="44"/>
      <c r="BA819" s="34"/>
      <c r="BB819" s="34"/>
    </row>
    <row r="820" spans="1:54" x14ac:dyDescent="0.35" ht="15.0" customHeight="true">
      <c r="A820" s="51"/>
      <c r="B820" s="34"/>
      <c r="C820" s="34"/>
      <c r="D820" s="34"/>
      <c r="E820" s="34"/>
      <c r="F820" s="34"/>
      <c r="G820" s="44"/>
      <c r="H820" s="34"/>
      <c r="I820" s="54"/>
      <c r="J820" s="34"/>
      <c r="K820" s="54"/>
      <c r="L820" s="34"/>
      <c r="M820" s="44"/>
      <c r="N820" s="44"/>
      <c r="O820" s="34"/>
      <c r="P820" s="34"/>
      <c r="Q820" s="34"/>
      <c r="R820" s="34"/>
      <c r="U820" s="44"/>
      <c r="W820" s="95"/>
      <c r="X820" s="54"/>
      <c r="Y820" s="54"/>
      <c r="Z820" s="34"/>
      <c r="AA820" s="34"/>
      <c r="AB820" s="34"/>
      <c r="AC820" s="34"/>
      <c r="AD820" s="34"/>
      <c r="AE820" s="34"/>
      <c r="AF820" s="34"/>
      <c r="AG820" s="34"/>
      <c r="AH820" s="52"/>
      <c r="AI820" s="52"/>
      <c r="AK820" s="34"/>
      <c r="AL820" s="34"/>
      <c r="AM820" s="34"/>
      <c r="AN820" s="54"/>
      <c r="AO820" s="34"/>
      <c r="AP820" s="34"/>
      <c r="AQ820" s="54"/>
      <c r="AR820" s="54"/>
      <c r="AS820" s="54"/>
      <c r="AT820" s="54"/>
      <c r="AU820" s="34"/>
      <c r="AV820" s="34"/>
      <c r="AW820" s="34"/>
      <c r="AX820" s="34"/>
      <c r="AY820" s="34"/>
      <c r="AZ820" s="44"/>
      <c r="BA820" s="34"/>
      <c r="BB820" s="34"/>
    </row>
    <row r="821" spans="1:54" x14ac:dyDescent="0.35" ht="15.0" customHeight="true">
      <c r="A821" s="51"/>
      <c r="B821" s="34"/>
      <c r="C821" s="34"/>
      <c r="D821" s="34"/>
      <c r="E821" s="34"/>
      <c r="F821" s="34"/>
      <c r="G821" s="44"/>
      <c r="H821" s="34"/>
      <c r="I821" s="54"/>
      <c r="J821" s="34"/>
      <c r="K821" s="54"/>
      <c r="L821" s="34"/>
      <c r="M821" s="44"/>
      <c r="N821" s="44"/>
      <c r="O821" s="34"/>
      <c r="P821" s="34"/>
      <c r="Q821" s="34"/>
      <c r="R821" s="34"/>
      <c r="U821" s="44"/>
      <c r="W821" s="95"/>
      <c r="X821" s="54"/>
      <c r="Y821" s="54"/>
      <c r="Z821" s="34"/>
      <c r="AA821" s="34"/>
      <c r="AB821" s="34"/>
      <c r="AC821" s="34"/>
      <c r="AD821" s="34"/>
      <c r="AE821" s="34"/>
      <c r="AF821" s="34"/>
      <c r="AG821" s="34"/>
      <c r="AH821" s="52"/>
      <c r="AI821" s="52"/>
      <c r="AK821" s="34"/>
      <c r="AL821" s="34"/>
      <c r="AM821" s="34"/>
      <c r="AN821" s="54"/>
      <c r="AO821" s="34"/>
      <c r="AP821" s="34"/>
      <c r="AQ821" s="54"/>
      <c r="AR821" s="54"/>
      <c r="AS821" s="54"/>
      <c r="AT821" s="54"/>
      <c r="AU821" s="34"/>
      <c r="AV821" s="34"/>
      <c r="AW821" s="34"/>
      <c r="AX821" s="34"/>
      <c r="AY821" s="34"/>
      <c r="AZ821" s="44"/>
      <c r="BA821" s="34"/>
      <c r="BB821" s="34"/>
    </row>
    <row r="822" spans="1:54" x14ac:dyDescent="0.35" ht="15.0" customHeight="true">
      <c r="A822" s="51"/>
      <c r="B822" s="34"/>
      <c r="C822" s="34"/>
      <c r="D822" s="34"/>
      <c r="E822" s="34"/>
      <c r="F822" s="34"/>
      <c r="G822" s="44"/>
      <c r="H822" s="34"/>
      <c r="I822" s="54"/>
      <c r="J822" s="34"/>
      <c r="K822" s="54"/>
      <c r="L822" s="34"/>
      <c r="M822" s="44"/>
      <c r="N822" s="44"/>
      <c r="O822" s="34"/>
      <c r="P822" s="34"/>
      <c r="Q822" s="34"/>
      <c r="R822" s="34"/>
      <c r="U822" s="44"/>
      <c r="W822" s="95"/>
      <c r="X822" s="54"/>
      <c r="Y822" s="54"/>
      <c r="Z822" s="34"/>
      <c r="AA822" s="34"/>
      <c r="AB822" s="34"/>
      <c r="AC822" s="34"/>
      <c r="AD822" s="34"/>
      <c r="AE822" s="34"/>
      <c r="AF822" s="34"/>
      <c r="AG822" s="34"/>
      <c r="AH822" s="52"/>
      <c r="AI822" s="52"/>
      <c r="AK822" s="34"/>
      <c r="AL822" s="34"/>
      <c r="AM822" s="34"/>
      <c r="AN822" s="54"/>
      <c r="AO822" s="34"/>
      <c r="AP822" s="34"/>
      <c r="AQ822" s="54"/>
      <c r="AR822" s="54"/>
      <c r="AS822" s="54"/>
      <c r="AT822" s="54"/>
      <c r="AU822" s="34"/>
      <c r="AV822" s="34"/>
      <c r="AW822" s="34"/>
      <c r="AX822" s="34"/>
      <c r="AY822" s="34"/>
      <c r="AZ822" s="44"/>
      <c r="BA822" s="34"/>
      <c r="BB822" s="34"/>
    </row>
    <row r="823" spans="1:54" x14ac:dyDescent="0.35" ht="15.0" customHeight="true">
      <c r="A823" s="51"/>
      <c r="B823" s="34"/>
      <c r="C823" s="34"/>
      <c r="D823" s="34"/>
      <c r="E823" s="34"/>
      <c r="F823" s="34"/>
      <c r="G823" s="44"/>
      <c r="H823" s="34"/>
      <c r="I823" s="54"/>
      <c r="J823" s="34"/>
      <c r="K823" s="54"/>
      <c r="L823" s="34"/>
      <c r="M823" s="44"/>
      <c r="N823" s="44"/>
      <c r="O823" s="34"/>
      <c r="P823" s="34"/>
      <c r="Q823" s="34"/>
      <c r="R823" s="34"/>
      <c r="U823" s="44"/>
      <c r="W823" s="95"/>
      <c r="X823" s="54"/>
      <c r="Y823" s="54"/>
      <c r="Z823" s="34"/>
      <c r="AA823" s="34"/>
      <c r="AB823" s="34"/>
      <c r="AC823" s="34"/>
      <c r="AD823" s="34"/>
      <c r="AE823" s="34"/>
      <c r="AF823" s="34"/>
      <c r="AG823" s="34"/>
      <c r="AH823" s="52"/>
      <c r="AI823" s="52"/>
      <c r="AK823" s="34"/>
      <c r="AL823" s="34"/>
      <c r="AM823" s="34"/>
      <c r="AN823" s="54"/>
      <c r="AO823" s="34"/>
      <c r="AP823" s="34"/>
      <c r="AQ823" s="54"/>
      <c r="AR823" s="54"/>
      <c r="AS823" s="54"/>
      <c r="AT823" s="54"/>
      <c r="AU823" s="34"/>
      <c r="AV823" s="34"/>
      <c r="AW823" s="34"/>
      <c r="AX823" s="34"/>
      <c r="AY823" s="34"/>
      <c r="AZ823" s="44"/>
      <c r="BA823" s="34"/>
      <c r="BB823" s="34"/>
    </row>
    <row r="824" spans="1:54" x14ac:dyDescent="0.35" ht="15.0" customHeight="true">
      <c r="A824" s="51"/>
      <c r="B824" s="34"/>
      <c r="C824" s="34"/>
      <c r="D824" s="34"/>
      <c r="E824" s="34"/>
      <c r="F824" s="34"/>
      <c r="G824" s="44"/>
      <c r="H824" s="34"/>
      <c r="I824" s="54"/>
      <c r="J824" s="34"/>
      <c r="K824" s="54"/>
      <c r="L824" s="34"/>
      <c r="M824" s="44"/>
      <c r="N824" s="44"/>
      <c r="O824" s="34"/>
      <c r="P824" s="34"/>
      <c r="Q824" s="34"/>
      <c r="R824" s="34"/>
      <c r="U824" s="44"/>
      <c r="W824" s="95"/>
      <c r="X824" s="54"/>
      <c r="Y824" s="54"/>
      <c r="Z824" s="34"/>
      <c r="AA824" s="34"/>
      <c r="AB824" s="34"/>
      <c r="AC824" s="34"/>
      <c r="AD824" s="34"/>
      <c r="AE824" s="34"/>
      <c r="AF824" s="34"/>
      <c r="AG824" s="34"/>
      <c r="AH824" s="52"/>
      <c r="AI824" s="52"/>
      <c r="AK824" s="34"/>
      <c r="AL824" s="34"/>
      <c r="AM824" s="34"/>
      <c r="AN824" s="54"/>
      <c r="AO824" s="34"/>
      <c r="AP824" s="34"/>
      <c r="AQ824" s="54"/>
      <c r="AR824" s="54"/>
      <c r="AS824" s="54"/>
      <c r="AT824" s="54"/>
      <c r="AU824" s="34"/>
      <c r="AV824" s="34"/>
      <c r="AW824" s="34"/>
      <c r="AX824" s="34"/>
      <c r="AY824" s="34"/>
      <c r="AZ824" s="44"/>
      <c r="BA824" s="34"/>
      <c r="BB824" s="34"/>
    </row>
    <row r="825" spans="1:54" x14ac:dyDescent="0.35" ht="15.0" customHeight="true">
      <c r="A825" s="51"/>
      <c r="B825" s="34"/>
      <c r="C825" s="34"/>
      <c r="D825" s="34"/>
      <c r="E825" s="34"/>
      <c r="F825" s="34"/>
      <c r="G825" s="44"/>
      <c r="H825" s="34"/>
      <c r="I825" s="54"/>
      <c r="J825" s="34"/>
      <c r="K825" s="54"/>
      <c r="L825" s="34"/>
      <c r="M825" s="44"/>
      <c r="N825" s="44"/>
      <c r="O825" s="34"/>
      <c r="P825" s="34"/>
      <c r="Q825" s="34"/>
      <c r="R825" s="34"/>
      <c r="U825" s="44"/>
      <c r="W825" s="95"/>
      <c r="X825" s="54"/>
      <c r="Y825" s="54"/>
      <c r="Z825" s="34"/>
      <c r="AA825" s="34"/>
      <c r="AB825" s="34"/>
      <c r="AC825" s="34"/>
      <c r="AD825" s="34"/>
      <c r="AE825" s="34"/>
      <c r="AF825" s="34"/>
      <c r="AG825" s="34"/>
      <c r="AH825" s="52"/>
      <c r="AI825" s="52"/>
      <c r="AK825" s="34"/>
      <c r="AL825" s="34"/>
      <c r="AM825" s="34"/>
      <c r="AN825" s="54"/>
      <c r="AO825" s="34"/>
      <c r="AP825" s="34"/>
      <c r="AQ825" s="54"/>
      <c r="AR825" s="54"/>
      <c r="AS825" s="54"/>
      <c r="AT825" s="54"/>
      <c r="AU825" s="34"/>
      <c r="AV825" s="34"/>
      <c r="AW825" s="34"/>
      <c r="AX825" s="34"/>
      <c r="AY825" s="34"/>
      <c r="AZ825" s="44"/>
      <c r="BA825" s="34"/>
      <c r="BB825" s="34"/>
    </row>
    <row r="826" spans="1:54" x14ac:dyDescent="0.35" ht="15.0" customHeight="true">
      <c r="A826" s="51"/>
      <c r="B826" s="34"/>
      <c r="C826" s="34"/>
      <c r="D826" s="34"/>
      <c r="E826" s="34"/>
      <c r="F826" s="34"/>
      <c r="G826" s="44"/>
      <c r="H826" s="34"/>
      <c r="I826" s="54"/>
      <c r="J826" s="34"/>
      <c r="K826" s="54"/>
      <c r="L826" s="34"/>
      <c r="M826" s="44"/>
      <c r="N826" s="44"/>
      <c r="O826" s="34"/>
      <c r="P826" s="34"/>
      <c r="Q826" s="34"/>
      <c r="R826" s="34"/>
      <c r="U826" s="44"/>
      <c r="W826" s="95"/>
      <c r="X826" s="54"/>
      <c r="Y826" s="54"/>
      <c r="Z826" s="34"/>
      <c r="AA826" s="34"/>
      <c r="AB826" s="34"/>
      <c r="AC826" s="34"/>
      <c r="AD826" s="34"/>
      <c r="AE826" s="34"/>
      <c r="AF826" s="34"/>
      <c r="AG826" s="34"/>
      <c r="AH826" s="52"/>
      <c r="AI826" s="52"/>
      <c r="AK826" s="34"/>
      <c r="AL826" s="34"/>
      <c r="AM826" s="34"/>
      <c r="AN826" s="54"/>
      <c r="AO826" s="34"/>
      <c r="AP826" s="34"/>
      <c r="AQ826" s="54"/>
      <c r="AR826" s="54"/>
      <c r="AS826" s="54"/>
      <c r="AT826" s="54"/>
      <c r="AU826" s="34"/>
      <c r="AV826" s="34"/>
      <c r="AW826" s="34"/>
      <c r="AX826" s="34"/>
      <c r="AY826" s="34"/>
      <c r="AZ826" s="44"/>
      <c r="BA826" s="34"/>
      <c r="BB826" s="34"/>
    </row>
    <row r="827" spans="1:54" x14ac:dyDescent="0.35" ht="15.0" customHeight="true">
      <c r="A827" s="51"/>
      <c r="B827" s="34"/>
      <c r="C827" s="34"/>
      <c r="D827" s="34"/>
      <c r="E827" s="34"/>
      <c r="F827" s="34"/>
      <c r="G827" s="44"/>
      <c r="H827" s="34"/>
      <c r="I827" s="54"/>
      <c r="J827" s="34"/>
      <c r="K827" s="54"/>
      <c r="L827" s="34"/>
      <c r="M827" s="44"/>
      <c r="N827" s="44"/>
      <c r="O827" s="34"/>
      <c r="P827" s="34"/>
      <c r="Q827" s="34"/>
      <c r="R827" s="34"/>
      <c r="U827" s="44"/>
      <c r="W827" s="95"/>
      <c r="X827" s="54"/>
      <c r="Y827" s="54"/>
      <c r="Z827" s="34"/>
      <c r="AA827" s="34"/>
      <c r="AB827" s="34"/>
      <c r="AC827" s="34"/>
      <c r="AD827" s="34"/>
      <c r="AE827" s="34"/>
      <c r="AF827" s="34"/>
      <c r="AG827" s="34"/>
      <c r="AH827" s="52"/>
      <c r="AI827" s="52"/>
      <c r="AK827" s="34"/>
      <c r="AL827" s="34"/>
      <c r="AM827" s="34"/>
      <c r="AN827" s="54"/>
      <c r="AO827" s="34"/>
      <c r="AP827" s="34"/>
      <c r="AQ827" s="54"/>
      <c r="AR827" s="54"/>
      <c r="AS827" s="54"/>
      <c r="AT827" s="54"/>
      <c r="AU827" s="34"/>
      <c r="AV827" s="34"/>
      <c r="AW827" s="34"/>
      <c r="AX827" s="34"/>
      <c r="AY827" s="34"/>
      <c r="AZ827" s="44"/>
      <c r="BA827" s="34"/>
      <c r="BB827" s="34"/>
    </row>
    <row r="828" spans="1:54" x14ac:dyDescent="0.35" ht="15.0" customHeight="true">
      <c r="A828" s="51"/>
      <c r="B828" s="34"/>
      <c r="C828" s="34"/>
      <c r="D828" s="34"/>
      <c r="E828" s="34"/>
      <c r="F828" s="34"/>
      <c r="G828" s="44"/>
      <c r="H828" s="34"/>
      <c r="I828" s="54"/>
      <c r="J828" s="34"/>
      <c r="K828" s="54"/>
      <c r="L828" s="34"/>
      <c r="M828" s="44"/>
      <c r="N828" s="44"/>
      <c r="O828" s="34"/>
      <c r="P828" s="34"/>
      <c r="Q828" s="34"/>
      <c r="R828" s="34"/>
      <c r="U828" s="44"/>
      <c r="W828" s="95"/>
      <c r="X828" s="54"/>
      <c r="Y828" s="54"/>
      <c r="Z828" s="34"/>
      <c r="AA828" s="34"/>
      <c r="AB828" s="34"/>
      <c r="AC828" s="34"/>
      <c r="AD828" s="34"/>
      <c r="AE828" s="34"/>
      <c r="AF828" s="34"/>
      <c r="AG828" s="34"/>
      <c r="AH828" s="52"/>
      <c r="AI828" s="52"/>
      <c r="AK828" s="34"/>
      <c r="AL828" s="34"/>
      <c r="AM828" s="34"/>
      <c r="AN828" s="54"/>
      <c r="AO828" s="34"/>
      <c r="AP828" s="34"/>
      <c r="AQ828" s="54"/>
      <c r="AR828" s="54"/>
      <c r="AS828" s="54"/>
      <c r="AT828" s="54"/>
      <c r="AU828" s="34"/>
      <c r="AV828" s="34"/>
      <c r="AW828" s="34"/>
      <c r="AX828" s="34"/>
      <c r="AY828" s="34"/>
      <c r="AZ828" s="44"/>
      <c r="BA828" s="34"/>
      <c r="BB828" s="34"/>
    </row>
    <row r="829" spans="1:54" x14ac:dyDescent="0.35" ht="15.0" customHeight="true">
      <c r="A829" s="51"/>
      <c r="B829" s="34"/>
      <c r="C829" s="34"/>
      <c r="D829" s="34"/>
      <c r="E829" s="34"/>
      <c r="F829" s="34"/>
      <c r="G829" s="44"/>
      <c r="H829" s="34"/>
      <c r="I829" s="54"/>
      <c r="J829" s="34"/>
      <c r="K829" s="54"/>
      <c r="L829" s="34"/>
      <c r="M829" s="44"/>
      <c r="N829" s="44"/>
      <c r="O829" s="34"/>
      <c r="P829" s="34"/>
      <c r="Q829" s="34"/>
      <c r="R829" s="34"/>
      <c r="U829" s="44"/>
      <c r="W829" s="95"/>
      <c r="X829" s="54"/>
      <c r="Y829" s="54"/>
      <c r="Z829" s="34"/>
      <c r="AA829" s="34"/>
      <c r="AB829" s="34"/>
      <c r="AC829" s="34"/>
      <c r="AD829" s="34"/>
      <c r="AE829" s="34"/>
      <c r="AF829" s="34"/>
      <c r="AG829" s="34"/>
      <c r="AH829" s="52"/>
      <c r="AI829" s="52"/>
      <c r="AK829" s="34"/>
      <c r="AL829" s="34"/>
      <c r="AM829" s="34"/>
      <c r="AN829" s="54"/>
      <c r="AO829" s="34"/>
      <c r="AP829" s="34"/>
      <c r="AQ829" s="54"/>
      <c r="AR829" s="54"/>
      <c r="AS829" s="54"/>
      <c r="AT829" s="54"/>
      <c r="AU829" s="34"/>
      <c r="AV829" s="34"/>
      <c r="AW829" s="34"/>
      <c r="AX829" s="34"/>
      <c r="AY829" s="34"/>
      <c r="AZ829" s="44"/>
      <c r="BA829" s="34"/>
      <c r="BB829" s="34"/>
    </row>
    <row r="830" spans="1:54" x14ac:dyDescent="0.35" ht="15.0" customHeight="true">
      <c r="A830" s="51"/>
      <c r="B830" s="34"/>
      <c r="C830" s="34"/>
      <c r="D830" s="34"/>
      <c r="E830" s="34"/>
      <c r="F830" s="34"/>
      <c r="G830" s="44"/>
      <c r="H830" s="34"/>
      <c r="I830" s="54"/>
      <c r="J830" s="34"/>
      <c r="K830" s="54"/>
      <c r="L830" s="34"/>
      <c r="M830" s="44"/>
      <c r="N830" s="44"/>
      <c r="O830" s="34"/>
      <c r="P830" s="34"/>
      <c r="Q830" s="34"/>
      <c r="R830" s="34"/>
      <c r="U830" s="44"/>
      <c r="W830" s="95"/>
      <c r="X830" s="54"/>
      <c r="Y830" s="54"/>
      <c r="Z830" s="34"/>
      <c r="AA830" s="34"/>
      <c r="AB830" s="34"/>
      <c r="AC830" s="34"/>
      <c r="AD830" s="34"/>
      <c r="AE830" s="34"/>
      <c r="AF830" s="34"/>
      <c r="AG830" s="34"/>
      <c r="AH830" s="52"/>
      <c r="AI830" s="52"/>
      <c r="AK830" s="34"/>
      <c r="AL830" s="34"/>
      <c r="AM830" s="34"/>
      <c r="AN830" s="54"/>
      <c r="AO830" s="34"/>
      <c r="AP830" s="34"/>
      <c r="AQ830" s="54"/>
      <c r="AR830" s="54"/>
      <c r="AS830" s="54"/>
      <c r="AT830" s="54"/>
      <c r="AU830" s="34"/>
      <c r="AV830" s="34"/>
      <c r="AW830" s="34"/>
      <c r="AX830" s="34"/>
      <c r="AY830" s="34"/>
      <c r="AZ830" s="44"/>
      <c r="BA830" s="34"/>
      <c r="BB830" s="34"/>
    </row>
    <row r="831" spans="1:54" x14ac:dyDescent="0.35" ht="15.0" customHeight="true">
      <c r="A831" s="51"/>
      <c r="B831" s="34"/>
      <c r="C831" s="34"/>
      <c r="D831" s="34"/>
      <c r="E831" s="34"/>
      <c r="F831" s="34"/>
      <c r="G831" s="44"/>
      <c r="H831" s="34"/>
      <c r="I831" s="54"/>
      <c r="J831" s="34"/>
      <c r="K831" s="54"/>
      <c r="L831" s="34"/>
      <c r="M831" s="44"/>
      <c r="N831" s="44"/>
      <c r="O831" s="34"/>
      <c r="P831" s="34"/>
      <c r="Q831" s="34"/>
      <c r="R831" s="34"/>
      <c r="U831" s="44"/>
      <c r="W831" s="95"/>
      <c r="X831" s="54"/>
      <c r="Y831" s="54"/>
      <c r="Z831" s="34"/>
      <c r="AA831" s="34"/>
      <c r="AB831" s="34"/>
      <c r="AC831" s="34"/>
      <c r="AD831" s="34"/>
      <c r="AE831" s="34"/>
      <c r="AF831" s="34"/>
      <c r="AG831" s="34"/>
      <c r="AH831" s="52"/>
      <c r="AI831" s="52"/>
      <c r="AK831" s="34"/>
      <c r="AL831" s="34"/>
      <c r="AM831" s="34"/>
      <c r="AN831" s="54"/>
      <c r="AO831" s="34"/>
      <c r="AP831" s="34"/>
      <c r="AQ831" s="54"/>
      <c r="AR831" s="54"/>
      <c r="AS831" s="54"/>
      <c r="AT831" s="54"/>
      <c r="AU831" s="34"/>
      <c r="AV831" s="34"/>
      <c r="AW831" s="34"/>
      <c r="AX831" s="34"/>
      <c r="AY831" s="34"/>
      <c r="AZ831" s="44"/>
      <c r="BA831" s="34"/>
      <c r="BB831" s="34"/>
    </row>
    <row r="832" spans="1:54" x14ac:dyDescent="0.35" ht="15.0" customHeight="true">
      <c r="A832" s="51"/>
      <c r="B832" s="34"/>
      <c r="C832" s="34"/>
      <c r="D832" s="34"/>
      <c r="E832" s="34"/>
      <c r="F832" s="34"/>
      <c r="G832" s="44"/>
      <c r="H832" s="34"/>
      <c r="I832" s="54"/>
      <c r="J832" s="34"/>
      <c r="K832" s="54"/>
      <c r="L832" s="34"/>
      <c r="M832" s="44"/>
      <c r="N832" s="44"/>
      <c r="O832" s="34"/>
      <c r="P832" s="34"/>
      <c r="Q832" s="34"/>
      <c r="R832" s="34"/>
      <c r="U832" s="44"/>
      <c r="W832" s="95"/>
      <c r="X832" s="54"/>
      <c r="Y832" s="54"/>
      <c r="Z832" s="34"/>
      <c r="AA832" s="34"/>
      <c r="AB832" s="34"/>
      <c r="AC832" s="34"/>
      <c r="AD832" s="34"/>
      <c r="AE832" s="34"/>
      <c r="AF832" s="34"/>
      <c r="AG832" s="34"/>
      <c r="AH832" s="52"/>
      <c r="AI832" s="52"/>
      <c r="AK832" s="34"/>
      <c r="AL832" s="34"/>
      <c r="AM832" s="34"/>
      <c r="AN832" s="54"/>
      <c r="AO832" s="34"/>
      <c r="AP832" s="34"/>
      <c r="AQ832" s="54"/>
      <c r="AR832" s="54"/>
      <c r="AS832" s="54"/>
      <c r="AT832" s="54"/>
      <c r="AU832" s="34"/>
      <c r="AV832" s="34"/>
      <c r="AW832" s="34"/>
      <c r="AX832" s="34"/>
      <c r="AY832" s="34"/>
      <c r="AZ832" s="44"/>
      <c r="BA832" s="34"/>
      <c r="BB832" s="34"/>
    </row>
    <row r="833" spans="1:54" x14ac:dyDescent="0.35" ht="15.0" customHeight="true">
      <c r="A833" s="51"/>
      <c r="B833" s="34"/>
      <c r="C833" s="34"/>
      <c r="D833" s="34"/>
      <c r="E833" s="34"/>
      <c r="F833" s="34"/>
      <c r="G833" s="44"/>
      <c r="H833" s="34"/>
      <c r="I833" s="54"/>
      <c r="J833" s="34"/>
      <c r="K833" s="54"/>
      <c r="L833" s="34"/>
      <c r="M833" s="44"/>
      <c r="N833" s="44"/>
      <c r="O833" s="34"/>
      <c r="P833" s="34"/>
      <c r="Q833" s="34"/>
      <c r="R833" s="34"/>
      <c r="U833" s="44"/>
      <c r="W833" s="95"/>
      <c r="X833" s="54"/>
      <c r="Y833" s="54"/>
      <c r="Z833" s="34"/>
      <c r="AA833" s="34"/>
      <c r="AB833" s="34"/>
      <c r="AC833" s="34"/>
      <c r="AD833" s="34"/>
      <c r="AE833" s="34"/>
      <c r="AF833" s="34"/>
      <c r="AG833" s="34"/>
      <c r="AH833" s="52"/>
      <c r="AI833" s="52"/>
      <c r="AK833" s="34"/>
      <c r="AL833" s="34"/>
      <c r="AM833" s="34"/>
      <c r="AN833" s="54"/>
      <c r="AO833" s="34"/>
      <c r="AP833" s="34"/>
      <c r="AQ833" s="54"/>
      <c r="AR833" s="54"/>
      <c r="AS833" s="54"/>
      <c r="AT833" s="54"/>
      <c r="AU833" s="34"/>
      <c r="AV833" s="34"/>
      <c r="AW833" s="34"/>
      <c r="AX833" s="34"/>
      <c r="AY833" s="34"/>
      <c r="AZ833" s="44"/>
      <c r="BA833" s="34"/>
      <c r="BB833" s="34"/>
    </row>
    <row r="834" spans="1:54" x14ac:dyDescent="0.35" ht="15.0" customHeight="true">
      <c r="A834" s="51"/>
      <c r="B834" s="34"/>
      <c r="C834" s="34"/>
      <c r="D834" s="34"/>
      <c r="E834" s="34"/>
      <c r="F834" s="34"/>
      <c r="G834" s="44"/>
      <c r="H834" s="34"/>
      <c r="I834" s="54"/>
      <c r="J834" s="34"/>
      <c r="K834" s="54"/>
      <c r="L834" s="34"/>
      <c r="M834" s="44"/>
      <c r="N834" s="44"/>
      <c r="O834" s="34"/>
      <c r="P834" s="34"/>
      <c r="Q834" s="34"/>
      <c r="R834" s="34"/>
      <c r="U834" s="44"/>
      <c r="W834" s="95"/>
      <c r="X834" s="54"/>
      <c r="Y834" s="54"/>
      <c r="Z834" s="34"/>
      <c r="AA834" s="34"/>
      <c r="AB834" s="34"/>
      <c r="AC834" s="34"/>
      <c r="AD834" s="34"/>
      <c r="AE834" s="34"/>
      <c r="AF834" s="34"/>
      <c r="AG834" s="34"/>
      <c r="AH834" s="52"/>
      <c r="AI834" s="52"/>
      <c r="AK834" s="34"/>
      <c r="AL834" s="34"/>
      <c r="AM834" s="34"/>
      <c r="AN834" s="54"/>
      <c r="AO834" s="34"/>
      <c r="AP834" s="34"/>
      <c r="AQ834" s="54"/>
      <c r="AR834" s="54"/>
      <c r="AS834" s="54"/>
      <c r="AT834" s="54"/>
      <c r="AU834" s="34"/>
      <c r="AV834" s="34"/>
      <c r="AW834" s="34"/>
      <c r="AX834" s="34"/>
      <c r="AY834" s="34"/>
      <c r="AZ834" s="44"/>
      <c r="BA834" s="34"/>
      <c r="BB834" s="34"/>
    </row>
    <row r="835" spans="1:54" x14ac:dyDescent="0.35" ht="15.0" customHeight="true">
      <c r="A835" s="51"/>
      <c r="B835" s="34"/>
      <c r="C835" s="34"/>
      <c r="D835" s="34"/>
      <c r="E835" s="34"/>
      <c r="F835" s="34"/>
      <c r="G835" s="44"/>
      <c r="H835" s="34"/>
      <c r="I835" s="54"/>
      <c r="J835" s="34"/>
      <c r="K835" s="54"/>
      <c r="L835" s="34"/>
      <c r="M835" s="44"/>
      <c r="N835" s="44"/>
      <c r="O835" s="34"/>
      <c r="P835" s="34"/>
      <c r="Q835" s="34"/>
      <c r="R835" s="34"/>
      <c r="U835" s="44"/>
      <c r="W835" s="95"/>
      <c r="X835" s="54"/>
      <c r="Y835" s="54"/>
      <c r="Z835" s="34"/>
      <c r="AA835" s="34"/>
      <c r="AB835" s="34"/>
      <c r="AC835" s="34"/>
      <c r="AD835" s="34"/>
      <c r="AE835" s="34"/>
      <c r="AF835" s="34"/>
      <c r="AG835" s="34"/>
      <c r="AH835" s="52"/>
      <c r="AI835" s="52"/>
      <c r="AK835" s="34"/>
      <c r="AL835" s="34"/>
      <c r="AM835" s="34"/>
      <c r="AN835" s="54"/>
      <c r="AO835" s="34"/>
      <c r="AP835" s="34"/>
      <c r="AQ835" s="54"/>
      <c r="AR835" s="54"/>
      <c r="AS835" s="54"/>
      <c r="AT835" s="54"/>
      <c r="AU835" s="34"/>
      <c r="AV835" s="34"/>
      <c r="AW835" s="34"/>
      <c r="AX835" s="34"/>
      <c r="AY835" s="34"/>
      <c r="AZ835" s="44"/>
      <c r="BA835" s="34"/>
      <c r="BB835" s="34"/>
    </row>
    <row r="836" spans="1:54" x14ac:dyDescent="0.35" ht="15.0" customHeight="true">
      <c r="A836" s="51"/>
      <c r="B836" s="34"/>
      <c r="C836" s="34"/>
      <c r="D836" s="34"/>
      <c r="E836" s="34"/>
      <c r="F836" s="34"/>
      <c r="G836" s="44"/>
      <c r="H836" s="34"/>
      <c r="I836" s="54"/>
      <c r="J836" s="34"/>
      <c r="K836" s="54"/>
      <c r="L836" s="34"/>
      <c r="M836" s="44"/>
      <c r="N836" s="44"/>
      <c r="O836" s="34"/>
      <c r="P836" s="34"/>
      <c r="Q836" s="34"/>
      <c r="R836" s="34"/>
      <c r="U836" s="44"/>
      <c r="W836" s="95"/>
      <c r="X836" s="54"/>
      <c r="Y836" s="54"/>
      <c r="Z836" s="34"/>
      <c r="AA836" s="34"/>
      <c r="AB836" s="34"/>
      <c r="AC836" s="34"/>
      <c r="AD836" s="34"/>
      <c r="AE836" s="34"/>
      <c r="AF836" s="34"/>
      <c r="AG836" s="34"/>
      <c r="AH836" s="52"/>
      <c r="AI836" s="52"/>
      <c r="AK836" s="34"/>
      <c r="AL836" s="34"/>
      <c r="AM836" s="34"/>
      <c r="AN836" s="54"/>
      <c r="AO836" s="34"/>
      <c r="AP836" s="34"/>
      <c r="AQ836" s="54"/>
      <c r="AR836" s="54"/>
      <c r="AS836" s="54"/>
      <c r="AT836" s="54"/>
      <c r="AU836" s="34"/>
      <c r="AV836" s="34"/>
      <c r="AW836" s="34"/>
      <c r="AX836" s="34"/>
      <c r="AY836" s="34"/>
      <c r="AZ836" s="44"/>
      <c r="BA836" s="34"/>
      <c r="BB836" s="34"/>
    </row>
    <row r="837" spans="1:54" x14ac:dyDescent="0.35" ht="15.0" customHeight="true">
      <c r="A837" s="51"/>
      <c r="B837" s="34"/>
      <c r="C837" s="34"/>
      <c r="D837" s="34"/>
      <c r="E837" s="34"/>
      <c r="F837" s="34"/>
      <c r="G837" s="44"/>
      <c r="H837" s="34"/>
      <c r="I837" s="54"/>
      <c r="J837" s="34"/>
      <c r="K837" s="54"/>
      <c r="L837" s="34"/>
      <c r="M837" s="44"/>
      <c r="N837" s="44"/>
      <c r="O837" s="34"/>
      <c r="P837" s="34"/>
      <c r="Q837" s="34"/>
      <c r="R837" s="34"/>
      <c r="U837" s="44"/>
      <c r="W837" s="95"/>
      <c r="X837" s="54"/>
      <c r="Y837" s="54"/>
      <c r="Z837" s="34"/>
      <c r="AA837" s="34"/>
      <c r="AB837" s="34"/>
      <c r="AC837" s="34"/>
      <c r="AD837" s="34"/>
      <c r="AE837" s="34"/>
      <c r="AF837" s="34"/>
      <c r="AG837" s="34"/>
      <c r="AH837" s="52"/>
      <c r="AI837" s="52"/>
      <c r="AK837" s="34"/>
      <c r="AL837" s="34"/>
      <c r="AM837" s="34"/>
      <c r="AN837" s="54"/>
      <c r="AO837" s="34"/>
      <c r="AP837" s="34"/>
      <c r="AQ837" s="54"/>
      <c r="AR837" s="54"/>
      <c r="AS837" s="54"/>
      <c r="AT837" s="54"/>
      <c r="AU837" s="34"/>
      <c r="AV837" s="34"/>
      <c r="AW837" s="34"/>
      <c r="AX837" s="34"/>
      <c r="AY837" s="34"/>
      <c r="AZ837" s="44"/>
      <c r="BA837" s="34"/>
      <c r="BB837" s="34"/>
    </row>
    <row r="838" spans="1:54" x14ac:dyDescent="0.35" ht="15.0" customHeight="true">
      <c r="A838" s="51"/>
      <c r="B838" s="34"/>
      <c r="C838" s="34"/>
      <c r="D838" s="34"/>
      <c r="E838" s="34"/>
      <c r="F838" s="34"/>
      <c r="G838" s="44"/>
      <c r="H838" s="34"/>
      <c r="I838" s="54"/>
      <c r="J838" s="34"/>
      <c r="K838" s="54"/>
      <c r="L838" s="34"/>
      <c r="M838" s="44"/>
      <c r="N838" s="44"/>
      <c r="O838" s="34"/>
      <c r="P838" s="34"/>
      <c r="Q838" s="34"/>
      <c r="R838" s="34"/>
      <c r="U838" s="44"/>
      <c r="W838" s="95"/>
      <c r="X838" s="54"/>
      <c r="Y838" s="54"/>
      <c r="Z838" s="34"/>
      <c r="AA838" s="34"/>
      <c r="AB838" s="34"/>
      <c r="AC838" s="34"/>
      <c r="AD838" s="34"/>
      <c r="AE838" s="34"/>
      <c r="AF838" s="34"/>
      <c r="AG838" s="34"/>
      <c r="AH838" s="52"/>
      <c r="AI838" s="52"/>
      <c r="AK838" s="34"/>
      <c r="AL838" s="34"/>
      <c r="AM838" s="34"/>
      <c r="AN838" s="54"/>
      <c r="AO838" s="34"/>
      <c r="AP838" s="34"/>
      <c r="AQ838" s="54"/>
      <c r="AR838" s="54"/>
      <c r="AS838" s="54"/>
      <c r="AT838" s="54"/>
      <c r="AU838" s="34"/>
      <c r="AV838" s="34"/>
      <c r="AW838" s="34"/>
      <c r="AX838" s="34"/>
      <c r="AY838" s="34"/>
      <c r="AZ838" s="44"/>
      <c r="BA838" s="34"/>
      <c r="BB838" s="34"/>
    </row>
    <row r="839" spans="1:54" x14ac:dyDescent="0.35" ht="15.0" customHeight="true">
      <c r="A839" s="51"/>
      <c r="B839" s="34"/>
      <c r="C839" s="34"/>
      <c r="D839" s="34"/>
      <c r="E839" s="34"/>
      <c r="F839" s="34"/>
      <c r="G839" s="44"/>
      <c r="H839" s="34"/>
      <c r="I839" s="54"/>
      <c r="J839" s="34"/>
      <c r="K839" s="54"/>
      <c r="L839" s="34"/>
      <c r="M839" s="44"/>
      <c r="N839" s="44"/>
      <c r="O839" s="34"/>
      <c r="P839" s="34"/>
      <c r="Q839" s="34"/>
      <c r="R839" s="34"/>
      <c r="U839" s="44"/>
      <c r="W839" s="95"/>
      <c r="X839" s="54"/>
      <c r="Y839" s="54"/>
      <c r="Z839" s="34"/>
      <c r="AA839" s="34"/>
      <c r="AB839" s="34"/>
      <c r="AC839" s="34"/>
      <c r="AD839" s="34"/>
      <c r="AE839" s="34"/>
      <c r="AF839" s="34"/>
      <c r="AG839" s="34"/>
      <c r="AH839" s="52"/>
      <c r="AI839" s="52"/>
      <c r="AK839" s="34"/>
      <c r="AL839" s="34"/>
      <c r="AM839" s="34"/>
      <c r="AN839" s="54"/>
      <c r="AO839" s="34"/>
      <c r="AP839" s="34"/>
      <c r="AQ839" s="54"/>
      <c r="AR839" s="54"/>
      <c r="AS839" s="54"/>
      <c r="AT839" s="54"/>
      <c r="AU839" s="34"/>
      <c r="AV839" s="34"/>
      <c r="AW839" s="34"/>
      <c r="AX839" s="34"/>
      <c r="AY839" s="34"/>
      <c r="AZ839" s="44"/>
      <c r="BA839" s="34"/>
      <c r="BB839" s="34"/>
    </row>
    <row r="840" spans="1:54" x14ac:dyDescent="0.35" ht="15.0" customHeight="true">
      <c r="A840" s="51"/>
      <c r="B840" s="34"/>
      <c r="C840" s="34"/>
      <c r="D840" s="34"/>
      <c r="E840" s="34"/>
      <c r="F840" s="34"/>
      <c r="G840" s="44"/>
      <c r="H840" s="34"/>
      <c r="I840" s="54"/>
      <c r="J840" s="34"/>
      <c r="K840" s="54"/>
      <c r="L840" s="34"/>
      <c r="M840" s="44"/>
      <c r="N840" s="44"/>
      <c r="O840" s="34"/>
      <c r="P840" s="34"/>
      <c r="Q840" s="34"/>
      <c r="R840" s="34"/>
      <c r="U840" s="44"/>
      <c r="W840" s="95"/>
      <c r="X840" s="54"/>
      <c r="Y840" s="54"/>
      <c r="Z840" s="34"/>
      <c r="AA840" s="34"/>
      <c r="AB840" s="34"/>
      <c r="AC840" s="34"/>
      <c r="AD840" s="34"/>
      <c r="AE840" s="34"/>
      <c r="AF840" s="34"/>
      <c r="AG840" s="34"/>
      <c r="AH840" s="52"/>
      <c r="AI840" s="52"/>
      <c r="AK840" s="34"/>
      <c r="AL840" s="34"/>
      <c r="AM840" s="34"/>
      <c r="AN840" s="54"/>
      <c r="AO840" s="34"/>
      <c r="AP840" s="34"/>
      <c r="AQ840" s="54"/>
      <c r="AR840" s="54"/>
      <c r="AS840" s="54"/>
      <c r="AT840" s="54"/>
      <c r="AU840" s="34"/>
      <c r="AV840" s="34"/>
      <c r="AW840" s="34"/>
      <c r="AX840" s="34"/>
      <c r="AY840" s="34"/>
      <c r="AZ840" s="44"/>
      <c r="BA840" s="34"/>
      <c r="BB840" s="34"/>
    </row>
    <row r="841" spans="1:54" x14ac:dyDescent="0.35" ht="15.0" customHeight="true">
      <c r="A841" s="51"/>
      <c r="B841" s="34"/>
      <c r="C841" s="34"/>
      <c r="D841" s="34"/>
      <c r="E841" s="34"/>
      <c r="F841" s="34"/>
      <c r="G841" s="44"/>
      <c r="H841" s="34"/>
      <c r="I841" s="54"/>
      <c r="J841" s="34"/>
      <c r="K841" s="54"/>
      <c r="L841" s="34"/>
      <c r="M841" s="44"/>
      <c r="N841" s="44"/>
      <c r="O841" s="34"/>
      <c r="P841" s="34"/>
      <c r="Q841" s="34"/>
      <c r="R841" s="34"/>
      <c r="U841" s="44"/>
      <c r="W841" s="95"/>
      <c r="X841" s="54"/>
      <c r="Y841" s="54"/>
      <c r="Z841" s="34"/>
      <c r="AA841" s="34"/>
      <c r="AB841" s="34"/>
      <c r="AC841" s="34"/>
      <c r="AD841" s="34"/>
      <c r="AE841" s="34"/>
      <c r="AF841" s="34"/>
      <c r="AG841" s="34"/>
      <c r="AH841" s="52"/>
      <c r="AI841" s="52"/>
      <c r="AK841" s="34"/>
      <c r="AL841" s="34"/>
      <c r="AM841" s="34"/>
      <c r="AN841" s="54"/>
      <c r="AO841" s="34"/>
      <c r="AP841" s="34"/>
      <c r="AQ841" s="54"/>
      <c r="AR841" s="54"/>
      <c r="AS841" s="54"/>
      <c r="AT841" s="54"/>
      <c r="AU841" s="34"/>
      <c r="AV841" s="34"/>
      <c r="AW841" s="34"/>
      <c r="AX841" s="34"/>
      <c r="AY841" s="34"/>
      <c r="AZ841" s="44"/>
      <c r="BA841" s="34"/>
      <c r="BB841" s="34"/>
    </row>
    <row r="842" spans="1:54" x14ac:dyDescent="0.35" ht="15.0" customHeight="true">
      <c r="A842" s="51"/>
      <c r="B842" s="34"/>
      <c r="C842" s="34"/>
      <c r="D842" s="34"/>
      <c r="E842" s="34"/>
      <c r="F842" s="34"/>
      <c r="G842" s="44"/>
      <c r="H842" s="34"/>
      <c r="I842" s="54"/>
      <c r="J842" s="34"/>
      <c r="K842" s="54"/>
      <c r="L842" s="34"/>
      <c r="M842" s="44"/>
      <c r="N842" s="44"/>
      <c r="O842" s="34"/>
      <c r="P842" s="34"/>
      <c r="Q842" s="34"/>
      <c r="R842" s="34"/>
      <c r="U842" s="44"/>
      <c r="W842" s="95"/>
      <c r="X842" s="54"/>
      <c r="Y842" s="54"/>
      <c r="Z842" s="34"/>
      <c r="AA842" s="34"/>
      <c r="AB842" s="34"/>
      <c r="AC842" s="34"/>
      <c r="AD842" s="34"/>
      <c r="AE842" s="34"/>
      <c r="AF842" s="34"/>
      <c r="AG842" s="34"/>
      <c r="AH842" s="52"/>
      <c r="AI842" s="52"/>
      <c r="AK842" s="34"/>
      <c r="AL842" s="34"/>
      <c r="AM842" s="34"/>
      <c r="AN842" s="54"/>
      <c r="AO842" s="34"/>
      <c r="AP842" s="34"/>
      <c r="AQ842" s="54"/>
      <c r="AR842" s="54"/>
      <c r="AS842" s="54"/>
      <c r="AT842" s="54"/>
      <c r="AU842" s="34"/>
      <c r="AV842" s="34"/>
      <c r="AW842" s="34"/>
      <c r="AX842" s="34"/>
      <c r="AY842" s="34"/>
      <c r="AZ842" s="44"/>
      <c r="BA842" s="34"/>
      <c r="BB842" s="34"/>
    </row>
    <row r="843" spans="1:54" x14ac:dyDescent="0.35" ht="15.0" customHeight="true">
      <c r="A843" s="51"/>
      <c r="B843" s="34"/>
      <c r="C843" s="34"/>
      <c r="D843" s="34"/>
      <c r="E843" s="34"/>
      <c r="F843" s="34"/>
      <c r="G843" s="44"/>
      <c r="H843" s="34"/>
      <c r="I843" s="54"/>
      <c r="J843" s="34"/>
      <c r="K843" s="54"/>
      <c r="L843" s="34"/>
      <c r="M843" s="44"/>
      <c r="N843" s="44"/>
      <c r="O843" s="34"/>
      <c r="P843" s="34"/>
      <c r="Q843" s="34"/>
      <c r="R843" s="34"/>
      <c r="U843" s="44"/>
      <c r="W843" s="95"/>
      <c r="X843" s="54"/>
      <c r="Y843" s="54"/>
      <c r="Z843" s="34"/>
      <c r="AA843" s="34"/>
      <c r="AB843" s="34"/>
      <c r="AC843" s="34"/>
      <c r="AD843" s="34"/>
      <c r="AE843" s="34"/>
      <c r="AF843" s="34"/>
      <c r="AG843" s="34"/>
      <c r="AH843" s="52"/>
      <c r="AI843" s="52"/>
      <c r="AK843" s="34"/>
      <c r="AL843" s="34"/>
      <c r="AM843" s="34"/>
      <c r="AN843" s="54"/>
      <c r="AO843" s="34"/>
      <c r="AP843" s="34"/>
      <c r="AQ843" s="54"/>
      <c r="AR843" s="54"/>
      <c r="AS843" s="54"/>
      <c r="AT843" s="54"/>
      <c r="AU843" s="34"/>
      <c r="AV843" s="34"/>
      <c r="AW843" s="34"/>
      <c r="AX843" s="34"/>
      <c r="AY843" s="34"/>
      <c r="AZ843" s="44"/>
      <c r="BA843" s="34"/>
      <c r="BB843" s="34"/>
    </row>
    <row r="844" spans="1:54" x14ac:dyDescent="0.35" ht="15.0" customHeight="true">
      <c r="A844" s="51"/>
      <c r="B844" s="34"/>
      <c r="C844" s="34"/>
      <c r="D844" s="34"/>
      <c r="E844" s="34"/>
      <c r="F844" s="34"/>
      <c r="G844" s="44"/>
      <c r="H844" s="34"/>
      <c r="I844" s="54"/>
      <c r="J844" s="34"/>
      <c r="K844" s="54"/>
      <c r="L844" s="34"/>
      <c r="M844" s="44"/>
      <c r="N844" s="44"/>
      <c r="O844" s="34"/>
      <c r="P844" s="34"/>
      <c r="Q844" s="34"/>
      <c r="R844" s="34"/>
      <c r="U844" s="44"/>
      <c r="W844" s="95"/>
      <c r="X844" s="54"/>
      <c r="Y844" s="54"/>
      <c r="Z844" s="34"/>
      <c r="AA844" s="34"/>
      <c r="AB844" s="34"/>
      <c r="AC844" s="34"/>
      <c r="AD844" s="34"/>
      <c r="AE844" s="34"/>
      <c r="AF844" s="34"/>
      <c r="AG844" s="34"/>
      <c r="AH844" s="52"/>
      <c r="AI844" s="52"/>
      <c r="AK844" s="34"/>
      <c r="AL844" s="34"/>
      <c r="AM844" s="34"/>
      <c r="AN844" s="54"/>
      <c r="AO844" s="34"/>
      <c r="AP844" s="34"/>
      <c r="AQ844" s="54"/>
      <c r="AR844" s="54"/>
      <c r="AS844" s="54"/>
      <c r="AT844" s="54"/>
      <c r="AU844" s="34"/>
      <c r="AV844" s="34"/>
      <c r="AW844" s="34"/>
      <c r="AX844" s="34"/>
      <c r="AY844" s="34"/>
      <c r="AZ844" s="44"/>
      <c r="BA844" s="34"/>
      <c r="BB844" s="34"/>
    </row>
    <row r="845" spans="1:54" x14ac:dyDescent="0.35" ht="15.0" customHeight="true">
      <c r="A845" s="51"/>
      <c r="B845" s="34"/>
      <c r="C845" s="34"/>
      <c r="D845" s="34"/>
      <c r="E845" s="34"/>
      <c r="F845" s="34"/>
      <c r="G845" s="44"/>
      <c r="H845" s="34"/>
      <c r="I845" s="54"/>
      <c r="J845" s="34"/>
      <c r="K845" s="54"/>
      <c r="L845" s="34"/>
      <c r="M845" s="44"/>
      <c r="N845" s="44"/>
      <c r="O845" s="34"/>
      <c r="P845" s="34"/>
      <c r="Q845" s="34"/>
      <c r="R845" s="34"/>
      <c r="U845" s="44"/>
      <c r="W845" s="95"/>
      <c r="X845" s="54"/>
      <c r="Y845" s="54"/>
      <c r="Z845" s="34"/>
      <c r="AA845" s="34"/>
      <c r="AB845" s="34"/>
      <c r="AC845" s="34"/>
      <c r="AD845" s="34"/>
      <c r="AE845" s="34"/>
      <c r="AF845" s="34"/>
      <c r="AG845" s="34"/>
      <c r="AH845" s="52"/>
      <c r="AI845" s="52"/>
      <c r="AK845" s="34"/>
      <c r="AL845" s="34"/>
      <c r="AM845" s="34"/>
      <c r="AN845" s="54"/>
      <c r="AO845" s="34"/>
      <c r="AP845" s="34"/>
      <c r="AQ845" s="54"/>
      <c r="AR845" s="54"/>
      <c r="AS845" s="54"/>
      <c r="AT845" s="54"/>
      <c r="AU845" s="34"/>
      <c r="AV845" s="34"/>
      <c r="AW845" s="34"/>
      <c r="AX845" s="34"/>
      <c r="AY845" s="34"/>
      <c r="AZ845" s="44"/>
      <c r="BA845" s="34"/>
      <c r="BB845" s="34"/>
    </row>
    <row r="846" spans="1:54" x14ac:dyDescent="0.35" ht="15.0" customHeight="true">
      <c r="A846" s="51"/>
      <c r="B846" s="34"/>
      <c r="C846" s="34"/>
      <c r="D846" s="34"/>
      <c r="E846" s="34"/>
      <c r="F846" s="34"/>
      <c r="G846" s="44"/>
      <c r="H846" s="34"/>
      <c r="I846" s="54"/>
      <c r="J846" s="34"/>
      <c r="K846" s="54"/>
      <c r="L846" s="34"/>
      <c r="M846" s="44"/>
      <c r="N846" s="44"/>
      <c r="O846" s="34"/>
      <c r="P846" s="34"/>
      <c r="Q846" s="34"/>
      <c r="R846" s="34"/>
      <c r="U846" s="44"/>
      <c r="W846" s="95"/>
      <c r="X846" s="54"/>
      <c r="Y846" s="54"/>
      <c r="Z846" s="34"/>
      <c r="AA846" s="34"/>
      <c r="AB846" s="34"/>
      <c r="AC846" s="34"/>
      <c r="AD846" s="34"/>
      <c r="AE846" s="34"/>
      <c r="AF846" s="34"/>
      <c r="AG846" s="34"/>
      <c r="AH846" s="52"/>
      <c r="AI846" s="52"/>
      <c r="AK846" s="34"/>
      <c r="AL846" s="34"/>
      <c r="AM846" s="34"/>
      <c r="AN846" s="54"/>
      <c r="AO846" s="34"/>
      <c r="AP846" s="34"/>
      <c r="AQ846" s="54"/>
      <c r="AR846" s="54"/>
      <c r="AS846" s="54"/>
      <c r="AT846" s="54"/>
      <c r="AU846" s="34"/>
      <c r="AV846" s="34"/>
      <c r="AW846" s="34"/>
      <c r="AX846" s="34"/>
      <c r="AY846" s="34"/>
      <c r="AZ846" s="44"/>
      <c r="BA846" s="34"/>
      <c r="BB846" s="34"/>
    </row>
    <row r="847" spans="1:54" x14ac:dyDescent="0.35" ht="15.0" customHeight="true">
      <c r="A847" s="51"/>
      <c r="B847" s="34"/>
      <c r="C847" s="34"/>
      <c r="D847" s="34"/>
      <c r="E847" s="34"/>
      <c r="F847" s="34"/>
      <c r="G847" s="44"/>
      <c r="H847" s="34"/>
      <c r="I847" s="54"/>
      <c r="J847" s="34"/>
      <c r="K847" s="54"/>
      <c r="L847" s="34"/>
      <c r="M847" s="44"/>
      <c r="N847" s="44"/>
      <c r="O847" s="34"/>
      <c r="P847" s="34"/>
      <c r="Q847" s="34"/>
      <c r="R847" s="34"/>
      <c r="U847" s="44"/>
      <c r="W847" s="95"/>
      <c r="X847" s="54"/>
      <c r="Y847" s="54"/>
      <c r="Z847" s="34"/>
      <c r="AA847" s="34"/>
      <c r="AB847" s="34"/>
      <c r="AC847" s="34"/>
      <c r="AD847" s="34"/>
      <c r="AE847" s="34"/>
      <c r="AF847" s="34"/>
      <c r="AG847" s="34"/>
      <c r="AH847" s="52"/>
      <c r="AI847" s="52"/>
      <c r="AK847" s="34"/>
      <c r="AL847" s="34"/>
      <c r="AM847" s="34"/>
      <c r="AN847" s="54"/>
      <c r="AO847" s="34"/>
      <c r="AP847" s="34"/>
      <c r="AQ847" s="54"/>
      <c r="AR847" s="54"/>
      <c r="AS847" s="54"/>
      <c r="AT847" s="54"/>
      <c r="AU847" s="34"/>
      <c r="AV847" s="34"/>
      <c r="AW847" s="34"/>
      <c r="AX847" s="34"/>
      <c r="AY847" s="34"/>
      <c r="AZ847" s="44"/>
      <c r="BA847" s="34"/>
      <c r="BB847" s="34"/>
    </row>
    <row r="848" spans="1:54" x14ac:dyDescent="0.35" ht="15.0" customHeight="true">
      <c r="A848" s="51"/>
      <c r="B848" s="34"/>
      <c r="C848" s="34"/>
      <c r="D848" s="34"/>
      <c r="E848" s="34"/>
      <c r="F848" s="34"/>
      <c r="G848" s="44"/>
      <c r="H848" s="34"/>
      <c r="I848" s="54"/>
      <c r="J848" s="34"/>
      <c r="K848" s="54"/>
      <c r="L848" s="34"/>
      <c r="M848" s="44"/>
      <c r="N848" s="44"/>
      <c r="O848" s="34"/>
      <c r="P848" s="34"/>
      <c r="Q848" s="34"/>
      <c r="R848" s="34"/>
      <c r="U848" s="44"/>
      <c r="W848" s="95"/>
      <c r="X848" s="54"/>
      <c r="Y848" s="54"/>
      <c r="Z848" s="34"/>
      <c r="AA848" s="34"/>
      <c r="AB848" s="34"/>
      <c r="AC848" s="34"/>
      <c r="AD848" s="34"/>
      <c r="AE848" s="34"/>
      <c r="AF848" s="34"/>
      <c r="AG848" s="34"/>
      <c r="AH848" s="52"/>
      <c r="AI848" s="52"/>
      <c r="AK848" s="34"/>
      <c r="AL848" s="34"/>
      <c r="AM848" s="34"/>
      <c r="AN848" s="54"/>
      <c r="AO848" s="34"/>
      <c r="AP848" s="34"/>
      <c r="AQ848" s="54"/>
      <c r="AR848" s="54"/>
      <c r="AS848" s="54"/>
      <c r="AT848" s="54"/>
      <c r="AU848" s="34"/>
      <c r="AV848" s="34"/>
      <c r="AW848" s="34"/>
      <c r="AX848" s="34"/>
      <c r="AY848" s="34"/>
      <c r="AZ848" s="44"/>
      <c r="BA848" s="34"/>
      <c r="BB848" s="34"/>
    </row>
    <row r="849" spans="1:54" x14ac:dyDescent="0.35" ht="15.0" customHeight="true">
      <c r="A849" s="51"/>
      <c r="B849" s="34"/>
      <c r="C849" s="34"/>
      <c r="D849" s="34"/>
      <c r="E849" s="34"/>
      <c r="F849" s="34"/>
      <c r="G849" s="44"/>
      <c r="H849" s="34"/>
      <c r="I849" s="54"/>
      <c r="J849" s="34"/>
      <c r="K849" s="54"/>
      <c r="L849" s="34"/>
      <c r="M849" s="44"/>
      <c r="N849" s="44"/>
      <c r="O849" s="34"/>
      <c r="P849" s="34"/>
      <c r="Q849" s="34"/>
      <c r="R849" s="34"/>
      <c r="U849" s="44"/>
      <c r="W849" s="95"/>
      <c r="X849" s="54"/>
      <c r="Y849" s="54"/>
      <c r="Z849" s="34"/>
      <c r="AA849" s="34"/>
      <c r="AB849" s="34"/>
      <c r="AC849" s="34"/>
      <c r="AD849" s="34"/>
      <c r="AE849" s="34"/>
      <c r="AF849" s="34"/>
      <c r="AG849" s="34"/>
      <c r="AH849" s="52"/>
      <c r="AI849" s="52"/>
      <c r="AK849" s="34"/>
      <c r="AL849" s="34"/>
      <c r="AM849" s="34"/>
      <c r="AN849" s="54"/>
      <c r="AO849" s="34"/>
      <c r="AP849" s="34"/>
      <c r="AQ849" s="54"/>
      <c r="AR849" s="54"/>
      <c r="AS849" s="54"/>
      <c r="AT849" s="54"/>
      <c r="AU849" s="34"/>
      <c r="AV849" s="34"/>
      <c r="AW849" s="34"/>
      <c r="AX849" s="34"/>
      <c r="AY849" s="34"/>
      <c r="AZ849" s="44"/>
      <c r="BA849" s="34"/>
      <c r="BB849" s="34"/>
    </row>
    <row r="850" spans="1:54" x14ac:dyDescent="0.35" ht="15.0" customHeight="true">
      <c r="A850" s="51"/>
      <c r="B850" s="34"/>
      <c r="C850" s="34"/>
      <c r="D850" s="34"/>
      <c r="E850" s="34"/>
      <c r="F850" s="34"/>
      <c r="G850" s="44"/>
      <c r="H850" s="34"/>
      <c r="I850" s="54"/>
      <c r="J850" s="34"/>
      <c r="K850" s="54"/>
      <c r="L850" s="34"/>
      <c r="M850" s="44"/>
      <c r="N850" s="44"/>
      <c r="O850" s="34"/>
      <c r="P850" s="34"/>
      <c r="Q850" s="34"/>
      <c r="R850" s="34"/>
      <c r="U850" s="44"/>
      <c r="W850" s="95"/>
      <c r="X850" s="54"/>
      <c r="Y850" s="54"/>
      <c r="Z850" s="34"/>
      <c r="AA850" s="34"/>
      <c r="AB850" s="34"/>
      <c r="AC850" s="34"/>
      <c r="AD850" s="34"/>
      <c r="AE850" s="34"/>
      <c r="AF850" s="34"/>
      <c r="AG850" s="34"/>
      <c r="AH850" s="52"/>
      <c r="AI850" s="52"/>
      <c r="AK850" s="34"/>
      <c r="AL850" s="34"/>
      <c r="AM850" s="34"/>
      <c r="AN850" s="54"/>
      <c r="AO850" s="34"/>
      <c r="AP850" s="34"/>
      <c r="AQ850" s="54"/>
      <c r="AR850" s="54"/>
      <c r="AS850" s="54"/>
      <c r="AT850" s="54"/>
      <c r="AU850" s="34"/>
      <c r="AV850" s="34"/>
      <c r="AW850" s="34"/>
      <c r="AX850" s="34"/>
      <c r="AY850" s="34"/>
      <c r="AZ850" s="44"/>
      <c r="BA850" s="34"/>
      <c r="BB850" s="34"/>
    </row>
    <row r="851" spans="1:54" x14ac:dyDescent="0.35" ht="15.0" customHeight="true">
      <c r="A851" s="51"/>
      <c r="B851" s="34"/>
      <c r="C851" s="34"/>
      <c r="D851" s="34"/>
      <c r="E851" s="34"/>
      <c r="F851" s="34"/>
      <c r="G851" s="44"/>
      <c r="H851" s="34"/>
      <c r="I851" s="54"/>
      <c r="J851" s="34"/>
      <c r="K851" s="54"/>
      <c r="L851" s="34"/>
      <c r="M851" s="44"/>
      <c r="N851" s="44"/>
      <c r="O851" s="34"/>
      <c r="P851" s="34"/>
      <c r="Q851" s="34"/>
      <c r="R851" s="34"/>
      <c r="U851" s="44"/>
      <c r="W851" s="95"/>
      <c r="X851" s="54"/>
      <c r="Y851" s="54"/>
      <c r="Z851" s="34"/>
      <c r="AA851" s="34"/>
      <c r="AB851" s="34"/>
      <c r="AC851" s="34"/>
      <c r="AD851" s="34"/>
      <c r="AE851" s="34"/>
      <c r="AF851" s="34"/>
      <c r="AG851" s="34"/>
      <c r="AH851" s="52"/>
      <c r="AI851" s="52"/>
      <c r="AK851" s="34"/>
      <c r="AL851" s="34"/>
      <c r="AM851" s="34"/>
      <c r="AN851" s="54"/>
      <c r="AO851" s="34"/>
      <c r="AP851" s="34"/>
      <c r="AQ851" s="54"/>
      <c r="AR851" s="54"/>
      <c r="AS851" s="54"/>
      <c r="AT851" s="54"/>
      <c r="AU851" s="34"/>
      <c r="AV851" s="34"/>
      <c r="AW851" s="34"/>
      <c r="AX851" s="34"/>
      <c r="AY851" s="34"/>
      <c r="AZ851" s="44"/>
      <c r="BA851" s="34"/>
      <c r="BB851" s="34"/>
    </row>
    <row r="852" spans="1:54" x14ac:dyDescent="0.35" ht="15.0" customHeight="true">
      <c r="A852" s="51"/>
      <c r="B852" s="34"/>
      <c r="C852" s="34"/>
      <c r="D852" s="34"/>
      <c r="E852" s="34"/>
      <c r="F852" s="34"/>
      <c r="G852" s="44"/>
      <c r="H852" s="34"/>
      <c r="I852" s="54"/>
      <c r="J852" s="34"/>
      <c r="K852" s="54"/>
      <c r="L852" s="34"/>
      <c r="M852" s="44"/>
      <c r="N852" s="44"/>
      <c r="O852" s="34"/>
      <c r="P852" s="34"/>
      <c r="Q852" s="34"/>
      <c r="R852" s="34"/>
      <c r="U852" s="44"/>
      <c r="W852" s="95"/>
      <c r="X852" s="54"/>
      <c r="Y852" s="54"/>
      <c r="Z852" s="34"/>
      <c r="AA852" s="34"/>
      <c r="AB852" s="34"/>
      <c r="AC852" s="34"/>
      <c r="AD852" s="34"/>
      <c r="AE852" s="34"/>
      <c r="AF852" s="34"/>
      <c r="AG852" s="34"/>
      <c r="AH852" s="52"/>
      <c r="AI852" s="52"/>
      <c r="AK852" s="34"/>
      <c r="AL852" s="34"/>
      <c r="AM852" s="34"/>
      <c r="AN852" s="54"/>
      <c r="AO852" s="34"/>
      <c r="AP852" s="34"/>
      <c r="AQ852" s="54"/>
      <c r="AR852" s="54"/>
      <c r="AS852" s="54"/>
      <c r="AT852" s="54"/>
      <c r="AU852" s="34"/>
      <c r="AV852" s="34"/>
      <c r="AW852" s="34"/>
      <c r="AX852" s="34"/>
      <c r="AY852" s="34"/>
      <c r="AZ852" s="44"/>
      <c r="BA852" s="34"/>
      <c r="BB852" s="34"/>
    </row>
    <row r="853" spans="1:54" x14ac:dyDescent="0.35" ht="15.0" customHeight="true">
      <c r="A853" s="51"/>
      <c r="B853" s="34"/>
      <c r="C853" s="34"/>
      <c r="D853" s="34"/>
      <c r="E853" s="34"/>
      <c r="F853" s="34"/>
      <c r="G853" s="44"/>
      <c r="H853" s="34"/>
      <c r="I853" s="54"/>
      <c r="J853" s="34"/>
      <c r="K853" s="54"/>
      <c r="L853" s="34"/>
      <c r="M853" s="44"/>
      <c r="N853" s="44"/>
      <c r="O853" s="34"/>
      <c r="P853" s="34"/>
      <c r="Q853" s="34"/>
      <c r="R853" s="34"/>
      <c r="U853" s="44"/>
      <c r="W853" s="95"/>
      <c r="X853" s="54"/>
      <c r="Y853" s="54"/>
      <c r="Z853" s="34"/>
      <c r="AA853" s="34"/>
      <c r="AB853" s="34"/>
      <c r="AC853" s="34"/>
      <c r="AD853" s="34"/>
      <c r="AE853" s="34"/>
      <c r="AF853" s="34"/>
      <c r="AG853" s="34"/>
      <c r="AH853" s="52"/>
      <c r="AI853" s="52"/>
      <c r="AK853" s="34"/>
      <c r="AL853" s="34"/>
      <c r="AM853" s="34"/>
      <c r="AN853" s="54"/>
      <c r="AO853" s="34"/>
      <c r="AP853" s="34"/>
      <c r="AQ853" s="54"/>
      <c r="AR853" s="54"/>
      <c r="AS853" s="54"/>
      <c r="AT853" s="54"/>
      <c r="AU853" s="34"/>
      <c r="AV853" s="34"/>
      <c r="AW853" s="34"/>
      <c r="AX853" s="34"/>
      <c r="AY853" s="34"/>
      <c r="AZ853" s="44"/>
      <c r="BA853" s="34"/>
      <c r="BB853" s="34"/>
    </row>
    <row r="854" spans="1:54" x14ac:dyDescent="0.35" ht="15.0" customHeight="true">
      <c r="A854" s="51"/>
      <c r="B854" s="34"/>
      <c r="C854" s="34"/>
      <c r="D854" s="34"/>
      <c r="E854" s="34"/>
      <c r="F854" s="34"/>
      <c r="G854" s="44"/>
      <c r="H854" s="34"/>
      <c r="I854" s="54"/>
      <c r="J854" s="34"/>
      <c r="K854" s="54"/>
      <c r="L854" s="34"/>
      <c r="M854" s="44"/>
      <c r="N854" s="44"/>
      <c r="O854" s="34"/>
      <c r="P854" s="34"/>
      <c r="Q854" s="34"/>
      <c r="R854" s="34"/>
      <c r="U854" s="44"/>
      <c r="W854" s="95"/>
      <c r="X854" s="54"/>
      <c r="Y854" s="54"/>
      <c r="Z854" s="34"/>
      <c r="AA854" s="34"/>
      <c r="AB854" s="34"/>
      <c r="AC854" s="34"/>
      <c r="AD854" s="34"/>
      <c r="AE854" s="34"/>
      <c r="AF854" s="34"/>
      <c r="AG854" s="34"/>
      <c r="AH854" s="52"/>
      <c r="AI854" s="52"/>
      <c r="AK854" s="34"/>
      <c r="AL854" s="34"/>
      <c r="AM854" s="34"/>
      <c r="AN854" s="54"/>
      <c r="AO854" s="34"/>
      <c r="AP854" s="34"/>
      <c r="AQ854" s="54"/>
      <c r="AR854" s="54"/>
      <c r="AS854" s="54"/>
      <c r="AT854" s="54"/>
      <c r="AU854" s="34"/>
      <c r="AV854" s="34"/>
      <c r="AW854" s="34"/>
      <c r="AX854" s="34"/>
      <c r="AY854" s="34"/>
      <c r="AZ854" s="44"/>
      <c r="BA854" s="34"/>
      <c r="BB854" s="34"/>
    </row>
    <row r="855" spans="1:54" x14ac:dyDescent="0.35" ht="15.0" customHeight="true">
      <c r="A855" s="51"/>
      <c r="B855" s="34"/>
      <c r="C855" s="34"/>
      <c r="D855" s="34"/>
      <c r="E855" s="34"/>
      <c r="F855" s="34"/>
      <c r="G855" s="44"/>
      <c r="H855" s="34"/>
      <c r="I855" s="54"/>
      <c r="J855" s="34"/>
      <c r="K855" s="54"/>
      <c r="L855" s="34"/>
      <c r="M855" s="44"/>
      <c r="N855" s="44"/>
      <c r="O855" s="34"/>
      <c r="P855" s="34"/>
      <c r="Q855" s="34"/>
      <c r="R855" s="34"/>
      <c r="U855" s="44"/>
      <c r="W855" s="95"/>
      <c r="X855" s="54"/>
      <c r="Y855" s="54"/>
      <c r="Z855" s="34"/>
      <c r="AA855" s="34"/>
      <c r="AB855" s="34"/>
      <c r="AC855" s="34"/>
      <c r="AD855" s="34"/>
      <c r="AE855" s="34"/>
      <c r="AF855" s="34"/>
      <c r="AG855" s="34"/>
      <c r="AH855" s="52"/>
      <c r="AI855" s="52"/>
      <c r="AK855" s="34"/>
      <c r="AL855" s="34"/>
      <c r="AM855" s="34"/>
      <c r="AN855" s="54"/>
      <c r="AO855" s="34"/>
      <c r="AP855" s="34"/>
      <c r="AQ855" s="54"/>
      <c r="AR855" s="54"/>
      <c r="AS855" s="54"/>
      <c r="AT855" s="54"/>
      <c r="AU855" s="34"/>
      <c r="AV855" s="34"/>
      <c r="AW855" s="34"/>
      <c r="AX855" s="34"/>
      <c r="AY855" s="34"/>
      <c r="AZ855" s="44"/>
      <c r="BA855" s="34"/>
      <c r="BB855" s="34"/>
    </row>
    <row r="856" spans="1:54" x14ac:dyDescent="0.35" ht="15.0" customHeight="true">
      <c r="A856" s="51"/>
      <c r="B856" s="34"/>
      <c r="C856" s="34"/>
      <c r="D856" s="34"/>
      <c r="E856" s="34"/>
      <c r="F856" s="34"/>
      <c r="G856" s="44"/>
      <c r="H856" s="34"/>
      <c r="I856" s="54"/>
      <c r="J856" s="34"/>
      <c r="K856" s="54"/>
      <c r="L856" s="34"/>
      <c r="M856" s="44"/>
      <c r="N856" s="44"/>
      <c r="O856" s="34"/>
      <c r="P856" s="34"/>
      <c r="Q856" s="34"/>
      <c r="R856" s="34"/>
      <c r="U856" s="44"/>
      <c r="W856" s="95"/>
      <c r="X856" s="54"/>
      <c r="Y856" s="54"/>
      <c r="Z856" s="34"/>
      <c r="AA856" s="34"/>
      <c r="AB856" s="34"/>
      <c r="AC856" s="34"/>
      <c r="AD856" s="34"/>
      <c r="AE856" s="34"/>
      <c r="AF856" s="34"/>
      <c r="AG856" s="34"/>
      <c r="AH856" s="52"/>
      <c r="AI856" s="52"/>
      <c r="AK856" s="34"/>
      <c r="AL856" s="34"/>
      <c r="AM856" s="34"/>
      <c r="AN856" s="54"/>
      <c r="AO856" s="34"/>
      <c r="AP856" s="34"/>
      <c r="AQ856" s="54"/>
      <c r="AR856" s="54"/>
      <c r="AS856" s="54"/>
      <c r="AT856" s="54"/>
      <c r="AU856" s="34"/>
      <c r="AV856" s="34"/>
      <c r="AW856" s="34"/>
      <c r="AX856" s="34"/>
      <c r="AY856" s="34"/>
      <c r="AZ856" s="44"/>
      <c r="BA856" s="34"/>
      <c r="BB856" s="34"/>
    </row>
    <row r="857" spans="1:54" x14ac:dyDescent="0.35" ht="15.0" customHeight="true">
      <c r="A857" s="51"/>
      <c r="B857" s="34"/>
      <c r="C857" s="34"/>
      <c r="D857" s="34"/>
      <c r="E857" s="34"/>
      <c r="F857" s="34"/>
      <c r="G857" s="44"/>
      <c r="H857" s="34"/>
      <c r="I857" s="54"/>
      <c r="J857" s="34"/>
      <c r="K857" s="54"/>
      <c r="L857" s="34"/>
      <c r="M857" s="44"/>
      <c r="N857" s="44"/>
      <c r="O857" s="34"/>
      <c r="P857" s="34"/>
      <c r="Q857" s="34"/>
      <c r="R857" s="34"/>
      <c r="U857" s="44"/>
      <c r="W857" s="95"/>
      <c r="X857" s="54"/>
      <c r="Y857" s="54"/>
      <c r="Z857" s="34"/>
      <c r="AA857" s="34"/>
      <c r="AB857" s="34"/>
      <c r="AC857" s="34"/>
      <c r="AD857" s="34"/>
      <c r="AE857" s="34"/>
      <c r="AF857" s="34"/>
      <c r="AG857" s="34"/>
      <c r="AH857" s="52"/>
      <c r="AI857" s="52"/>
      <c r="AK857" s="34"/>
      <c r="AL857" s="34"/>
      <c r="AM857" s="34"/>
      <c r="AN857" s="54"/>
      <c r="AO857" s="34"/>
      <c r="AP857" s="34"/>
      <c r="AQ857" s="54"/>
      <c r="AR857" s="54"/>
      <c r="AS857" s="54"/>
      <c r="AT857" s="54"/>
      <c r="AU857" s="34"/>
      <c r="AV857" s="34"/>
      <c r="AW857" s="34"/>
      <c r="AX857" s="34"/>
      <c r="AY857" s="34"/>
      <c r="AZ857" s="44"/>
      <c r="BA857" s="34"/>
      <c r="BB857" s="34"/>
    </row>
    <row r="858" spans="1:54" x14ac:dyDescent="0.35" ht="15.0" customHeight="true">
      <c r="A858" s="51"/>
      <c r="B858" s="34"/>
      <c r="C858" s="34"/>
      <c r="D858" s="34"/>
      <c r="E858" s="34"/>
      <c r="F858" s="34"/>
      <c r="G858" s="44"/>
      <c r="H858" s="34"/>
      <c r="I858" s="54"/>
      <c r="J858" s="34"/>
      <c r="K858" s="54"/>
      <c r="L858" s="34"/>
      <c r="M858" s="44"/>
      <c r="N858" s="44"/>
      <c r="O858" s="34"/>
      <c r="P858" s="34"/>
      <c r="Q858" s="34"/>
      <c r="R858" s="34"/>
      <c r="U858" s="44"/>
      <c r="W858" s="95"/>
      <c r="X858" s="54"/>
      <c r="Y858" s="54"/>
      <c r="Z858" s="34"/>
      <c r="AA858" s="34"/>
      <c r="AB858" s="34"/>
      <c r="AC858" s="34"/>
      <c r="AD858" s="34"/>
      <c r="AE858" s="34"/>
      <c r="AF858" s="34"/>
      <c r="AG858" s="34"/>
      <c r="AH858" s="52"/>
      <c r="AI858" s="52"/>
      <c r="AK858" s="34"/>
      <c r="AL858" s="34"/>
      <c r="AM858" s="34"/>
      <c r="AN858" s="54"/>
      <c r="AO858" s="34"/>
      <c r="AP858" s="34"/>
      <c r="AQ858" s="54"/>
      <c r="AR858" s="54"/>
      <c r="AS858" s="54"/>
      <c r="AT858" s="54"/>
      <c r="AU858" s="34"/>
      <c r="AV858" s="34"/>
      <c r="AW858" s="34"/>
      <c r="AX858" s="34"/>
      <c r="AY858" s="34"/>
      <c r="AZ858" s="44"/>
      <c r="BA858" s="34"/>
      <c r="BB858" s="34"/>
    </row>
    <row r="859" spans="1:54" x14ac:dyDescent="0.35" ht="15.0" customHeight="true">
      <c r="A859" s="51"/>
      <c r="B859" s="34"/>
      <c r="C859" s="34"/>
      <c r="D859" s="34"/>
      <c r="E859" s="34"/>
      <c r="F859" s="34"/>
      <c r="G859" s="44"/>
      <c r="H859" s="34"/>
      <c r="I859" s="54"/>
      <c r="J859" s="34"/>
      <c r="K859" s="54"/>
      <c r="L859" s="34"/>
      <c r="M859" s="44"/>
      <c r="N859" s="44"/>
      <c r="O859" s="34"/>
      <c r="P859" s="34"/>
      <c r="Q859" s="34"/>
      <c r="R859" s="34"/>
      <c r="U859" s="44"/>
      <c r="W859" s="95"/>
      <c r="X859" s="54"/>
      <c r="Y859" s="54"/>
      <c r="Z859" s="34"/>
      <c r="AA859" s="34"/>
      <c r="AB859" s="34"/>
      <c r="AC859" s="34"/>
      <c r="AD859" s="34"/>
      <c r="AE859" s="34"/>
      <c r="AF859" s="34"/>
      <c r="AG859" s="34"/>
      <c r="AH859" s="52"/>
      <c r="AI859" s="52"/>
      <c r="AK859" s="34"/>
      <c r="AL859" s="34"/>
      <c r="AM859" s="34"/>
      <c r="AN859" s="54"/>
      <c r="AO859" s="34"/>
      <c r="AP859" s="34"/>
      <c r="AQ859" s="54"/>
      <c r="AR859" s="54"/>
      <c r="AS859" s="54"/>
      <c r="AT859" s="54"/>
      <c r="AU859" s="34"/>
      <c r="AV859" s="34"/>
      <c r="AW859" s="34"/>
      <c r="AX859" s="34"/>
      <c r="AY859" s="34"/>
      <c r="AZ859" s="44"/>
      <c r="BA859" s="34"/>
      <c r="BB859" s="34"/>
    </row>
    <row r="860" spans="1:54" x14ac:dyDescent="0.35" ht="15.0" customHeight="true">
      <c r="A860" s="51"/>
      <c r="B860" s="34"/>
      <c r="C860" s="34"/>
      <c r="D860" s="34"/>
      <c r="E860" s="34"/>
      <c r="F860" s="34"/>
      <c r="G860" s="44"/>
      <c r="H860" s="34"/>
      <c r="I860" s="54"/>
      <c r="J860" s="34"/>
      <c r="K860" s="54"/>
      <c r="L860" s="34"/>
      <c r="M860" s="44"/>
      <c r="N860" s="44"/>
      <c r="O860" s="34"/>
      <c r="P860" s="34"/>
      <c r="Q860" s="34"/>
      <c r="R860" s="34"/>
      <c r="U860" s="44"/>
      <c r="W860" s="95"/>
      <c r="X860" s="54"/>
      <c r="Y860" s="54"/>
      <c r="Z860" s="34"/>
      <c r="AA860" s="34"/>
      <c r="AB860" s="34"/>
      <c r="AC860" s="34"/>
      <c r="AD860" s="34"/>
      <c r="AE860" s="34"/>
      <c r="AF860" s="34"/>
      <c r="AG860" s="34"/>
      <c r="AH860" s="52"/>
      <c r="AI860" s="52"/>
      <c r="AK860" s="34"/>
      <c r="AL860" s="34"/>
      <c r="AM860" s="34"/>
      <c r="AN860" s="54"/>
      <c r="AO860" s="34"/>
      <c r="AP860" s="34"/>
      <c r="AQ860" s="54"/>
      <c r="AR860" s="54"/>
      <c r="AS860" s="54"/>
      <c r="AT860" s="54"/>
      <c r="AU860" s="34"/>
      <c r="AV860" s="34"/>
      <c r="AW860" s="34"/>
      <c r="AX860" s="34"/>
      <c r="AY860" s="34"/>
      <c r="AZ860" s="44"/>
      <c r="BA860" s="34"/>
      <c r="BB860" s="34"/>
    </row>
    <row r="861" spans="1:54" x14ac:dyDescent="0.35" ht="15.0" customHeight="true">
      <c r="A861" s="51"/>
      <c r="B861" s="34"/>
      <c r="C861" s="34"/>
      <c r="D861" s="34"/>
      <c r="E861" s="34"/>
      <c r="F861" s="34"/>
      <c r="G861" s="44"/>
      <c r="H861" s="34"/>
      <c r="I861" s="54"/>
      <c r="J861" s="34"/>
      <c r="K861" s="54"/>
      <c r="L861" s="34"/>
      <c r="M861" s="44"/>
      <c r="N861" s="44"/>
      <c r="O861" s="34"/>
      <c r="P861" s="34"/>
      <c r="Q861" s="34"/>
      <c r="R861" s="34"/>
      <c r="U861" s="44"/>
      <c r="W861" s="95"/>
      <c r="X861" s="54"/>
      <c r="Y861" s="54"/>
      <c r="Z861" s="34"/>
      <c r="AA861" s="34"/>
      <c r="AB861" s="34"/>
      <c r="AC861" s="34"/>
      <c r="AD861" s="34"/>
      <c r="AE861" s="34"/>
      <c r="AF861" s="34"/>
      <c r="AG861" s="34"/>
      <c r="AH861" s="52"/>
      <c r="AI861" s="52"/>
      <c r="AK861" s="34"/>
      <c r="AL861" s="34"/>
      <c r="AM861" s="34"/>
      <c r="AN861" s="54"/>
      <c r="AO861" s="34"/>
      <c r="AP861" s="34"/>
      <c r="AQ861" s="54"/>
      <c r="AR861" s="54"/>
      <c r="AS861" s="54"/>
      <c r="AT861" s="54"/>
      <c r="AU861" s="34"/>
      <c r="AV861" s="34"/>
      <c r="AW861" s="34"/>
      <c r="AX861" s="34"/>
      <c r="AY861" s="34"/>
      <c r="AZ861" s="44"/>
      <c r="BA861" s="34"/>
      <c r="BB861" s="34"/>
    </row>
    <row r="862" spans="1:54" x14ac:dyDescent="0.35" ht="15.0" customHeight="true">
      <c r="A862" s="51"/>
      <c r="B862" s="34"/>
      <c r="C862" s="34"/>
      <c r="D862" s="34"/>
      <c r="E862" s="34"/>
      <c r="F862" s="34"/>
      <c r="G862" s="44"/>
      <c r="H862" s="34"/>
      <c r="I862" s="54"/>
      <c r="J862" s="34"/>
      <c r="K862" s="54"/>
      <c r="L862" s="34"/>
      <c r="M862" s="44"/>
      <c r="N862" s="44"/>
      <c r="O862" s="34"/>
      <c r="P862" s="34"/>
      <c r="Q862" s="34"/>
      <c r="R862" s="34"/>
      <c r="U862" s="44"/>
      <c r="W862" s="95"/>
      <c r="X862" s="54"/>
      <c r="Y862" s="54"/>
      <c r="Z862" s="34"/>
      <c r="AA862" s="34"/>
      <c r="AB862" s="34"/>
      <c r="AC862" s="34"/>
      <c r="AD862" s="34"/>
      <c r="AE862" s="34"/>
      <c r="AF862" s="34"/>
      <c r="AG862" s="34"/>
      <c r="AH862" s="52"/>
      <c r="AI862" s="52"/>
      <c r="AK862" s="34"/>
      <c r="AL862" s="34"/>
      <c r="AM862" s="34"/>
      <c r="AN862" s="54"/>
      <c r="AO862" s="34"/>
      <c r="AP862" s="34"/>
      <c r="AQ862" s="54"/>
      <c r="AR862" s="54"/>
      <c r="AS862" s="54"/>
      <c r="AT862" s="54"/>
      <c r="AU862" s="34"/>
      <c r="AV862" s="34"/>
      <c r="AW862" s="34"/>
      <c r="AX862" s="34"/>
      <c r="AY862" s="34"/>
      <c r="AZ862" s="44"/>
      <c r="BA862" s="34"/>
      <c r="BB862" s="34"/>
    </row>
    <row r="863" spans="1:54" x14ac:dyDescent="0.35" ht="15.0" customHeight="true">
      <c r="A863" s="51"/>
      <c r="B863" s="34"/>
      <c r="C863" s="34"/>
      <c r="D863" s="34"/>
      <c r="E863" s="34"/>
      <c r="F863" s="34"/>
      <c r="G863" s="44"/>
      <c r="H863" s="34"/>
      <c r="I863" s="54"/>
      <c r="J863" s="34"/>
      <c r="K863" s="54"/>
      <c r="L863" s="34"/>
      <c r="M863" s="44"/>
      <c r="N863" s="44"/>
      <c r="O863" s="34"/>
      <c r="P863" s="34"/>
      <c r="Q863" s="34"/>
      <c r="R863" s="34"/>
      <c r="U863" s="44"/>
      <c r="W863" s="95"/>
      <c r="X863" s="54"/>
      <c r="Y863" s="54"/>
      <c r="Z863" s="34"/>
      <c r="AA863" s="34"/>
      <c r="AB863" s="34"/>
      <c r="AC863" s="34"/>
      <c r="AD863" s="34"/>
      <c r="AE863" s="34"/>
      <c r="AF863" s="34"/>
      <c r="AG863" s="34"/>
      <c r="AH863" s="52"/>
      <c r="AI863" s="52"/>
      <c r="AK863" s="34"/>
      <c r="AL863" s="34"/>
      <c r="AM863" s="34"/>
      <c r="AN863" s="54"/>
      <c r="AO863" s="34"/>
      <c r="AP863" s="34"/>
      <c r="AQ863" s="54"/>
      <c r="AR863" s="54"/>
      <c r="AS863" s="54"/>
      <c r="AT863" s="54"/>
      <c r="AU863" s="34"/>
      <c r="AV863" s="34"/>
      <c r="AW863" s="34"/>
      <c r="AX863" s="34"/>
      <c r="AY863" s="34"/>
      <c r="AZ863" s="44"/>
      <c r="BA863" s="34"/>
      <c r="BB863" s="34"/>
    </row>
    <row r="864" spans="1:54" x14ac:dyDescent="0.35" ht="15.0" customHeight="true">
      <c r="A864" s="51"/>
      <c r="B864" s="34"/>
      <c r="C864" s="34"/>
      <c r="D864" s="34"/>
      <c r="E864" s="34"/>
      <c r="F864" s="34"/>
      <c r="G864" s="44"/>
      <c r="H864" s="34"/>
      <c r="I864" s="54"/>
      <c r="J864" s="34"/>
      <c r="K864" s="54"/>
      <c r="L864" s="34"/>
      <c r="M864" s="44"/>
      <c r="N864" s="44"/>
      <c r="O864" s="34"/>
      <c r="P864" s="34"/>
      <c r="Q864" s="34"/>
      <c r="R864" s="34"/>
      <c r="U864" s="44"/>
      <c r="W864" s="95"/>
      <c r="X864" s="54"/>
      <c r="Y864" s="54"/>
      <c r="Z864" s="34"/>
      <c r="AA864" s="34"/>
      <c r="AB864" s="34"/>
      <c r="AC864" s="34"/>
      <c r="AD864" s="34"/>
      <c r="AE864" s="34"/>
      <c r="AF864" s="34"/>
      <c r="AG864" s="34"/>
      <c r="AH864" s="52"/>
      <c r="AI864" s="52"/>
      <c r="AK864" s="34"/>
      <c r="AL864" s="34"/>
      <c r="AM864" s="34"/>
      <c r="AN864" s="54"/>
      <c r="AO864" s="34"/>
      <c r="AP864" s="34"/>
      <c r="AQ864" s="54"/>
      <c r="AR864" s="54"/>
      <c r="AS864" s="54"/>
      <c r="AT864" s="54"/>
      <c r="AU864" s="34"/>
      <c r="AV864" s="34"/>
      <c r="AW864" s="34"/>
      <c r="AX864" s="34"/>
      <c r="AY864" s="34"/>
      <c r="AZ864" s="44"/>
      <c r="BA864" s="34"/>
      <c r="BB864" s="34"/>
    </row>
    <row r="865" spans="1:54" x14ac:dyDescent="0.35" ht="15.0" customHeight="true">
      <c r="A865" s="51"/>
      <c r="B865" s="34"/>
      <c r="C865" s="34"/>
      <c r="D865" s="34"/>
      <c r="E865" s="34"/>
      <c r="F865" s="34"/>
      <c r="G865" s="44"/>
      <c r="H865" s="34"/>
      <c r="I865" s="54"/>
      <c r="J865" s="34"/>
      <c r="K865" s="54"/>
      <c r="L865" s="34"/>
      <c r="M865" s="44"/>
      <c r="N865" s="44"/>
      <c r="O865" s="34"/>
      <c r="P865" s="34"/>
      <c r="Q865" s="34"/>
      <c r="R865" s="34"/>
      <c r="U865" s="44"/>
      <c r="W865" s="95"/>
      <c r="X865" s="54"/>
      <c r="Y865" s="54"/>
      <c r="Z865" s="34"/>
      <c r="AA865" s="34"/>
      <c r="AB865" s="34"/>
      <c r="AC865" s="34"/>
      <c r="AD865" s="34"/>
      <c r="AE865" s="34"/>
      <c r="AF865" s="34"/>
      <c r="AG865" s="34"/>
      <c r="AH865" s="52"/>
      <c r="AI865" s="52"/>
      <c r="AK865" s="34"/>
      <c r="AL865" s="34"/>
      <c r="AM865" s="34"/>
      <c r="AN865" s="54"/>
      <c r="AO865" s="34"/>
      <c r="AP865" s="34"/>
      <c r="AQ865" s="54"/>
      <c r="AR865" s="54"/>
      <c r="AS865" s="54"/>
      <c r="AT865" s="54"/>
      <c r="AU865" s="34"/>
      <c r="AV865" s="34"/>
      <c r="AW865" s="34"/>
      <c r="AX865" s="34"/>
      <c r="AY865" s="34"/>
      <c r="AZ865" s="44"/>
      <c r="BA865" s="34"/>
      <c r="BB865" s="34"/>
    </row>
    <row r="866" spans="1:54" x14ac:dyDescent="0.35" ht="15.0" customHeight="true">
      <c r="A866" s="51"/>
      <c r="B866" s="34"/>
      <c r="C866" s="34"/>
      <c r="D866" s="34"/>
      <c r="E866" s="34"/>
      <c r="F866" s="34"/>
      <c r="G866" s="44"/>
      <c r="H866" s="34"/>
      <c r="I866" s="54"/>
      <c r="J866" s="34"/>
      <c r="K866" s="54"/>
      <c r="L866" s="34"/>
      <c r="M866" s="44"/>
      <c r="N866" s="44"/>
      <c r="O866" s="34"/>
      <c r="P866" s="34"/>
      <c r="Q866" s="34"/>
      <c r="R866" s="34"/>
      <c r="U866" s="44"/>
      <c r="W866" s="95"/>
      <c r="X866" s="54"/>
      <c r="Y866" s="54"/>
      <c r="Z866" s="34"/>
      <c r="AA866" s="34"/>
      <c r="AB866" s="34"/>
      <c r="AC866" s="34"/>
      <c r="AD866" s="34"/>
      <c r="AE866" s="34"/>
      <c r="AF866" s="34"/>
      <c r="AG866" s="34"/>
      <c r="AH866" s="52"/>
      <c r="AI866" s="52"/>
      <c r="AK866" s="34"/>
      <c r="AL866" s="34"/>
      <c r="AM866" s="34"/>
      <c r="AN866" s="54"/>
      <c r="AO866" s="34"/>
      <c r="AP866" s="34"/>
      <c r="AQ866" s="54"/>
      <c r="AR866" s="54"/>
      <c r="AS866" s="54"/>
      <c r="AT866" s="54"/>
      <c r="AU866" s="34"/>
      <c r="AV866" s="34"/>
      <c r="AW866" s="34"/>
      <c r="AX866" s="34"/>
      <c r="AY866" s="34"/>
      <c r="AZ866" s="44"/>
      <c r="BA866" s="34"/>
      <c r="BB866" s="34"/>
    </row>
    <row r="867" spans="1:54" x14ac:dyDescent="0.35" ht="15.0" customHeight="true">
      <c r="A867" s="51"/>
      <c r="B867" s="34"/>
      <c r="C867" s="34"/>
      <c r="D867" s="34"/>
      <c r="E867" s="34"/>
      <c r="F867" s="34"/>
      <c r="G867" s="44"/>
      <c r="H867" s="34"/>
      <c r="I867" s="54"/>
      <c r="J867" s="34"/>
      <c r="K867" s="54"/>
      <c r="L867" s="34"/>
      <c r="M867" s="44"/>
      <c r="N867" s="44"/>
      <c r="O867" s="34"/>
      <c r="P867" s="34"/>
      <c r="Q867" s="34"/>
      <c r="R867" s="34"/>
      <c r="U867" s="44"/>
      <c r="W867" s="95"/>
      <c r="X867" s="54"/>
      <c r="Y867" s="54"/>
      <c r="Z867" s="34"/>
      <c r="AA867" s="34"/>
      <c r="AB867" s="34"/>
      <c r="AC867" s="34"/>
      <c r="AD867" s="34"/>
      <c r="AE867" s="34"/>
      <c r="AF867" s="34"/>
      <c r="AG867" s="34"/>
      <c r="AH867" s="52"/>
      <c r="AI867" s="52"/>
      <c r="AK867" s="34"/>
      <c r="AL867" s="34"/>
      <c r="AM867" s="34"/>
      <c r="AN867" s="54"/>
      <c r="AO867" s="34"/>
      <c r="AP867" s="34"/>
      <c r="AQ867" s="54"/>
      <c r="AR867" s="54"/>
      <c r="AS867" s="54"/>
      <c r="AT867" s="54"/>
      <c r="AU867" s="34"/>
      <c r="AV867" s="34"/>
      <c r="AW867" s="34"/>
      <c r="AX867" s="34"/>
      <c r="AY867" s="34"/>
      <c r="AZ867" s="44"/>
      <c r="BA867" s="34"/>
      <c r="BB867" s="34"/>
    </row>
    <row r="868" spans="1:54" x14ac:dyDescent="0.35" ht="15.0" customHeight="true">
      <c r="A868" s="51"/>
      <c r="B868" s="34"/>
      <c r="C868" s="34"/>
      <c r="D868" s="34"/>
      <c r="E868" s="34"/>
      <c r="F868" s="34"/>
      <c r="G868" s="44"/>
      <c r="H868" s="34"/>
      <c r="I868" s="54"/>
      <c r="J868" s="34"/>
      <c r="K868" s="54"/>
      <c r="L868" s="34"/>
      <c r="M868" s="44"/>
      <c r="N868" s="44"/>
      <c r="O868" s="34"/>
      <c r="P868" s="34"/>
      <c r="Q868" s="34"/>
      <c r="R868" s="34"/>
      <c r="U868" s="44"/>
      <c r="W868" s="95"/>
      <c r="X868" s="54"/>
      <c r="Y868" s="54"/>
      <c r="Z868" s="34"/>
      <c r="AA868" s="34"/>
      <c r="AB868" s="34"/>
      <c r="AC868" s="34"/>
      <c r="AD868" s="34"/>
      <c r="AE868" s="34"/>
      <c r="AF868" s="34"/>
      <c r="AG868" s="34"/>
      <c r="AH868" s="52"/>
      <c r="AI868" s="52"/>
      <c r="AK868" s="34"/>
      <c r="AL868" s="34"/>
      <c r="AM868" s="34"/>
      <c r="AN868" s="54"/>
      <c r="AO868" s="34"/>
      <c r="AP868" s="34"/>
      <c r="AQ868" s="54"/>
      <c r="AR868" s="54"/>
      <c r="AS868" s="54"/>
      <c r="AT868" s="54"/>
      <c r="AU868" s="34"/>
      <c r="AV868" s="34"/>
      <c r="AW868" s="34"/>
      <c r="AX868" s="34"/>
      <c r="AY868" s="34"/>
      <c r="AZ868" s="44"/>
      <c r="BA868" s="34"/>
      <c r="BB868" s="34"/>
    </row>
    <row r="869" spans="1:54" x14ac:dyDescent="0.35" ht="15.0" customHeight="true">
      <c r="A869" s="51"/>
      <c r="B869" s="34"/>
      <c r="C869" s="34"/>
      <c r="D869" s="34"/>
      <c r="E869" s="34"/>
      <c r="F869" s="34"/>
      <c r="G869" s="44"/>
      <c r="H869" s="34"/>
      <c r="I869" s="54"/>
      <c r="J869" s="34"/>
      <c r="K869" s="54"/>
      <c r="L869" s="34"/>
      <c r="M869" s="44"/>
      <c r="N869" s="44"/>
      <c r="O869" s="34"/>
      <c r="P869" s="34"/>
      <c r="Q869" s="34"/>
      <c r="R869" s="34"/>
      <c r="U869" s="44"/>
      <c r="W869" s="95"/>
      <c r="X869" s="54"/>
      <c r="Y869" s="54"/>
      <c r="Z869" s="34"/>
      <c r="AA869" s="34"/>
      <c r="AB869" s="34"/>
      <c r="AC869" s="34"/>
      <c r="AD869" s="34"/>
      <c r="AE869" s="34"/>
      <c r="AF869" s="34"/>
      <c r="AG869" s="34"/>
      <c r="AH869" s="52"/>
      <c r="AI869" s="52"/>
      <c r="AK869" s="34"/>
      <c r="AL869" s="34"/>
      <c r="AM869" s="34"/>
      <c r="AN869" s="54"/>
      <c r="AO869" s="34"/>
      <c r="AP869" s="34"/>
      <c r="AQ869" s="54"/>
      <c r="AR869" s="54"/>
      <c r="AS869" s="54"/>
      <c r="AT869" s="54"/>
      <c r="AU869" s="34"/>
      <c r="AV869" s="34"/>
      <c r="AW869" s="34"/>
      <c r="AX869" s="34"/>
      <c r="AY869" s="34"/>
      <c r="AZ869" s="44"/>
      <c r="BA869" s="34"/>
      <c r="BB869" s="34"/>
    </row>
    <row r="870" spans="1:54" x14ac:dyDescent="0.35" ht="15.0" customHeight="true">
      <c r="A870" s="51"/>
      <c r="B870" s="34"/>
      <c r="C870" s="34"/>
      <c r="D870" s="34"/>
      <c r="E870" s="34"/>
      <c r="F870" s="34"/>
      <c r="G870" s="44"/>
      <c r="H870" s="34"/>
      <c r="I870" s="54"/>
      <c r="J870" s="34"/>
      <c r="K870" s="54"/>
      <c r="L870" s="34"/>
      <c r="M870" s="44"/>
      <c r="N870" s="44"/>
      <c r="O870" s="34"/>
      <c r="P870" s="34"/>
      <c r="Q870" s="34"/>
      <c r="R870" s="34"/>
      <c r="U870" s="44"/>
      <c r="W870" s="95"/>
      <c r="X870" s="54"/>
      <c r="Y870" s="54"/>
      <c r="Z870" s="34"/>
      <c r="AA870" s="34"/>
      <c r="AB870" s="34"/>
      <c r="AC870" s="34"/>
      <c r="AD870" s="34"/>
      <c r="AE870" s="34"/>
      <c r="AF870" s="34"/>
      <c r="AG870" s="34"/>
      <c r="AH870" s="52"/>
      <c r="AI870" s="52"/>
      <c r="AK870" s="34"/>
      <c r="AL870" s="34"/>
      <c r="AM870" s="34"/>
      <c r="AN870" s="54"/>
      <c r="AO870" s="34"/>
      <c r="AP870" s="34"/>
      <c r="AQ870" s="54"/>
      <c r="AR870" s="54"/>
      <c r="AS870" s="54"/>
      <c r="AT870" s="54"/>
      <c r="AU870" s="34"/>
      <c r="AV870" s="34"/>
      <c r="AW870" s="34"/>
      <c r="AX870" s="34"/>
      <c r="AY870" s="34"/>
      <c r="AZ870" s="44"/>
      <c r="BA870" s="34"/>
      <c r="BB870" s="34"/>
    </row>
    <row r="871" spans="1:54" x14ac:dyDescent="0.35" ht="15.0" customHeight="true">
      <c r="A871" s="51"/>
      <c r="B871" s="34"/>
      <c r="C871" s="34"/>
      <c r="D871" s="34"/>
      <c r="E871" s="34"/>
      <c r="F871" s="34"/>
      <c r="G871" s="44"/>
      <c r="H871" s="34"/>
      <c r="I871" s="54"/>
      <c r="J871" s="34"/>
      <c r="K871" s="54"/>
      <c r="L871" s="34"/>
      <c r="M871" s="44"/>
      <c r="N871" s="44"/>
      <c r="O871" s="34"/>
      <c r="P871" s="34"/>
      <c r="Q871" s="34"/>
      <c r="R871" s="34"/>
      <c r="U871" s="44"/>
      <c r="W871" s="95"/>
      <c r="X871" s="54"/>
      <c r="Y871" s="54"/>
      <c r="Z871" s="34"/>
      <c r="AA871" s="34"/>
      <c r="AB871" s="34"/>
      <c r="AC871" s="34"/>
      <c r="AD871" s="34"/>
      <c r="AE871" s="34"/>
      <c r="AF871" s="34"/>
      <c r="AG871" s="34"/>
      <c r="AH871" s="52"/>
      <c r="AI871" s="52"/>
      <c r="AK871" s="34"/>
      <c r="AL871" s="34"/>
      <c r="AM871" s="34"/>
      <c r="AN871" s="54"/>
      <c r="AO871" s="34"/>
      <c r="AP871" s="34"/>
      <c r="AQ871" s="54"/>
      <c r="AR871" s="54"/>
      <c r="AS871" s="54"/>
      <c r="AT871" s="54"/>
      <c r="AU871" s="34"/>
      <c r="AV871" s="34"/>
      <c r="AW871" s="34"/>
      <c r="AX871" s="34"/>
      <c r="AY871" s="34"/>
      <c r="AZ871" s="44"/>
      <c r="BA871" s="34"/>
      <c r="BB871" s="34"/>
    </row>
    <row r="872" spans="1:54" x14ac:dyDescent="0.35" ht="15.0" customHeight="true">
      <c r="A872" s="51"/>
      <c r="B872" s="34"/>
      <c r="C872" s="34"/>
      <c r="D872" s="34"/>
      <c r="E872" s="34"/>
      <c r="F872" s="34"/>
      <c r="G872" s="44"/>
      <c r="H872" s="34"/>
      <c r="I872" s="54"/>
      <c r="J872" s="34"/>
      <c r="K872" s="54"/>
      <c r="L872" s="34"/>
      <c r="M872" s="44"/>
      <c r="N872" s="44"/>
      <c r="O872" s="34"/>
      <c r="P872" s="34"/>
      <c r="Q872" s="34"/>
      <c r="R872" s="34"/>
      <c r="U872" s="44"/>
      <c r="W872" s="95"/>
      <c r="X872" s="54"/>
      <c r="Y872" s="54"/>
      <c r="Z872" s="34"/>
      <c r="AA872" s="34"/>
      <c r="AB872" s="34"/>
      <c r="AC872" s="34"/>
      <c r="AD872" s="34"/>
      <c r="AE872" s="34"/>
      <c r="AF872" s="34"/>
      <c r="AG872" s="34"/>
      <c r="AH872" s="52"/>
      <c r="AI872" s="52"/>
      <c r="AK872" s="34"/>
      <c r="AL872" s="34"/>
      <c r="AM872" s="34"/>
      <c r="AN872" s="54"/>
      <c r="AO872" s="34"/>
      <c r="AP872" s="34"/>
      <c r="AQ872" s="54"/>
      <c r="AR872" s="54"/>
      <c r="AS872" s="54"/>
      <c r="AT872" s="54"/>
      <c r="AU872" s="34"/>
      <c r="AV872" s="34"/>
      <c r="AW872" s="34"/>
      <c r="AX872" s="34"/>
      <c r="AY872" s="34"/>
      <c r="AZ872" s="44"/>
      <c r="BA872" s="34"/>
      <c r="BB872" s="34"/>
    </row>
    <row r="873" spans="1:54" x14ac:dyDescent="0.35" ht="15.0" customHeight="true">
      <c r="A873" s="51"/>
      <c r="B873" s="34"/>
      <c r="C873" s="34"/>
      <c r="D873" s="34"/>
      <c r="E873" s="34"/>
      <c r="F873" s="34"/>
      <c r="G873" s="44"/>
      <c r="H873" s="34"/>
      <c r="I873" s="54"/>
      <c r="J873" s="34"/>
      <c r="K873" s="54"/>
      <c r="L873" s="34"/>
      <c r="M873" s="44"/>
      <c r="N873" s="44"/>
      <c r="O873" s="34"/>
      <c r="P873" s="34"/>
      <c r="Q873" s="34"/>
      <c r="R873" s="34"/>
      <c r="U873" s="44"/>
      <c r="W873" s="95"/>
      <c r="X873" s="54"/>
      <c r="Y873" s="54"/>
      <c r="Z873" s="34"/>
      <c r="AA873" s="34"/>
      <c r="AB873" s="34"/>
      <c r="AC873" s="34"/>
      <c r="AD873" s="34"/>
      <c r="AE873" s="34"/>
      <c r="AF873" s="34"/>
      <c r="AG873" s="34"/>
      <c r="AH873" s="52"/>
      <c r="AI873" s="52"/>
      <c r="AK873" s="34"/>
      <c r="AL873" s="34"/>
      <c r="AM873" s="34"/>
      <c r="AN873" s="54"/>
      <c r="AO873" s="34"/>
      <c r="AP873" s="34"/>
      <c r="AQ873" s="54"/>
      <c r="AR873" s="54"/>
      <c r="AS873" s="54"/>
      <c r="AT873" s="54"/>
      <c r="AU873" s="34"/>
      <c r="AV873" s="34"/>
      <c r="AW873" s="34"/>
      <c r="AX873" s="34"/>
      <c r="AY873" s="34"/>
      <c r="AZ873" s="44"/>
      <c r="BA873" s="34"/>
      <c r="BB873" s="34"/>
    </row>
    <row r="874" spans="1:54" x14ac:dyDescent="0.35" ht="15.0" customHeight="true">
      <c r="A874" s="51"/>
      <c r="B874" s="34"/>
      <c r="C874" s="34"/>
      <c r="D874" s="34"/>
      <c r="E874" s="34"/>
      <c r="F874" s="34"/>
      <c r="G874" s="44"/>
      <c r="H874" s="34"/>
      <c r="I874" s="54"/>
      <c r="J874" s="34"/>
      <c r="K874" s="54"/>
      <c r="L874" s="34"/>
      <c r="M874" s="44"/>
      <c r="N874" s="44"/>
      <c r="O874" s="34"/>
      <c r="P874" s="34"/>
      <c r="Q874" s="34"/>
      <c r="R874" s="34"/>
      <c r="U874" s="44"/>
      <c r="W874" s="95"/>
      <c r="X874" s="54"/>
      <c r="Y874" s="54"/>
      <c r="Z874" s="34"/>
      <c r="AA874" s="34"/>
      <c r="AB874" s="34"/>
      <c r="AC874" s="34"/>
      <c r="AD874" s="34"/>
      <c r="AE874" s="34"/>
      <c r="AF874" s="34"/>
      <c r="AG874" s="34"/>
      <c r="AH874" s="52"/>
      <c r="AI874" s="52"/>
      <c r="AK874" s="34"/>
      <c r="AL874" s="34"/>
      <c r="AM874" s="34"/>
      <c r="AN874" s="54"/>
      <c r="AO874" s="34"/>
      <c r="AP874" s="34"/>
      <c r="AQ874" s="54"/>
      <c r="AR874" s="54"/>
      <c r="AS874" s="54"/>
      <c r="AT874" s="54"/>
      <c r="AU874" s="34"/>
      <c r="AV874" s="34"/>
      <c r="AW874" s="34"/>
      <c r="AX874" s="34"/>
      <c r="AY874" s="34"/>
      <c r="AZ874" s="44"/>
      <c r="BA874" s="34"/>
      <c r="BB874" s="34"/>
    </row>
    <row r="875" spans="1:54" x14ac:dyDescent="0.35" ht="15.0" customHeight="true">
      <c r="A875" s="51"/>
      <c r="B875" s="34"/>
      <c r="C875" s="34"/>
      <c r="D875" s="34"/>
      <c r="E875" s="34"/>
      <c r="F875" s="34"/>
      <c r="G875" s="44"/>
      <c r="H875" s="34"/>
      <c r="I875" s="54"/>
      <c r="J875" s="34"/>
      <c r="K875" s="54"/>
      <c r="L875" s="34"/>
      <c r="M875" s="44"/>
      <c r="N875" s="44"/>
      <c r="O875" s="34"/>
      <c r="P875" s="34"/>
      <c r="Q875" s="34"/>
      <c r="R875" s="34"/>
      <c r="U875" s="44"/>
      <c r="W875" s="95"/>
      <c r="X875" s="54"/>
      <c r="Y875" s="54"/>
      <c r="Z875" s="34"/>
      <c r="AA875" s="34"/>
      <c r="AB875" s="34"/>
      <c r="AC875" s="34"/>
      <c r="AD875" s="34"/>
      <c r="AE875" s="34"/>
      <c r="AF875" s="34"/>
      <c r="AG875" s="34"/>
      <c r="AH875" s="52"/>
      <c r="AI875" s="52"/>
      <c r="AK875" s="34"/>
      <c r="AL875" s="34"/>
      <c r="AM875" s="34"/>
      <c r="AN875" s="54"/>
      <c r="AO875" s="34"/>
      <c r="AP875" s="34"/>
      <c r="AQ875" s="54"/>
      <c r="AR875" s="54"/>
      <c r="AS875" s="54"/>
      <c r="AT875" s="54"/>
      <c r="AU875" s="34"/>
      <c r="AV875" s="34"/>
      <c r="AW875" s="34"/>
      <c r="AX875" s="34"/>
      <c r="AY875" s="34"/>
      <c r="AZ875" s="44"/>
      <c r="BA875" s="34"/>
      <c r="BB875" s="34"/>
    </row>
    <row r="876" spans="1:54" x14ac:dyDescent="0.35" ht="15.0" customHeight="true">
      <c r="A876" s="51"/>
      <c r="B876" s="34"/>
      <c r="C876" s="34"/>
      <c r="D876" s="34"/>
      <c r="E876" s="34"/>
      <c r="F876" s="34"/>
      <c r="G876" s="44"/>
      <c r="H876" s="34"/>
      <c r="I876" s="54"/>
      <c r="J876" s="34"/>
      <c r="K876" s="54"/>
      <c r="L876" s="34"/>
      <c r="M876" s="44"/>
      <c r="N876" s="44"/>
      <c r="O876" s="34"/>
      <c r="P876" s="34"/>
      <c r="Q876" s="34"/>
      <c r="R876" s="34"/>
      <c r="U876" s="44"/>
      <c r="W876" s="95"/>
      <c r="X876" s="54"/>
      <c r="Y876" s="54"/>
      <c r="Z876" s="34"/>
      <c r="AA876" s="34"/>
      <c r="AB876" s="34"/>
      <c r="AC876" s="34"/>
      <c r="AD876" s="34"/>
      <c r="AE876" s="34"/>
      <c r="AF876" s="34"/>
      <c r="AG876" s="34"/>
      <c r="AH876" s="52"/>
      <c r="AI876" s="52"/>
      <c r="AK876" s="34"/>
      <c r="AL876" s="34"/>
      <c r="AM876" s="34"/>
      <c r="AN876" s="54"/>
      <c r="AO876" s="34"/>
      <c r="AP876" s="34"/>
      <c r="AQ876" s="54"/>
      <c r="AR876" s="54"/>
      <c r="AS876" s="54"/>
      <c r="AT876" s="54"/>
      <c r="AU876" s="34"/>
      <c r="AV876" s="34"/>
      <c r="AW876" s="34"/>
      <c r="AX876" s="34"/>
      <c r="AY876" s="34"/>
      <c r="AZ876" s="44"/>
      <c r="BA876" s="34"/>
      <c r="BB876" s="34"/>
    </row>
    <row r="877" spans="1:54" x14ac:dyDescent="0.35" ht="15.0" customHeight="true">
      <c r="A877" s="51"/>
      <c r="B877" s="34"/>
      <c r="C877" s="34"/>
      <c r="D877" s="34"/>
      <c r="E877" s="34"/>
      <c r="F877" s="34"/>
      <c r="G877" s="44"/>
      <c r="H877" s="34"/>
      <c r="I877" s="54"/>
      <c r="J877" s="34"/>
      <c r="K877" s="54"/>
      <c r="L877" s="34"/>
      <c r="M877" s="44"/>
      <c r="N877" s="44"/>
      <c r="O877" s="34"/>
      <c r="P877" s="34"/>
      <c r="Q877" s="34"/>
      <c r="R877" s="34"/>
      <c r="U877" s="44"/>
      <c r="W877" s="95"/>
      <c r="X877" s="54"/>
      <c r="Y877" s="54"/>
      <c r="Z877" s="34"/>
      <c r="AA877" s="34"/>
      <c r="AB877" s="34"/>
      <c r="AC877" s="34"/>
      <c r="AD877" s="34"/>
      <c r="AE877" s="34"/>
      <c r="AF877" s="34"/>
      <c r="AG877" s="34"/>
      <c r="AH877" s="52"/>
      <c r="AI877" s="52"/>
      <c r="AK877" s="34"/>
      <c r="AL877" s="34"/>
      <c r="AM877" s="34"/>
      <c r="AN877" s="54"/>
      <c r="AO877" s="34"/>
      <c r="AP877" s="34"/>
      <c r="AQ877" s="54"/>
      <c r="AR877" s="54"/>
      <c r="AS877" s="54"/>
      <c r="AT877" s="54"/>
      <c r="AU877" s="34"/>
      <c r="AV877" s="34"/>
      <c r="AW877" s="34"/>
      <c r="AX877" s="34"/>
      <c r="AY877" s="34"/>
      <c r="AZ877" s="44"/>
      <c r="BA877" s="34"/>
      <c r="BB877" s="34"/>
    </row>
    <row r="878" spans="1:54" x14ac:dyDescent="0.35" ht="15.0" customHeight="true">
      <c r="A878" s="51"/>
      <c r="B878" s="34"/>
      <c r="C878" s="34"/>
      <c r="D878" s="34"/>
      <c r="E878" s="34"/>
      <c r="F878" s="34"/>
      <c r="G878" s="44"/>
      <c r="H878" s="34"/>
      <c r="I878" s="54"/>
      <c r="J878" s="34"/>
      <c r="K878" s="54"/>
      <c r="L878" s="34"/>
      <c r="M878" s="44"/>
      <c r="N878" s="44"/>
      <c r="O878" s="34"/>
      <c r="P878" s="34"/>
      <c r="Q878" s="34"/>
      <c r="R878" s="34"/>
      <c r="U878" s="44"/>
      <c r="W878" s="95"/>
      <c r="X878" s="54"/>
      <c r="Y878" s="54"/>
      <c r="Z878" s="34"/>
      <c r="AA878" s="34"/>
      <c r="AB878" s="34"/>
      <c r="AC878" s="34"/>
      <c r="AD878" s="34"/>
      <c r="AE878" s="34"/>
      <c r="AF878" s="34"/>
      <c r="AG878" s="34"/>
      <c r="AH878" s="52"/>
      <c r="AI878" s="52"/>
      <c r="AK878" s="34"/>
      <c r="AL878" s="34"/>
      <c r="AM878" s="34"/>
      <c r="AN878" s="54"/>
      <c r="AO878" s="34"/>
      <c r="AP878" s="34"/>
      <c r="AQ878" s="54"/>
      <c r="AR878" s="54"/>
      <c r="AS878" s="54"/>
      <c r="AT878" s="54"/>
      <c r="AU878" s="34"/>
      <c r="AV878" s="34"/>
      <c r="AW878" s="34"/>
      <c r="AX878" s="34"/>
      <c r="AY878" s="34"/>
      <c r="AZ878" s="44"/>
      <c r="BA878" s="34"/>
      <c r="BB878" s="34"/>
    </row>
    <row r="879" spans="1:54" x14ac:dyDescent="0.35" ht="15.0" customHeight="true">
      <c r="A879" s="51"/>
      <c r="B879" s="34"/>
      <c r="C879" s="34"/>
      <c r="D879" s="34"/>
      <c r="E879" s="34"/>
      <c r="F879" s="34"/>
      <c r="G879" s="44"/>
      <c r="H879" s="34"/>
      <c r="I879" s="54"/>
      <c r="J879" s="34"/>
      <c r="K879" s="54"/>
      <c r="L879" s="34"/>
      <c r="M879" s="44"/>
      <c r="N879" s="44"/>
      <c r="O879" s="34"/>
      <c r="P879" s="34"/>
      <c r="Q879" s="34"/>
      <c r="R879" s="34"/>
      <c r="U879" s="44"/>
      <c r="W879" s="95"/>
      <c r="X879" s="54"/>
      <c r="Y879" s="54"/>
      <c r="Z879" s="34"/>
      <c r="AA879" s="34"/>
      <c r="AB879" s="34"/>
      <c r="AC879" s="34"/>
      <c r="AD879" s="34"/>
      <c r="AE879" s="34"/>
      <c r="AF879" s="34"/>
      <c r="AG879" s="34"/>
      <c r="AH879" s="52"/>
      <c r="AI879" s="52"/>
      <c r="AK879" s="34"/>
      <c r="AL879" s="34"/>
      <c r="AM879" s="34"/>
      <c r="AN879" s="54"/>
      <c r="AO879" s="34"/>
      <c r="AP879" s="34"/>
      <c r="AQ879" s="54"/>
      <c r="AR879" s="54"/>
      <c r="AS879" s="54"/>
      <c r="AT879" s="54"/>
      <c r="AU879" s="34"/>
      <c r="AV879" s="34"/>
      <c r="AW879" s="34"/>
      <c r="AX879" s="34"/>
      <c r="AY879" s="34"/>
      <c r="AZ879" s="44"/>
      <c r="BA879" s="34"/>
      <c r="BB879" s="34"/>
    </row>
    <row r="880" spans="1:54" x14ac:dyDescent="0.35" ht="15.0" customHeight="true">
      <c r="A880" s="51"/>
      <c r="B880" s="34"/>
      <c r="C880" s="34"/>
      <c r="D880" s="34"/>
      <c r="E880" s="34"/>
      <c r="F880" s="34"/>
      <c r="G880" s="44"/>
      <c r="H880" s="34"/>
      <c r="I880" s="54"/>
      <c r="J880" s="34"/>
      <c r="K880" s="54"/>
      <c r="L880" s="34"/>
      <c r="M880" s="44"/>
      <c r="N880" s="44"/>
      <c r="O880" s="34"/>
      <c r="P880" s="34"/>
      <c r="Q880" s="34"/>
      <c r="R880" s="34"/>
      <c r="U880" s="44"/>
      <c r="W880" s="95"/>
      <c r="X880" s="54"/>
      <c r="Y880" s="54"/>
      <c r="Z880" s="34"/>
      <c r="AA880" s="34"/>
      <c r="AB880" s="34"/>
      <c r="AC880" s="34"/>
      <c r="AD880" s="34"/>
      <c r="AE880" s="34"/>
      <c r="AF880" s="34"/>
      <c r="AG880" s="34"/>
      <c r="AH880" s="52"/>
      <c r="AI880" s="52"/>
      <c r="AK880" s="34"/>
      <c r="AL880" s="34"/>
      <c r="AM880" s="34"/>
      <c r="AN880" s="54"/>
      <c r="AO880" s="34"/>
      <c r="AP880" s="34"/>
      <c r="AQ880" s="54"/>
      <c r="AR880" s="54"/>
      <c r="AS880" s="54"/>
      <c r="AT880" s="54"/>
      <c r="AU880" s="34"/>
      <c r="AV880" s="34"/>
      <c r="AW880" s="34"/>
      <c r="AX880" s="34"/>
      <c r="AY880" s="34"/>
      <c r="AZ880" s="44"/>
      <c r="BA880" s="34"/>
      <c r="BB880" s="34"/>
    </row>
    <row r="881" spans="1:54" x14ac:dyDescent="0.35" ht="15.0" customHeight="true">
      <c r="A881" s="51"/>
      <c r="B881" s="34"/>
      <c r="C881" s="34"/>
      <c r="D881" s="34"/>
      <c r="E881" s="34"/>
      <c r="F881" s="34"/>
      <c r="G881" s="44"/>
      <c r="H881" s="34"/>
      <c r="I881" s="54"/>
      <c r="J881" s="34"/>
      <c r="K881" s="54"/>
      <c r="L881" s="34"/>
      <c r="M881" s="44"/>
      <c r="N881" s="44"/>
      <c r="O881" s="34"/>
      <c r="P881" s="34"/>
      <c r="Q881" s="34"/>
      <c r="R881" s="34"/>
      <c r="U881" s="44"/>
      <c r="W881" s="95"/>
      <c r="X881" s="54"/>
      <c r="Y881" s="54"/>
      <c r="Z881" s="34"/>
      <c r="AA881" s="34"/>
      <c r="AB881" s="34"/>
      <c r="AC881" s="34"/>
      <c r="AD881" s="34"/>
      <c r="AE881" s="34"/>
      <c r="AF881" s="34"/>
      <c r="AG881" s="34"/>
      <c r="AH881" s="52"/>
      <c r="AI881" s="52"/>
      <c r="AK881" s="34"/>
      <c r="AL881" s="34"/>
      <c r="AM881" s="34"/>
      <c r="AN881" s="54"/>
      <c r="AO881" s="34"/>
      <c r="AP881" s="34"/>
      <c r="AQ881" s="54"/>
      <c r="AR881" s="54"/>
      <c r="AS881" s="54"/>
      <c r="AT881" s="54"/>
      <c r="AU881" s="34"/>
      <c r="AV881" s="34"/>
      <c r="AW881" s="34"/>
      <c r="AX881" s="34"/>
      <c r="AY881" s="34"/>
      <c r="AZ881" s="44"/>
      <c r="BA881" s="34"/>
      <c r="BB881" s="34"/>
    </row>
    <row r="882" spans="1:54" x14ac:dyDescent="0.35" ht="15.0" customHeight="true">
      <c r="A882" s="51"/>
      <c r="B882" s="34"/>
      <c r="C882" s="34"/>
      <c r="D882" s="34"/>
      <c r="E882" s="34"/>
      <c r="F882" s="34"/>
      <c r="G882" s="44"/>
      <c r="H882" s="34"/>
      <c r="I882" s="54"/>
      <c r="J882" s="34"/>
      <c r="K882" s="54"/>
      <c r="L882" s="34"/>
      <c r="M882" s="44"/>
      <c r="N882" s="44"/>
      <c r="O882" s="34"/>
      <c r="P882" s="34"/>
      <c r="Q882" s="34"/>
      <c r="R882" s="34"/>
      <c r="U882" s="44"/>
      <c r="W882" s="95"/>
      <c r="X882" s="54"/>
      <c r="Y882" s="54"/>
      <c r="Z882" s="34"/>
      <c r="AA882" s="34"/>
      <c r="AB882" s="34"/>
      <c r="AC882" s="34"/>
      <c r="AD882" s="34"/>
      <c r="AE882" s="34"/>
      <c r="AF882" s="34"/>
      <c r="AG882" s="34"/>
      <c r="AH882" s="52"/>
      <c r="AI882" s="52"/>
      <c r="AK882" s="34"/>
      <c r="AL882" s="34"/>
      <c r="AM882" s="34"/>
      <c r="AN882" s="54"/>
      <c r="AO882" s="34"/>
      <c r="AP882" s="34"/>
      <c r="AQ882" s="54"/>
      <c r="AR882" s="54"/>
      <c r="AS882" s="54"/>
      <c r="AT882" s="54"/>
      <c r="AU882" s="34"/>
      <c r="AV882" s="34"/>
      <c r="AW882" s="34"/>
      <c r="AX882" s="34"/>
      <c r="AY882" s="34"/>
      <c r="AZ882" s="44"/>
      <c r="BA882" s="34"/>
      <c r="BB882" s="34"/>
    </row>
    <row r="883" spans="1:54" x14ac:dyDescent="0.35" ht="15.0" customHeight="true">
      <c r="A883" s="51"/>
      <c r="B883" s="34"/>
      <c r="C883" s="34"/>
      <c r="D883" s="34"/>
      <c r="E883" s="34"/>
      <c r="F883" s="34"/>
      <c r="G883" s="44"/>
      <c r="H883" s="34"/>
      <c r="I883" s="54"/>
      <c r="J883" s="34"/>
      <c r="K883" s="54"/>
      <c r="L883" s="34"/>
      <c r="M883" s="44"/>
      <c r="N883" s="44"/>
      <c r="O883" s="34"/>
      <c r="P883" s="34"/>
      <c r="Q883" s="34"/>
      <c r="R883" s="34"/>
      <c r="U883" s="44"/>
      <c r="W883" s="95"/>
      <c r="X883" s="54"/>
      <c r="Y883" s="54"/>
      <c r="Z883" s="34"/>
      <c r="AA883" s="34"/>
      <c r="AB883" s="34"/>
      <c r="AC883" s="34"/>
      <c r="AD883" s="34"/>
      <c r="AE883" s="34"/>
      <c r="AF883" s="34"/>
      <c r="AG883" s="34"/>
      <c r="AH883" s="52"/>
      <c r="AI883" s="52"/>
      <c r="AK883" s="34"/>
      <c r="AL883" s="34"/>
      <c r="AM883" s="34"/>
      <c r="AN883" s="54"/>
      <c r="AO883" s="34"/>
      <c r="AP883" s="34"/>
      <c r="AQ883" s="54"/>
      <c r="AR883" s="54"/>
      <c r="AS883" s="54"/>
      <c r="AT883" s="54"/>
      <c r="AU883" s="34"/>
      <c r="AV883" s="34"/>
      <c r="AW883" s="34"/>
      <c r="AX883" s="34"/>
      <c r="AY883" s="34"/>
      <c r="AZ883" s="44"/>
      <c r="BA883" s="34"/>
      <c r="BB883" s="34"/>
    </row>
    <row r="884" spans="1:54" x14ac:dyDescent="0.35" ht="15.0" customHeight="true">
      <c r="A884" s="51"/>
      <c r="B884" s="34"/>
      <c r="C884" s="34"/>
      <c r="D884" s="34"/>
      <c r="E884" s="34"/>
      <c r="F884" s="34"/>
      <c r="G884" s="44"/>
      <c r="H884" s="34"/>
      <c r="I884" s="54"/>
      <c r="J884" s="34"/>
      <c r="K884" s="54"/>
      <c r="L884" s="34"/>
      <c r="M884" s="44"/>
      <c r="N884" s="44"/>
      <c r="O884" s="34"/>
      <c r="P884" s="34"/>
      <c r="Q884" s="34"/>
      <c r="R884" s="34"/>
      <c r="U884" s="44"/>
      <c r="W884" s="95"/>
      <c r="X884" s="54"/>
      <c r="Y884" s="54"/>
      <c r="Z884" s="34"/>
      <c r="AA884" s="34"/>
      <c r="AB884" s="34"/>
      <c r="AC884" s="34"/>
      <c r="AD884" s="34"/>
      <c r="AE884" s="34"/>
      <c r="AF884" s="34"/>
      <c r="AG884" s="34"/>
      <c r="AH884" s="52"/>
      <c r="AI884" s="52"/>
      <c r="AK884" s="34"/>
      <c r="AL884" s="34"/>
      <c r="AM884" s="34"/>
      <c r="AN884" s="54"/>
      <c r="AO884" s="34"/>
      <c r="AP884" s="34"/>
      <c r="AQ884" s="54"/>
      <c r="AR884" s="54"/>
      <c r="AS884" s="54"/>
      <c r="AT884" s="54"/>
      <c r="AU884" s="34"/>
      <c r="AV884" s="34"/>
      <c r="AW884" s="34"/>
      <c r="AX884" s="34"/>
      <c r="AY884" s="34"/>
      <c r="AZ884" s="44"/>
      <c r="BA884" s="34"/>
      <c r="BB884" s="34"/>
    </row>
    <row r="885" spans="1:54" x14ac:dyDescent="0.35" ht="15.0" customHeight="true">
      <c r="A885" s="51"/>
      <c r="B885" s="34"/>
      <c r="C885" s="34"/>
      <c r="D885" s="34"/>
      <c r="E885" s="34"/>
      <c r="F885" s="34"/>
      <c r="G885" s="44"/>
      <c r="H885" s="34"/>
      <c r="I885" s="54"/>
      <c r="J885" s="34"/>
      <c r="K885" s="54"/>
      <c r="L885" s="34"/>
      <c r="M885" s="44"/>
      <c r="N885" s="44"/>
      <c r="O885" s="34"/>
      <c r="P885" s="34"/>
      <c r="Q885" s="34"/>
      <c r="R885" s="34"/>
      <c r="U885" s="44"/>
      <c r="W885" s="95"/>
      <c r="X885" s="54"/>
      <c r="Y885" s="54"/>
      <c r="Z885" s="34"/>
      <c r="AA885" s="34"/>
      <c r="AB885" s="34"/>
      <c r="AC885" s="34"/>
      <c r="AD885" s="34"/>
      <c r="AE885" s="34"/>
      <c r="AF885" s="34"/>
      <c r="AG885" s="34"/>
      <c r="AH885" s="52"/>
      <c r="AI885" s="52"/>
      <c r="AK885" s="34"/>
      <c r="AL885" s="34"/>
      <c r="AM885" s="34"/>
      <c r="AN885" s="54"/>
      <c r="AO885" s="34"/>
      <c r="AP885" s="34"/>
      <c r="AQ885" s="54"/>
      <c r="AR885" s="54"/>
      <c r="AS885" s="54"/>
      <c r="AT885" s="54"/>
      <c r="AU885" s="34"/>
      <c r="AV885" s="34"/>
      <c r="AW885" s="34"/>
      <c r="AX885" s="34"/>
      <c r="AY885" s="34"/>
      <c r="AZ885" s="44"/>
      <c r="BA885" s="34"/>
      <c r="BB885" s="34"/>
    </row>
    <row r="886" spans="1:54" x14ac:dyDescent="0.35" ht="15.0" customHeight="true">
      <c r="A886" s="51"/>
      <c r="B886" s="34"/>
      <c r="C886" s="34"/>
      <c r="D886" s="34"/>
      <c r="E886" s="34"/>
      <c r="F886" s="34"/>
      <c r="G886" s="44"/>
      <c r="H886" s="34"/>
      <c r="I886" s="54"/>
      <c r="J886" s="34"/>
      <c r="K886" s="54"/>
      <c r="L886" s="34"/>
      <c r="M886" s="44"/>
      <c r="N886" s="44"/>
      <c r="O886" s="34"/>
      <c r="P886" s="34"/>
      <c r="Q886" s="34"/>
      <c r="R886" s="34"/>
      <c r="U886" s="44"/>
      <c r="W886" s="95"/>
      <c r="X886" s="54"/>
      <c r="Y886" s="54"/>
      <c r="Z886" s="34"/>
      <c r="AA886" s="34"/>
      <c r="AB886" s="34"/>
      <c r="AC886" s="34"/>
      <c r="AD886" s="34"/>
      <c r="AE886" s="34"/>
      <c r="AF886" s="34"/>
      <c r="AG886" s="34"/>
      <c r="AH886" s="52"/>
      <c r="AI886" s="52"/>
      <c r="AK886" s="34"/>
      <c r="AL886" s="34"/>
      <c r="AM886" s="34"/>
      <c r="AN886" s="54"/>
      <c r="AO886" s="34"/>
      <c r="AP886" s="34"/>
      <c r="AQ886" s="54"/>
      <c r="AR886" s="54"/>
      <c r="AS886" s="54"/>
      <c r="AT886" s="54"/>
      <c r="AU886" s="34"/>
      <c r="AV886" s="34"/>
      <c r="AW886" s="34"/>
      <c r="AX886" s="34"/>
      <c r="AY886" s="34"/>
      <c r="AZ886" s="44"/>
      <c r="BA886" s="34"/>
      <c r="BB886" s="34"/>
    </row>
    <row r="887" spans="1:54" x14ac:dyDescent="0.35" ht="15.0" customHeight="true">
      <c r="A887" s="51"/>
      <c r="B887" s="34"/>
      <c r="C887" s="34"/>
      <c r="D887" s="34"/>
      <c r="E887" s="34"/>
      <c r="F887" s="34"/>
      <c r="G887" s="44"/>
      <c r="H887" s="34"/>
      <c r="I887" s="54"/>
      <c r="J887" s="34"/>
      <c r="K887" s="54"/>
      <c r="L887" s="34"/>
      <c r="M887" s="44"/>
      <c r="N887" s="44"/>
      <c r="O887" s="34"/>
      <c r="P887" s="34"/>
      <c r="Q887" s="34"/>
      <c r="R887" s="34"/>
      <c r="U887" s="44"/>
      <c r="W887" s="95"/>
      <c r="X887" s="54"/>
      <c r="Y887" s="54"/>
      <c r="Z887" s="34"/>
      <c r="AA887" s="34"/>
      <c r="AB887" s="34"/>
      <c r="AC887" s="34"/>
      <c r="AD887" s="34"/>
      <c r="AE887" s="34"/>
      <c r="AF887" s="34"/>
      <c r="AG887" s="34"/>
      <c r="AH887" s="52"/>
      <c r="AI887" s="52"/>
      <c r="AK887" s="34"/>
      <c r="AL887" s="34"/>
      <c r="AM887" s="34"/>
      <c r="AN887" s="54"/>
      <c r="AO887" s="34"/>
      <c r="AP887" s="34"/>
      <c r="AQ887" s="54"/>
      <c r="AR887" s="54"/>
      <c r="AS887" s="54"/>
      <c r="AT887" s="54"/>
      <c r="AU887" s="34"/>
      <c r="AV887" s="34"/>
      <c r="AW887" s="34"/>
      <c r="AX887" s="34"/>
      <c r="AY887" s="34"/>
      <c r="AZ887" s="44"/>
      <c r="BA887" s="34"/>
      <c r="BB887" s="34"/>
    </row>
    <row r="888" spans="1:54" x14ac:dyDescent="0.35" ht="15.0" customHeight="true">
      <c r="A888" s="51"/>
      <c r="B888" s="34"/>
      <c r="C888" s="34"/>
      <c r="D888" s="34"/>
      <c r="E888" s="34"/>
      <c r="F888" s="34"/>
      <c r="G888" s="44"/>
      <c r="H888" s="34"/>
      <c r="I888" s="54"/>
      <c r="J888" s="34"/>
      <c r="K888" s="54"/>
      <c r="L888" s="34"/>
      <c r="M888" s="44"/>
      <c r="N888" s="44"/>
      <c r="O888" s="34"/>
      <c r="P888" s="34"/>
      <c r="Q888" s="34"/>
      <c r="R888" s="34"/>
      <c r="U888" s="44"/>
      <c r="W888" s="95"/>
      <c r="X888" s="54"/>
      <c r="Y888" s="54"/>
      <c r="Z888" s="34"/>
      <c r="AA888" s="34"/>
      <c r="AB888" s="34"/>
      <c r="AC888" s="34"/>
      <c r="AD888" s="34"/>
      <c r="AE888" s="34"/>
      <c r="AF888" s="34"/>
      <c r="AG888" s="34"/>
      <c r="AH888" s="52"/>
      <c r="AI888" s="52"/>
      <c r="AK888" s="34"/>
      <c r="AL888" s="34"/>
      <c r="AM888" s="34"/>
      <c r="AN888" s="54"/>
      <c r="AO888" s="34"/>
      <c r="AP888" s="34"/>
      <c r="AQ888" s="54"/>
      <c r="AR888" s="54"/>
      <c r="AS888" s="54"/>
      <c r="AT888" s="54"/>
      <c r="AU888" s="34"/>
      <c r="AV888" s="34"/>
      <c r="AW888" s="34"/>
      <c r="AX888" s="34"/>
      <c r="AY888" s="34"/>
      <c r="AZ888" s="44"/>
      <c r="BA888" s="34"/>
      <c r="BB888" s="34"/>
    </row>
    <row r="889" spans="1:54" x14ac:dyDescent="0.35" ht="15.0" customHeight="true">
      <c r="A889" s="51"/>
      <c r="B889" s="34"/>
      <c r="C889" s="34"/>
      <c r="D889" s="34"/>
      <c r="E889" s="34"/>
      <c r="F889" s="34"/>
      <c r="G889" s="44"/>
      <c r="H889" s="34"/>
      <c r="I889" s="54"/>
      <c r="J889" s="34"/>
      <c r="K889" s="54"/>
      <c r="L889" s="34"/>
      <c r="M889" s="44"/>
      <c r="N889" s="44"/>
      <c r="O889" s="34"/>
      <c r="P889" s="34"/>
      <c r="Q889" s="34"/>
      <c r="R889" s="34"/>
      <c r="U889" s="44"/>
      <c r="W889" s="95"/>
      <c r="X889" s="54"/>
      <c r="Y889" s="54"/>
      <c r="Z889" s="34"/>
      <c r="AA889" s="34"/>
      <c r="AB889" s="34"/>
      <c r="AC889" s="34"/>
      <c r="AD889" s="34"/>
      <c r="AE889" s="34"/>
      <c r="AF889" s="34"/>
      <c r="AG889" s="34"/>
      <c r="AH889" s="52"/>
      <c r="AI889" s="52"/>
      <c r="AK889" s="34"/>
      <c r="AL889" s="34"/>
      <c r="AM889" s="34"/>
      <c r="AN889" s="54"/>
      <c r="AO889" s="34"/>
      <c r="AP889" s="34"/>
      <c r="AQ889" s="54"/>
      <c r="AR889" s="54"/>
      <c r="AS889" s="54"/>
      <c r="AT889" s="54"/>
      <c r="AU889" s="34"/>
      <c r="AV889" s="34"/>
      <c r="AW889" s="34"/>
      <c r="AX889" s="34"/>
      <c r="AY889" s="34"/>
      <c r="AZ889" s="44"/>
      <c r="BA889" s="34"/>
      <c r="BB889" s="34"/>
    </row>
    <row r="890" spans="1:54" x14ac:dyDescent="0.35" ht="15.0" customHeight="true">
      <c r="A890" s="51"/>
      <c r="B890" s="34"/>
      <c r="C890" s="34"/>
      <c r="D890" s="34"/>
      <c r="E890" s="34"/>
      <c r="F890" s="34"/>
      <c r="G890" s="44"/>
      <c r="H890" s="34"/>
      <c r="I890" s="54"/>
      <c r="J890" s="34"/>
      <c r="K890" s="54"/>
      <c r="L890" s="34"/>
      <c r="M890" s="44"/>
      <c r="N890" s="44"/>
      <c r="O890" s="34"/>
      <c r="P890" s="34"/>
      <c r="Q890" s="34"/>
      <c r="R890" s="34"/>
      <c r="U890" s="44"/>
      <c r="W890" s="95"/>
      <c r="X890" s="54"/>
      <c r="Y890" s="54"/>
      <c r="Z890" s="34"/>
      <c r="AA890" s="34"/>
      <c r="AB890" s="34"/>
      <c r="AC890" s="34"/>
      <c r="AD890" s="34"/>
      <c r="AE890" s="34"/>
      <c r="AF890" s="34"/>
      <c r="AG890" s="34"/>
      <c r="AH890" s="52"/>
      <c r="AI890" s="52"/>
      <c r="AK890" s="34"/>
      <c r="AL890" s="34"/>
      <c r="AM890" s="34"/>
      <c r="AN890" s="54"/>
      <c r="AO890" s="34"/>
      <c r="AP890" s="34"/>
      <c r="AQ890" s="54"/>
      <c r="AR890" s="54"/>
      <c r="AS890" s="54"/>
      <c r="AT890" s="54"/>
      <c r="AU890" s="34"/>
      <c r="AV890" s="34"/>
      <c r="AW890" s="34"/>
      <c r="AX890" s="34"/>
      <c r="AY890" s="34"/>
      <c r="AZ890" s="44"/>
      <c r="BA890" s="34"/>
      <c r="BB890" s="34"/>
    </row>
    <row r="891" spans="1:54" x14ac:dyDescent="0.35" ht="15.0" customHeight="true">
      <c r="A891" s="51"/>
      <c r="B891" s="34"/>
      <c r="C891" s="34"/>
      <c r="D891" s="34"/>
      <c r="E891" s="34"/>
      <c r="F891" s="34"/>
      <c r="G891" s="44"/>
      <c r="H891" s="34"/>
      <c r="I891" s="54"/>
      <c r="J891" s="34"/>
      <c r="K891" s="54"/>
      <c r="L891" s="34"/>
      <c r="M891" s="44"/>
      <c r="N891" s="44"/>
      <c r="O891" s="34"/>
      <c r="P891" s="34"/>
      <c r="Q891" s="34"/>
      <c r="R891" s="34"/>
      <c r="U891" s="44"/>
      <c r="W891" s="95"/>
      <c r="X891" s="54"/>
      <c r="Y891" s="54"/>
      <c r="Z891" s="34"/>
      <c r="AA891" s="34"/>
      <c r="AB891" s="34"/>
      <c r="AC891" s="34"/>
      <c r="AD891" s="34"/>
      <c r="AE891" s="34"/>
      <c r="AF891" s="34"/>
      <c r="AG891" s="34"/>
      <c r="AH891" s="52"/>
      <c r="AI891" s="52"/>
      <c r="AK891" s="34"/>
      <c r="AL891" s="34"/>
      <c r="AM891" s="34"/>
      <c r="AN891" s="54"/>
      <c r="AO891" s="34"/>
      <c r="AP891" s="34"/>
      <c r="AQ891" s="54"/>
      <c r="AR891" s="54"/>
      <c r="AS891" s="54"/>
      <c r="AT891" s="54"/>
      <c r="AU891" s="34"/>
      <c r="AV891" s="34"/>
      <c r="AW891" s="34"/>
      <c r="AX891" s="34"/>
      <c r="AY891" s="34"/>
      <c r="AZ891" s="44"/>
      <c r="BA891" s="34"/>
      <c r="BB891" s="34"/>
    </row>
    <row r="892" spans="1:54" x14ac:dyDescent="0.35" ht="15.0" customHeight="true">
      <c r="A892" s="51"/>
      <c r="B892" s="34"/>
      <c r="C892" s="34"/>
      <c r="D892" s="34"/>
      <c r="E892" s="34"/>
      <c r="F892" s="34"/>
      <c r="G892" s="44"/>
      <c r="H892" s="34"/>
      <c r="I892" s="54"/>
      <c r="J892" s="34"/>
      <c r="K892" s="54"/>
      <c r="L892" s="34"/>
      <c r="M892" s="44"/>
      <c r="N892" s="44"/>
      <c r="O892" s="34"/>
      <c r="P892" s="34"/>
      <c r="Q892" s="34"/>
      <c r="R892" s="34"/>
      <c r="U892" s="44"/>
      <c r="W892" s="95"/>
      <c r="X892" s="54"/>
      <c r="Y892" s="54"/>
      <c r="Z892" s="34"/>
      <c r="AA892" s="34"/>
      <c r="AB892" s="34"/>
      <c r="AC892" s="34"/>
      <c r="AD892" s="34"/>
      <c r="AE892" s="34"/>
      <c r="AF892" s="34"/>
      <c r="AG892" s="34"/>
      <c r="AH892" s="52"/>
      <c r="AI892" s="52"/>
      <c r="AK892" s="34"/>
      <c r="AL892" s="34"/>
      <c r="AM892" s="34"/>
      <c r="AN892" s="54"/>
      <c r="AO892" s="34"/>
      <c r="AP892" s="34"/>
      <c r="AQ892" s="54"/>
      <c r="AR892" s="54"/>
      <c r="AS892" s="54"/>
      <c r="AT892" s="54"/>
      <c r="AU892" s="34"/>
      <c r="AV892" s="34"/>
      <c r="AW892" s="34"/>
      <c r="AX892" s="34"/>
      <c r="AY892" s="34"/>
      <c r="AZ892" s="44"/>
      <c r="BA892" s="34"/>
      <c r="BB892" s="34"/>
    </row>
    <row r="893" spans="1:54" x14ac:dyDescent="0.35" ht="15.0" customHeight="true">
      <c r="A893" s="51"/>
      <c r="B893" s="34"/>
      <c r="C893" s="34"/>
      <c r="D893" s="34"/>
      <c r="E893" s="34"/>
      <c r="F893" s="34"/>
      <c r="G893" s="44"/>
      <c r="H893" s="34"/>
      <c r="I893" s="54"/>
      <c r="J893" s="34"/>
      <c r="K893" s="54"/>
      <c r="L893" s="34"/>
      <c r="M893" s="44"/>
      <c r="N893" s="44"/>
      <c r="O893" s="34"/>
      <c r="P893" s="34"/>
      <c r="Q893" s="34"/>
      <c r="R893" s="34"/>
      <c r="U893" s="44"/>
      <c r="W893" s="95"/>
      <c r="X893" s="54"/>
      <c r="Y893" s="54"/>
      <c r="Z893" s="34"/>
      <c r="AA893" s="34"/>
      <c r="AB893" s="34"/>
      <c r="AC893" s="34"/>
      <c r="AD893" s="34"/>
      <c r="AE893" s="34"/>
      <c r="AF893" s="34"/>
      <c r="AG893" s="34"/>
      <c r="AH893" s="52"/>
      <c r="AI893" s="52"/>
      <c r="AK893" s="34"/>
      <c r="AL893" s="34"/>
      <c r="AM893" s="34"/>
      <c r="AN893" s="54"/>
      <c r="AO893" s="34"/>
      <c r="AP893" s="34"/>
      <c r="AQ893" s="54"/>
      <c r="AR893" s="54"/>
      <c r="AS893" s="54"/>
      <c r="AT893" s="54"/>
      <c r="AU893" s="34"/>
      <c r="AV893" s="34"/>
      <c r="AW893" s="34"/>
      <c r="AX893" s="34"/>
      <c r="AY893" s="34"/>
      <c r="AZ893" s="44"/>
      <c r="BA893" s="34"/>
      <c r="BB893" s="34"/>
    </row>
    <row r="894" spans="1:54" x14ac:dyDescent="0.35" ht="15.0" customHeight="true">
      <c r="A894" s="51"/>
      <c r="B894" s="34"/>
      <c r="C894" s="34"/>
      <c r="D894" s="34"/>
      <c r="E894" s="34"/>
      <c r="F894" s="34"/>
      <c r="G894" s="44"/>
      <c r="H894" s="34"/>
      <c r="I894" s="54"/>
      <c r="J894" s="34"/>
      <c r="K894" s="54"/>
      <c r="L894" s="34"/>
      <c r="M894" s="44"/>
      <c r="N894" s="44"/>
      <c r="O894" s="34"/>
      <c r="P894" s="34"/>
      <c r="Q894" s="34"/>
      <c r="R894" s="34"/>
      <c r="U894" s="44"/>
      <c r="W894" s="95"/>
      <c r="X894" s="54"/>
      <c r="Y894" s="54"/>
      <c r="Z894" s="34"/>
      <c r="AA894" s="34"/>
      <c r="AB894" s="34"/>
      <c r="AC894" s="34"/>
      <c r="AD894" s="34"/>
      <c r="AE894" s="34"/>
      <c r="AF894" s="34"/>
      <c r="AG894" s="34"/>
      <c r="AH894" s="52"/>
      <c r="AI894" s="52"/>
      <c r="AK894" s="34"/>
      <c r="AL894" s="34"/>
      <c r="AM894" s="34"/>
      <c r="AN894" s="54"/>
      <c r="AO894" s="34"/>
      <c r="AP894" s="34"/>
      <c r="AQ894" s="54"/>
      <c r="AR894" s="54"/>
      <c r="AS894" s="54"/>
      <c r="AT894" s="54"/>
      <c r="AU894" s="34"/>
      <c r="AV894" s="34"/>
      <c r="AW894" s="34"/>
      <c r="AX894" s="34"/>
      <c r="AY894" s="34"/>
      <c r="AZ894" s="44"/>
      <c r="BA894" s="34"/>
      <c r="BB894" s="34"/>
    </row>
    <row r="895" spans="1:54" x14ac:dyDescent="0.35" ht="15.0" customHeight="true">
      <c r="A895" s="51"/>
      <c r="B895" s="34"/>
      <c r="C895" s="34"/>
      <c r="D895" s="34"/>
      <c r="E895" s="34"/>
      <c r="F895" s="34"/>
      <c r="G895" s="44"/>
      <c r="H895" s="34"/>
      <c r="I895" s="54"/>
      <c r="J895" s="34"/>
      <c r="K895" s="54"/>
      <c r="L895" s="34"/>
      <c r="M895" s="44"/>
      <c r="N895" s="44"/>
      <c r="O895" s="34"/>
      <c r="P895" s="34"/>
      <c r="Q895" s="34"/>
      <c r="R895" s="34"/>
      <c r="U895" s="44"/>
      <c r="W895" s="95"/>
      <c r="X895" s="54"/>
      <c r="Y895" s="54"/>
      <c r="Z895" s="34"/>
      <c r="AA895" s="34"/>
      <c r="AB895" s="34"/>
      <c r="AC895" s="34"/>
      <c r="AD895" s="34"/>
      <c r="AE895" s="34"/>
      <c r="AF895" s="34"/>
      <c r="AG895" s="34"/>
      <c r="AH895" s="52"/>
      <c r="AI895" s="52"/>
      <c r="AK895" s="34"/>
      <c r="AL895" s="34"/>
      <c r="AM895" s="34"/>
      <c r="AN895" s="54"/>
      <c r="AO895" s="34"/>
      <c r="AP895" s="34"/>
      <c r="AQ895" s="54"/>
      <c r="AR895" s="54"/>
      <c r="AS895" s="54"/>
      <c r="AT895" s="54"/>
      <c r="AU895" s="34"/>
      <c r="AV895" s="34"/>
      <c r="AW895" s="34"/>
      <c r="AX895" s="34"/>
      <c r="AY895" s="34"/>
      <c r="AZ895" s="44"/>
      <c r="BA895" s="34"/>
      <c r="BB895" s="34"/>
    </row>
    <row r="896" spans="1:54" x14ac:dyDescent="0.35" ht="15.0" customHeight="true">
      <c r="A896" s="51"/>
      <c r="B896" s="34"/>
      <c r="C896" s="34"/>
      <c r="D896" s="34"/>
      <c r="E896" s="34"/>
      <c r="F896" s="34"/>
      <c r="G896" s="44"/>
      <c r="H896" s="34"/>
      <c r="I896" s="54"/>
      <c r="J896" s="34"/>
      <c r="K896" s="54"/>
      <c r="L896" s="34"/>
      <c r="M896" s="44"/>
      <c r="N896" s="44"/>
      <c r="O896" s="34"/>
      <c r="P896" s="34"/>
      <c r="Q896" s="34"/>
      <c r="R896" s="34"/>
      <c r="U896" s="44"/>
      <c r="W896" s="95"/>
      <c r="X896" s="54"/>
      <c r="Y896" s="54"/>
      <c r="Z896" s="34"/>
      <c r="AA896" s="34"/>
      <c r="AB896" s="34"/>
      <c r="AC896" s="34"/>
      <c r="AD896" s="34"/>
      <c r="AE896" s="34"/>
      <c r="AF896" s="34"/>
      <c r="AG896" s="34"/>
      <c r="AH896" s="52"/>
      <c r="AI896" s="52"/>
      <c r="AK896" s="34"/>
      <c r="AL896" s="34"/>
      <c r="AM896" s="34"/>
      <c r="AN896" s="54"/>
      <c r="AO896" s="34"/>
      <c r="AP896" s="34"/>
      <c r="AQ896" s="54"/>
      <c r="AR896" s="54"/>
      <c r="AS896" s="54"/>
      <c r="AT896" s="54"/>
      <c r="AU896" s="34"/>
      <c r="AV896" s="34"/>
      <c r="AW896" s="34"/>
      <c r="AX896" s="34"/>
      <c r="AY896" s="34"/>
      <c r="AZ896" s="44"/>
      <c r="BA896" s="34"/>
      <c r="BB896" s="34"/>
    </row>
    <row r="897" spans="1:54" x14ac:dyDescent="0.35" ht="15.0" customHeight="true">
      <c r="A897" s="51"/>
      <c r="B897" s="34"/>
      <c r="C897" s="34"/>
      <c r="D897" s="34"/>
      <c r="E897" s="34"/>
      <c r="F897" s="34"/>
      <c r="G897" s="44"/>
      <c r="H897" s="34"/>
      <c r="I897" s="54"/>
      <c r="J897" s="34"/>
      <c r="K897" s="54"/>
      <c r="L897" s="34"/>
      <c r="M897" s="44"/>
      <c r="N897" s="44"/>
      <c r="O897" s="34"/>
      <c r="P897" s="34"/>
      <c r="Q897" s="34"/>
      <c r="R897" s="34"/>
      <c r="U897" s="44"/>
      <c r="W897" s="95"/>
      <c r="X897" s="54"/>
      <c r="Y897" s="54"/>
      <c r="Z897" s="34"/>
      <c r="AA897" s="34"/>
      <c r="AB897" s="34"/>
      <c r="AC897" s="34"/>
      <c r="AD897" s="34"/>
      <c r="AE897" s="34"/>
      <c r="AF897" s="34"/>
      <c r="AG897" s="34"/>
      <c r="AH897" s="52"/>
      <c r="AI897" s="52"/>
      <c r="AK897" s="34"/>
      <c r="AL897" s="34"/>
      <c r="AM897" s="34"/>
      <c r="AN897" s="54"/>
      <c r="AO897" s="34"/>
      <c r="AP897" s="34"/>
      <c r="AQ897" s="54"/>
      <c r="AR897" s="54"/>
      <c r="AS897" s="54"/>
      <c r="AT897" s="54"/>
      <c r="AU897" s="34"/>
      <c r="AV897" s="34"/>
      <c r="AW897" s="34"/>
      <c r="AX897" s="34"/>
      <c r="AY897" s="34"/>
      <c r="AZ897" s="44"/>
      <c r="BA897" s="34"/>
      <c r="BB897" s="34"/>
    </row>
    <row r="898" spans="1:54" x14ac:dyDescent="0.35" ht="15.0" customHeight="true">
      <c r="A898" s="51"/>
      <c r="B898" s="34"/>
      <c r="C898" s="34"/>
      <c r="D898" s="34"/>
      <c r="E898" s="34"/>
      <c r="F898" s="34"/>
      <c r="G898" s="44"/>
      <c r="H898" s="34"/>
      <c r="I898" s="54"/>
      <c r="J898" s="34"/>
      <c r="K898" s="54"/>
      <c r="L898" s="34"/>
      <c r="M898" s="44"/>
      <c r="N898" s="44"/>
      <c r="O898" s="34"/>
      <c r="P898" s="34"/>
      <c r="Q898" s="34"/>
      <c r="R898" s="34"/>
      <c r="U898" s="44"/>
      <c r="W898" s="95"/>
      <c r="X898" s="54"/>
      <c r="Y898" s="54"/>
      <c r="Z898" s="34"/>
      <c r="AA898" s="34"/>
      <c r="AB898" s="34"/>
      <c r="AC898" s="34"/>
      <c r="AD898" s="34"/>
      <c r="AE898" s="34"/>
      <c r="AF898" s="34"/>
      <c r="AG898" s="34"/>
      <c r="AH898" s="52"/>
      <c r="AI898" s="52"/>
      <c r="AK898" s="34"/>
      <c r="AL898" s="34"/>
      <c r="AM898" s="34"/>
      <c r="AN898" s="54"/>
      <c r="AO898" s="34"/>
      <c r="AP898" s="34"/>
      <c r="AQ898" s="54"/>
      <c r="AR898" s="54"/>
      <c r="AS898" s="54"/>
      <c r="AT898" s="54"/>
      <c r="AU898" s="34"/>
      <c r="AV898" s="34"/>
      <c r="AW898" s="34"/>
      <c r="AX898" s="34"/>
      <c r="AY898" s="34"/>
      <c r="AZ898" s="44"/>
      <c r="BA898" s="34"/>
      <c r="BB898" s="34"/>
    </row>
    <row r="899" spans="1:54" x14ac:dyDescent="0.35" ht="15.0" customHeight="true">
      <c r="A899" s="51"/>
      <c r="B899" s="34"/>
      <c r="C899" s="34"/>
      <c r="D899" s="34"/>
      <c r="E899" s="34"/>
      <c r="F899" s="34"/>
      <c r="G899" s="44"/>
      <c r="H899" s="34"/>
      <c r="I899" s="54"/>
      <c r="J899" s="34"/>
      <c r="K899" s="54"/>
      <c r="L899" s="34"/>
      <c r="M899" s="44"/>
      <c r="N899" s="44"/>
      <c r="O899" s="34"/>
      <c r="P899" s="34"/>
      <c r="Q899" s="34"/>
      <c r="R899" s="34"/>
      <c r="U899" s="44"/>
      <c r="W899" s="95"/>
      <c r="X899" s="54"/>
      <c r="Y899" s="54"/>
      <c r="Z899" s="34"/>
      <c r="AA899" s="34"/>
      <c r="AB899" s="34"/>
      <c r="AC899" s="34"/>
      <c r="AD899" s="34"/>
      <c r="AE899" s="34"/>
      <c r="AF899" s="34"/>
      <c r="AG899" s="34"/>
      <c r="AH899" s="52"/>
      <c r="AI899" s="52"/>
      <c r="AK899" s="34"/>
      <c r="AL899" s="34"/>
      <c r="AM899" s="34"/>
      <c r="AN899" s="54"/>
      <c r="AO899" s="34"/>
      <c r="AP899" s="34"/>
      <c r="AQ899" s="54"/>
      <c r="AR899" s="54"/>
      <c r="AS899" s="54"/>
      <c r="AT899" s="54"/>
      <c r="AU899" s="34"/>
      <c r="AV899" s="34"/>
      <c r="AW899" s="34"/>
      <c r="AX899" s="34"/>
      <c r="AY899" s="34"/>
      <c r="AZ899" s="44"/>
      <c r="BA899" s="34"/>
      <c r="BB899" s="34"/>
    </row>
    <row r="900" spans="1:54" x14ac:dyDescent="0.35" ht="15.0" customHeight="true">
      <c r="A900" s="51"/>
      <c r="B900" s="34"/>
      <c r="C900" s="34"/>
      <c r="D900" s="34"/>
      <c r="E900" s="34"/>
      <c r="F900" s="34"/>
      <c r="G900" s="44"/>
      <c r="H900" s="34"/>
      <c r="I900" s="54"/>
      <c r="J900" s="34"/>
      <c r="K900" s="54"/>
      <c r="L900" s="34"/>
      <c r="M900" s="44"/>
      <c r="N900" s="44"/>
      <c r="O900" s="34"/>
      <c r="P900" s="34"/>
      <c r="Q900" s="34"/>
      <c r="R900" s="34"/>
      <c r="U900" s="44"/>
      <c r="W900" s="95"/>
      <c r="X900" s="54"/>
      <c r="Y900" s="54"/>
      <c r="Z900" s="34"/>
      <c r="AA900" s="34"/>
      <c r="AB900" s="34"/>
      <c r="AC900" s="34"/>
      <c r="AD900" s="34"/>
      <c r="AE900" s="34"/>
      <c r="AF900" s="34"/>
      <c r="AG900" s="34"/>
      <c r="AH900" s="52"/>
      <c r="AI900" s="52"/>
      <c r="AK900" s="34"/>
      <c r="AL900" s="34"/>
      <c r="AM900" s="34"/>
      <c r="AN900" s="54"/>
      <c r="AO900" s="34"/>
      <c r="AP900" s="34"/>
      <c r="AQ900" s="54"/>
      <c r="AR900" s="54"/>
      <c r="AS900" s="54"/>
      <c r="AT900" s="54"/>
      <c r="AU900" s="34"/>
      <c r="AV900" s="34"/>
      <c r="AW900" s="34"/>
      <c r="AX900" s="34"/>
      <c r="AY900" s="34"/>
      <c r="AZ900" s="44"/>
      <c r="BA900" s="34"/>
      <c r="BB900" s="34"/>
    </row>
    <row r="901" spans="1:54" x14ac:dyDescent="0.35" ht="15.0" customHeight="true">
      <c r="A901" s="51"/>
      <c r="B901" s="34"/>
      <c r="C901" s="34"/>
      <c r="D901" s="34"/>
      <c r="E901" s="34"/>
      <c r="F901" s="34"/>
      <c r="G901" s="44"/>
      <c r="H901" s="34"/>
      <c r="I901" s="54"/>
      <c r="J901" s="34"/>
      <c r="K901" s="54"/>
      <c r="L901" s="34"/>
      <c r="M901" s="44"/>
      <c r="N901" s="44"/>
      <c r="O901" s="34"/>
      <c r="P901" s="34"/>
      <c r="Q901" s="34"/>
      <c r="R901" s="34"/>
      <c r="U901" s="44"/>
      <c r="W901" s="95"/>
      <c r="X901" s="54"/>
      <c r="Y901" s="54"/>
      <c r="Z901" s="34"/>
      <c r="AA901" s="34"/>
      <c r="AB901" s="34"/>
      <c r="AC901" s="34"/>
      <c r="AD901" s="34"/>
      <c r="AE901" s="34"/>
      <c r="AF901" s="34"/>
      <c r="AG901" s="34"/>
      <c r="AH901" s="52"/>
      <c r="AI901" s="52"/>
      <c r="AK901" s="34"/>
      <c r="AL901" s="34"/>
      <c r="AM901" s="34"/>
      <c r="AN901" s="54"/>
      <c r="AO901" s="34"/>
      <c r="AP901" s="34"/>
      <c r="AQ901" s="54"/>
      <c r="AR901" s="54"/>
      <c r="AS901" s="54"/>
      <c r="AT901" s="54"/>
      <c r="AU901" s="34"/>
      <c r="AV901" s="34"/>
      <c r="AW901" s="34"/>
      <c r="AX901" s="34"/>
      <c r="AY901" s="34"/>
      <c r="AZ901" s="44"/>
      <c r="BA901" s="34"/>
      <c r="BB901" s="34"/>
    </row>
    <row r="902" spans="1:54" x14ac:dyDescent="0.35" ht="15.0" customHeight="true">
      <c r="A902" s="51"/>
      <c r="B902" s="34"/>
      <c r="C902" s="34"/>
      <c r="D902" s="34"/>
      <c r="E902" s="34"/>
      <c r="F902" s="34"/>
      <c r="G902" s="44"/>
      <c r="H902" s="34"/>
      <c r="I902" s="54"/>
      <c r="J902" s="34"/>
      <c r="K902" s="54"/>
      <c r="L902" s="34"/>
      <c r="M902" s="44"/>
      <c r="N902" s="44"/>
      <c r="O902" s="34"/>
      <c r="P902" s="34"/>
      <c r="Q902" s="34"/>
      <c r="R902" s="34"/>
      <c r="U902" s="44"/>
      <c r="W902" s="95"/>
      <c r="X902" s="54"/>
      <c r="Y902" s="54"/>
      <c r="Z902" s="34"/>
      <c r="AA902" s="34"/>
      <c r="AB902" s="34"/>
      <c r="AC902" s="34"/>
      <c r="AD902" s="34"/>
      <c r="AE902" s="34"/>
      <c r="AF902" s="34"/>
      <c r="AG902" s="34"/>
      <c r="AH902" s="52"/>
      <c r="AI902" s="52"/>
      <c r="AK902" s="34"/>
      <c r="AL902" s="34"/>
      <c r="AM902" s="34"/>
      <c r="AN902" s="54"/>
      <c r="AO902" s="34"/>
      <c r="AP902" s="34"/>
      <c r="AQ902" s="54"/>
      <c r="AR902" s="54"/>
      <c r="AS902" s="54"/>
      <c r="AT902" s="54"/>
      <c r="AU902" s="34"/>
      <c r="AV902" s="34"/>
      <c r="AW902" s="34"/>
      <c r="AX902" s="34"/>
      <c r="AY902" s="34"/>
      <c r="AZ902" s="44"/>
      <c r="BA902" s="34"/>
      <c r="BB902" s="34"/>
    </row>
    <row r="903" spans="1:54" x14ac:dyDescent="0.35" ht="15.0" customHeight="true">
      <c r="A903" s="51"/>
      <c r="B903" s="34"/>
      <c r="C903" s="34"/>
      <c r="D903" s="34"/>
      <c r="E903" s="34"/>
      <c r="F903" s="34"/>
      <c r="G903" s="44"/>
      <c r="H903" s="34"/>
      <c r="I903" s="54"/>
      <c r="J903" s="34"/>
      <c r="K903" s="54"/>
      <c r="L903" s="34"/>
      <c r="M903" s="44"/>
      <c r="N903" s="44"/>
      <c r="O903" s="34"/>
      <c r="P903" s="34"/>
      <c r="Q903" s="34"/>
      <c r="R903" s="34"/>
      <c r="U903" s="44"/>
      <c r="W903" s="95"/>
      <c r="X903" s="54"/>
      <c r="Y903" s="54"/>
      <c r="Z903" s="34"/>
      <c r="AA903" s="34"/>
      <c r="AB903" s="34"/>
      <c r="AC903" s="34"/>
      <c r="AD903" s="34"/>
      <c r="AE903" s="34"/>
      <c r="AF903" s="34"/>
      <c r="AG903" s="34"/>
      <c r="AH903" s="52"/>
      <c r="AI903" s="52"/>
      <c r="AK903" s="34"/>
      <c r="AL903" s="34"/>
      <c r="AM903" s="34"/>
      <c r="AN903" s="54"/>
      <c r="AO903" s="34"/>
      <c r="AP903" s="34"/>
      <c r="AQ903" s="54"/>
      <c r="AR903" s="54"/>
      <c r="AS903" s="54"/>
      <c r="AT903" s="54"/>
      <c r="AU903" s="34"/>
      <c r="AV903" s="34"/>
      <c r="AW903" s="34"/>
      <c r="AX903" s="34"/>
      <c r="AY903" s="34"/>
      <c r="AZ903" s="44"/>
      <c r="BA903" s="34"/>
      <c r="BB903" s="34"/>
    </row>
    <row r="904" spans="1:54" x14ac:dyDescent="0.35" ht="15.0" customHeight="true">
      <c r="A904" s="51"/>
      <c r="B904" s="34"/>
      <c r="C904" s="34"/>
      <c r="D904" s="34"/>
      <c r="E904" s="34"/>
      <c r="F904" s="34"/>
      <c r="G904" s="44"/>
      <c r="H904" s="34"/>
      <c r="I904" s="54"/>
      <c r="J904" s="34"/>
      <c r="K904" s="54"/>
      <c r="L904" s="34"/>
      <c r="M904" s="44"/>
      <c r="N904" s="44"/>
      <c r="O904" s="34"/>
      <c r="P904" s="34"/>
      <c r="Q904" s="34"/>
      <c r="R904" s="34"/>
      <c r="U904" s="44"/>
      <c r="W904" s="95"/>
      <c r="X904" s="54"/>
      <c r="Y904" s="54"/>
      <c r="Z904" s="34"/>
      <c r="AA904" s="34"/>
      <c r="AB904" s="34"/>
      <c r="AC904" s="34"/>
      <c r="AD904" s="34"/>
      <c r="AE904" s="34"/>
      <c r="AF904" s="34"/>
      <c r="AG904" s="34"/>
      <c r="AH904" s="52"/>
      <c r="AI904" s="52"/>
      <c r="AK904" s="34"/>
      <c r="AL904" s="34"/>
      <c r="AM904" s="34"/>
      <c r="AN904" s="54"/>
      <c r="AO904" s="34"/>
      <c r="AP904" s="34"/>
      <c r="AQ904" s="54"/>
      <c r="AR904" s="54"/>
      <c r="AS904" s="54"/>
      <c r="AT904" s="54"/>
      <c r="AU904" s="34"/>
      <c r="AV904" s="34"/>
      <c r="AW904" s="34"/>
      <c r="AX904" s="34"/>
      <c r="AY904" s="34"/>
      <c r="AZ904" s="44"/>
      <c r="BA904" s="34"/>
      <c r="BB904" s="34"/>
    </row>
    <row r="905" spans="1:54" x14ac:dyDescent="0.35" ht="15.0" customHeight="true">
      <c r="A905" s="51"/>
      <c r="B905" s="34"/>
      <c r="C905" s="34"/>
      <c r="D905" s="34"/>
      <c r="E905" s="34"/>
      <c r="F905" s="34"/>
      <c r="G905" s="44"/>
      <c r="H905" s="34"/>
      <c r="I905" s="54"/>
      <c r="J905" s="34"/>
      <c r="K905" s="54"/>
      <c r="L905" s="34"/>
      <c r="M905" s="44"/>
      <c r="N905" s="44"/>
      <c r="O905" s="34"/>
      <c r="P905" s="34"/>
      <c r="Q905" s="34"/>
      <c r="R905" s="34"/>
      <c r="U905" s="44"/>
      <c r="W905" s="95"/>
      <c r="X905" s="54"/>
      <c r="Y905" s="54"/>
      <c r="Z905" s="34"/>
      <c r="AA905" s="34"/>
      <c r="AB905" s="34"/>
      <c r="AC905" s="34"/>
      <c r="AD905" s="34"/>
      <c r="AE905" s="34"/>
      <c r="AF905" s="34"/>
      <c r="AG905" s="34"/>
      <c r="AH905" s="52"/>
      <c r="AI905" s="52"/>
      <c r="AK905" s="34"/>
      <c r="AL905" s="34"/>
      <c r="AM905" s="34"/>
      <c r="AN905" s="54"/>
      <c r="AO905" s="34"/>
      <c r="AP905" s="34"/>
      <c r="AQ905" s="54"/>
      <c r="AR905" s="54"/>
      <c r="AS905" s="54"/>
      <c r="AT905" s="54"/>
      <c r="AU905" s="34"/>
      <c r="AV905" s="34"/>
      <c r="AW905" s="34"/>
      <c r="AX905" s="34"/>
      <c r="AY905" s="34"/>
      <c r="AZ905" s="44"/>
      <c r="BA905" s="34"/>
      <c r="BB905" s="34"/>
    </row>
    <row r="906" spans="1:54" x14ac:dyDescent="0.35" ht="15.0" customHeight="true">
      <c r="A906" s="51"/>
      <c r="B906" s="34"/>
      <c r="C906" s="34"/>
      <c r="D906" s="34"/>
      <c r="E906" s="34"/>
      <c r="F906" s="34"/>
      <c r="G906" s="44"/>
      <c r="H906" s="34"/>
      <c r="I906" s="54"/>
      <c r="J906" s="34"/>
      <c r="K906" s="54"/>
      <c r="L906" s="34"/>
      <c r="M906" s="44"/>
      <c r="N906" s="44"/>
      <c r="O906" s="34"/>
      <c r="P906" s="34"/>
      <c r="Q906" s="34"/>
      <c r="R906" s="34"/>
      <c r="U906" s="44"/>
      <c r="W906" s="95"/>
      <c r="X906" s="54"/>
      <c r="Y906" s="54"/>
      <c r="Z906" s="34"/>
      <c r="AA906" s="34"/>
      <c r="AB906" s="34"/>
      <c r="AC906" s="34"/>
      <c r="AD906" s="34"/>
      <c r="AE906" s="34"/>
      <c r="AF906" s="34"/>
      <c r="AG906" s="34"/>
      <c r="AH906" s="52"/>
      <c r="AI906" s="52"/>
      <c r="AK906" s="34"/>
      <c r="AL906" s="34"/>
      <c r="AM906" s="34"/>
      <c r="AN906" s="54"/>
      <c r="AO906" s="34"/>
      <c r="AP906" s="34"/>
      <c r="AQ906" s="54"/>
      <c r="AR906" s="54"/>
      <c r="AS906" s="54"/>
      <c r="AT906" s="54"/>
      <c r="AU906" s="34"/>
      <c r="AV906" s="34"/>
      <c r="AW906" s="34"/>
      <c r="AX906" s="34"/>
      <c r="AY906" s="34"/>
      <c r="AZ906" s="44"/>
      <c r="BA906" s="34"/>
      <c r="BB906" s="34"/>
    </row>
    <row r="907" spans="1:54" x14ac:dyDescent="0.35" ht="15.0" customHeight="true">
      <c r="A907" s="51"/>
      <c r="B907" s="34"/>
      <c r="C907" s="34"/>
      <c r="D907" s="34"/>
      <c r="E907" s="34"/>
      <c r="F907" s="34"/>
      <c r="G907" s="44"/>
      <c r="H907" s="34"/>
      <c r="I907" s="54"/>
      <c r="J907" s="34"/>
      <c r="K907" s="54"/>
      <c r="L907" s="34"/>
      <c r="M907" s="44"/>
      <c r="N907" s="44"/>
      <c r="O907" s="34"/>
      <c r="P907" s="34"/>
      <c r="Q907" s="34"/>
      <c r="R907" s="34"/>
      <c r="U907" s="44"/>
      <c r="W907" s="95"/>
      <c r="X907" s="54"/>
      <c r="Y907" s="54"/>
      <c r="Z907" s="34"/>
      <c r="AA907" s="34"/>
      <c r="AB907" s="34"/>
      <c r="AC907" s="34"/>
      <c r="AD907" s="34"/>
      <c r="AE907" s="34"/>
      <c r="AF907" s="34"/>
      <c r="AG907" s="34"/>
      <c r="AH907" s="52"/>
      <c r="AI907" s="52"/>
      <c r="AK907" s="34"/>
      <c r="AL907" s="34"/>
      <c r="AM907" s="34"/>
      <c r="AN907" s="54"/>
      <c r="AO907" s="34"/>
      <c r="AP907" s="34"/>
      <c r="AQ907" s="54"/>
      <c r="AR907" s="54"/>
      <c r="AS907" s="54"/>
      <c r="AT907" s="54"/>
      <c r="AU907" s="34"/>
      <c r="AV907" s="34"/>
      <c r="AW907" s="34"/>
      <c r="AX907" s="34"/>
      <c r="AY907" s="34"/>
      <c r="AZ907" s="44"/>
      <c r="BA907" s="34"/>
      <c r="BB907" s="34"/>
    </row>
    <row r="908" spans="1:54" x14ac:dyDescent="0.35" ht="15.0" customHeight="true">
      <c r="A908" s="51"/>
      <c r="B908" s="34"/>
      <c r="C908" s="34"/>
      <c r="D908" s="34"/>
      <c r="E908" s="34"/>
      <c r="F908" s="34"/>
      <c r="G908" s="44"/>
      <c r="H908" s="34"/>
      <c r="I908" s="54"/>
      <c r="J908" s="34"/>
      <c r="K908" s="54"/>
      <c r="L908" s="34"/>
      <c r="M908" s="44"/>
      <c r="N908" s="44"/>
      <c r="O908" s="34"/>
      <c r="P908" s="34"/>
      <c r="Q908" s="34"/>
      <c r="R908" s="34"/>
      <c r="U908" s="44"/>
      <c r="W908" s="95"/>
      <c r="X908" s="54"/>
      <c r="Y908" s="54"/>
      <c r="Z908" s="34"/>
      <c r="AA908" s="34"/>
      <c r="AB908" s="34"/>
      <c r="AC908" s="34"/>
      <c r="AD908" s="34"/>
      <c r="AE908" s="34"/>
      <c r="AF908" s="34"/>
      <c r="AG908" s="34"/>
      <c r="AH908" s="52"/>
      <c r="AI908" s="52"/>
      <c r="AK908" s="34"/>
      <c r="AL908" s="34"/>
      <c r="AM908" s="34"/>
      <c r="AN908" s="54"/>
      <c r="AO908" s="34"/>
      <c r="AP908" s="34"/>
      <c r="AQ908" s="54"/>
      <c r="AR908" s="54"/>
      <c r="AS908" s="54"/>
      <c r="AT908" s="54"/>
      <c r="AU908" s="34"/>
      <c r="AV908" s="34"/>
      <c r="AW908" s="34"/>
      <c r="AX908" s="34"/>
      <c r="AY908" s="34"/>
      <c r="AZ908" s="44"/>
      <c r="BA908" s="34"/>
      <c r="BB908" s="34"/>
    </row>
    <row r="909" spans="1:54" x14ac:dyDescent="0.35" ht="15.0" customHeight="true">
      <c r="A909" s="51"/>
      <c r="B909" s="34"/>
      <c r="C909" s="34"/>
      <c r="D909" s="34"/>
      <c r="E909" s="34"/>
      <c r="F909" s="34"/>
      <c r="G909" s="44"/>
      <c r="H909" s="34"/>
      <c r="I909" s="54"/>
      <c r="J909" s="34"/>
      <c r="K909" s="54"/>
      <c r="L909" s="34"/>
      <c r="M909" s="44"/>
      <c r="N909" s="44"/>
      <c r="O909" s="34"/>
      <c r="P909" s="34"/>
      <c r="Q909" s="34"/>
      <c r="R909" s="34"/>
      <c r="U909" s="44"/>
      <c r="W909" s="95"/>
      <c r="X909" s="54"/>
      <c r="Y909" s="54"/>
      <c r="Z909" s="34"/>
      <c r="AA909" s="34"/>
      <c r="AB909" s="34"/>
      <c r="AC909" s="34"/>
      <c r="AD909" s="34"/>
      <c r="AE909" s="34"/>
      <c r="AF909" s="34"/>
      <c r="AG909" s="34"/>
      <c r="AH909" s="52"/>
      <c r="AI909" s="52"/>
      <c r="AK909" s="34"/>
      <c r="AL909" s="34"/>
      <c r="AM909" s="34"/>
      <c r="AN909" s="54"/>
      <c r="AO909" s="34"/>
      <c r="AP909" s="34"/>
      <c r="AQ909" s="54"/>
      <c r="AR909" s="54"/>
      <c r="AS909" s="54"/>
      <c r="AT909" s="54"/>
      <c r="AU909" s="34"/>
      <c r="AV909" s="34"/>
      <c r="AW909" s="34"/>
      <c r="AX909" s="34"/>
      <c r="AY909" s="34"/>
      <c r="AZ909" s="44"/>
      <c r="BA909" s="34"/>
      <c r="BB909" s="34"/>
    </row>
    <row r="910" spans="1:54" x14ac:dyDescent="0.35" ht="15.0" customHeight="true">
      <c r="A910" s="51"/>
      <c r="B910" s="34"/>
      <c r="C910" s="34"/>
      <c r="D910" s="34"/>
      <c r="E910" s="34"/>
      <c r="F910" s="34"/>
      <c r="G910" s="44"/>
      <c r="H910" s="34"/>
      <c r="I910" s="54"/>
      <c r="J910" s="34"/>
      <c r="K910" s="54"/>
      <c r="L910" s="34"/>
      <c r="M910" s="44"/>
      <c r="N910" s="44"/>
      <c r="O910" s="34"/>
      <c r="P910" s="34"/>
      <c r="Q910" s="34"/>
      <c r="R910" s="34"/>
      <c r="U910" s="44"/>
      <c r="W910" s="95"/>
      <c r="X910" s="54"/>
      <c r="Y910" s="54"/>
      <c r="Z910" s="34"/>
      <c r="AA910" s="34"/>
      <c r="AB910" s="34"/>
      <c r="AC910" s="34"/>
      <c r="AD910" s="34"/>
      <c r="AE910" s="34"/>
      <c r="AF910" s="34"/>
      <c r="AG910" s="34"/>
      <c r="AH910" s="52"/>
      <c r="AI910" s="52"/>
      <c r="AK910" s="34"/>
      <c r="AL910" s="34"/>
      <c r="AM910" s="34"/>
      <c r="AN910" s="54"/>
      <c r="AO910" s="34"/>
      <c r="AP910" s="34"/>
      <c r="AQ910" s="54"/>
      <c r="AR910" s="54"/>
      <c r="AS910" s="54"/>
      <c r="AT910" s="54"/>
      <c r="AU910" s="34"/>
      <c r="AV910" s="34"/>
      <c r="AW910" s="34"/>
      <c r="AX910" s="34"/>
      <c r="AY910" s="34"/>
      <c r="AZ910" s="44"/>
      <c r="BA910" s="34"/>
      <c r="BB910" s="34"/>
    </row>
    <row r="911" spans="1:54" x14ac:dyDescent="0.35" ht="15.0" customHeight="true">
      <c r="A911" s="51"/>
      <c r="B911" s="34"/>
      <c r="C911" s="34"/>
      <c r="D911" s="34"/>
      <c r="E911" s="34"/>
      <c r="F911" s="34"/>
      <c r="G911" s="44"/>
      <c r="H911" s="34"/>
      <c r="I911" s="54"/>
      <c r="J911" s="34"/>
      <c r="K911" s="54"/>
      <c r="L911" s="34"/>
      <c r="M911" s="44"/>
      <c r="N911" s="44"/>
      <c r="O911" s="34"/>
      <c r="P911" s="34"/>
      <c r="Q911" s="34"/>
      <c r="R911" s="34"/>
      <c r="U911" s="44"/>
      <c r="W911" s="95"/>
      <c r="X911" s="54"/>
      <c r="Y911" s="54"/>
      <c r="Z911" s="34"/>
      <c r="AA911" s="34"/>
      <c r="AB911" s="34"/>
      <c r="AC911" s="34"/>
      <c r="AD911" s="34"/>
      <c r="AE911" s="34"/>
      <c r="AF911" s="34"/>
      <c r="AG911" s="34"/>
      <c r="AH911" s="52"/>
      <c r="AI911" s="52"/>
      <c r="AK911" s="34"/>
      <c r="AL911" s="34"/>
      <c r="AM911" s="34"/>
      <c r="AN911" s="54"/>
      <c r="AO911" s="34"/>
      <c r="AP911" s="34"/>
      <c r="AQ911" s="54"/>
      <c r="AR911" s="54"/>
      <c r="AS911" s="54"/>
      <c r="AT911" s="54"/>
      <c r="AU911" s="34"/>
      <c r="AV911" s="34"/>
      <c r="AW911" s="34"/>
      <c r="AX911" s="34"/>
      <c r="AY911" s="34"/>
      <c r="AZ911" s="44"/>
      <c r="BA911" s="34"/>
      <c r="BB911" s="34"/>
    </row>
    <row r="912" spans="1:54" x14ac:dyDescent="0.35" ht="15.0" customHeight="true">
      <c r="A912" s="51"/>
      <c r="B912" s="34"/>
      <c r="C912" s="34"/>
      <c r="D912" s="34"/>
      <c r="E912" s="34"/>
      <c r="F912" s="34"/>
      <c r="G912" s="44"/>
      <c r="H912" s="34"/>
      <c r="I912" s="54"/>
      <c r="J912" s="34"/>
      <c r="K912" s="54"/>
      <c r="L912" s="34"/>
      <c r="M912" s="44"/>
      <c r="N912" s="44"/>
      <c r="O912" s="34"/>
      <c r="P912" s="34"/>
      <c r="Q912" s="34"/>
      <c r="R912" s="34"/>
      <c r="U912" s="44"/>
      <c r="W912" s="95"/>
      <c r="X912" s="54"/>
      <c r="Y912" s="54"/>
      <c r="Z912" s="34"/>
      <c r="AA912" s="34"/>
      <c r="AB912" s="34"/>
      <c r="AC912" s="34"/>
      <c r="AD912" s="34"/>
      <c r="AE912" s="34"/>
      <c r="AF912" s="34"/>
      <c r="AG912" s="34"/>
      <c r="AH912" s="52"/>
      <c r="AI912" s="52"/>
      <c r="AK912" s="34"/>
      <c r="AL912" s="34"/>
      <c r="AM912" s="34"/>
      <c r="AN912" s="54"/>
      <c r="AO912" s="34"/>
      <c r="AP912" s="34"/>
      <c r="AQ912" s="54"/>
      <c r="AR912" s="54"/>
      <c r="AS912" s="54"/>
      <c r="AT912" s="54"/>
      <c r="AU912" s="34"/>
      <c r="AV912" s="34"/>
      <c r="AW912" s="34"/>
      <c r="AX912" s="34"/>
      <c r="AY912" s="34"/>
      <c r="AZ912" s="44"/>
      <c r="BA912" s="34"/>
      <c r="BB912" s="34"/>
    </row>
    <row r="913" spans="1:54" x14ac:dyDescent="0.35" ht="15.0" customHeight="true">
      <c r="A913" s="51"/>
      <c r="B913" s="34"/>
      <c r="C913" s="34"/>
      <c r="D913" s="34"/>
      <c r="E913" s="34"/>
      <c r="F913" s="34"/>
      <c r="G913" s="44"/>
      <c r="H913" s="34"/>
      <c r="I913" s="54"/>
      <c r="J913" s="34"/>
      <c r="K913" s="54"/>
      <c r="L913" s="34"/>
      <c r="M913" s="44"/>
      <c r="N913" s="44"/>
      <c r="O913" s="34"/>
      <c r="P913" s="34"/>
      <c r="Q913" s="34"/>
      <c r="R913" s="34"/>
      <c r="U913" s="44"/>
      <c r="W913" s="95"/>
      <c r="X913" s="54"/>
      <c r="Y913" s="54"/>
      <c r="Z913" s="34"/>
      <c r="AA913" s="34"/>
      <c r="AB913" s="34"/>
      <c r="AC913" s="34"/>
      <c r="AD913" s="34"/>
      <c r="AE913" s="34"/>
      <c r="AF913" s="34"/>
      <c r="AG913" s="34"/>
      <c r="AH913" s="52"/>
      <c r="AI913" s="52"/>
      <c r="AK913" s="34"/>
      <c r="AL913" s="34"/>
      <c r="AM913" s="34"/>
      <c r="AN913" s="54"/>
      <c r="AO913" s="34"/>
      <c r="AP913" s="34"/>
      <c r="AQ913" s="54"/>
      <c r="AR913" s="54"/>
      <c r="AS913" s="54"/>
      <c r="AT913" s="54"/>
      <c r="AU913" s="34"/>
      <c r="AV913" s="34"/>
      <c r="AW913" s="34"/>
      <c r="AX913" s="34"/>
      <c r="AY913" s="34"/>
      <c r="AZ913" s="44"/>
      <c r="BA913" s="34"/>
      <c r="BB913" s="34"/>
    </row>
    <row r="914" spans="1:54" x14ac:dyDescent="0.35" ht="15.0" customHeight="true">
      <c r="A914" s="51"/>
      <c r="B914" s="34"/>
      <c r="C914" s="34"/>
      <c r="D914" s="34"/>
      <c r="E914" s="34"/>
      <c r="F914" s="34"/>
      <c r="G914" s="44"/>
      <c r="H914" s="34"/>
      <c r="I914" s="54"/>
      <c r="J914" s="34"/>
      <c r="K914" s="54"/>
      <c r="L914" s="34"/>
      <c r="M914" s="44"/>
      <c r="N914" s="44"/>
      <c r="O914" s="34"/>
      <c r="P914" s="34"/>
      <c r="Q914" s="34"/>
      <c r="R914" s="34"/>
      <c r="U914" s="44"/>
      <c r="W914" s="95"/>
      <c r="X914" s="54"/>
      <c r="Y914" s="54"/>
      <c r="Z914" s="34"/>
      <c r="AA914" s="34"/>
      <c r="AB914" s="34"/>
      <c r="AC914" s="34"/>
      <c r="AD914" s="34"/>
      <c r="AE914" s="34"/>
      <c r="AF914" s="34"/>
      <c r="AG914" s="34"/>
      <c r="AH914" s="52"/>
      <c r="AI914" s="52"/>
      <c r="AK914" s="34"/>
      <c r="AL914" s="34"/>
      <c r="AM914" s="34"/>
      <c r="AN914" s="54"/>
      <c r="AO914" s="34"/>
      <c r="AP914" s="34"/>
      <c r="AQ914" s="54"/>
      <c r="AR914" s="54"/>
      <c r="AS914" s="54"/>
      <c r="AT914" s="54"/>
      <c r="AU914" s="34"/>
      <c r="AV914" s="34"/>
      <c r="AW914" s="34"/>
      <c r="AX914" s="34"/>
      <c r="AY914" s="34"/>
      <c r="AZ914" s="44"/>
      <c r="BA914" s="34"/>
      <c r="BB914" s="34"/>
    </row>
    <row r="915" spans="1:54" x14ac:dyDescent="0.35" ht="15.0" customHeight="true">
      <c r="A915" s="51"/>
      <c r="B915" s="34"/>
      <c r="C915" s="34"/>
      <c r="D915" s="34"/>
      <c r="E915" s="34"/>
      <c r="F915" s="34"/>
      <c r="G915" s="44"/>
      <c r="H915" s="34"/>
      <c r="I915" s="54"/>
      <c r="J915" s="34"/>
      <c r="K915" s="54"/>
      <c r="L915" s="34"/>
      <c r="M915" s="44"/>
      <c r="N915" s="44"/>
      <c r="O915" s="34"/>
      <c r="P915" s="34"/>
      <c r="Q915" s="34"/>
      <c r="R915" s="34"/>
      <c r="U915" s="44"/>
      <c r="W915" s="95"/>
      <c r="X915" s="54"/>
      <c r="Y915" s="54"/>
      <c r="Z915" s="34"/>
      <c r="AA915" s="34"/>
      <c r="AB915" s="34"/>
      <c r="AC915" s="34"/>
      <c r="AD915" s="34"/>
      <c r="AE915" s="34"/>
      <c r="AF915" s="34"/>
      <c r="AG915" s="34"/>
      <c r="AH915" s="52"/>
      <c r="AI915" s="52"/>
      <c r="AK915" s="34"/>
      <c r="AL915" s="34"/>
      <c r="AM915" s="34"/>
      <c r="AN915" s="54"/>
      <c r="AO915" s="34"/>
      <c r="AP915" s="34"/>
      <c r="AQ915" s="54"/>
      <c r="AR915" s="54"/>
      <c r="AS915" s="54"/>
      <c r="AT915" s="54"/>
      <c r="AU915" s="34"/>
      <c r="AV915" s="34"/>
      <c r="AW915" s="34"/>
      <c r="AX915" s="34"/>
      <c r="AY915" s="34"/>
      <c r="AZ915" s="44"/>
      <c r="BA915" s="34"/>
      <c r="BB915" s="34"/>
    </row>
    <row r="916" spans="1:54" x14ac:dyDescent="0.35" ht="15.0" customHeight="true">
      <c r="A916" s="51"/>
      <c r="B916" s="34"/>
      <c r="C916" s="34"/>
      <c r="D916" s="34"/>
      <c r="E916" s="34"/>
      <c r="F916" s="34"/>
      <c r="G916" s="44"/>
      <c r="H916" s="34"/>
      <c r="I916" s="54"/>
      <c r="J916" s="34"/>
      <c r="K916" s="54"/>
      <c r="L916" s="34"/>
      <c r="M916" s="44"/>
      <c r="N916" s="44"/>
      <c r="O916" s="34"/>
      <c r="P916" s="34"/>
      <c r="Q916" s="34"/>
      <c r="R916" s="34"/>
      <c r="U916" s="44"/>
      <c r="W916" s="95"/>
      <c r="X916" s="54"/>
      <c r="Y916" s="54"/>
      <c r="Z916" s="34"/>
      <c r="AA916" s="34"/>
      <c r="AB916" s="34"/>
      <c r="AC916" s="34"/>
      <c r="AD916" s="34"/>
      <c r="AE916" s="34"/>
      <c r="AF916" s="34"/>
      <c r="AG916" s="34"/>
      <c r="AH916" s="52"/>
      <c r="AI916" s="52"/>
      <c r="AK916" s="34"/>
      <c r="AL916" s="34"/>
      <c r="AM916" s="34"/>
      <c r="AN916" s="54"/>
      <c r="AO916" s="34"/>
      <c r="AP916" s="34"/>
      <c r="AQ916" s="54"/>
      <c r="AR916" s="54"/>
      <c r="AS916" s="54"/>
      <c r="AT916" s="54"/>
      <c r="AU916" s="34"/>
      <c r="AV916" s="34"/>
      <c r="AW916" s="34"/>
      <c r="AX916" s="34"/>
      <c r="AY916" s="34"/>
      <c r="AZ916" s="44"/>
      <c r="BA916" s="34"/>
      <c r="BB916" s="34"/>
    </row>
    <row r="917" spans="1:54" x14ac:dyDescent="0.35" ht="15.0" customHeight="true">
      <c r="A917" s="51"/>
      <c r="B917" s="34"/>
      <c r="C917" s="34"/>
      <c r="D917" s="34"/>
      <c r="E917" s="34"/>
      <c r="F917" s="34"/>
      <c r="G917" s="44"/>
      <c r="H917" s="34"/>
      <c r="I917" s="54"/>
      <c r="J917" s="34"/>
      <c r="K917" s="54"/>
      <c r="L917" s="34"/>
      <c r="M917" s="44"/>
      <c r="N917" s="44"/>
      <c r="O917" s="34"/>
      <c r="P917" s="34"/>
      <c r="Q917" s="34"/>
      <c r="R917" s="34"/>
      <c r="U917" s="44"/>
      <c r="W917" s="95"/>
      <c r="X917" s="54"/>
      <c r="Y917" s="54"/>
      <c r="Z917" s="34"/>
      <c r="AA917" s="34"/>
      <c r="AB917" s="34"/>
      <c r="AC917" s="34"/>
      <c r="AD917" s="34"/>
      <c r="AE917" s="34"/>
      <c r="AF917" s="34"/>
      <c r="AG917" s="34"/>
      <c r="AH917" s="52"/>
      <c r="AI917" s="52"/>
      <c r="AK917" s="34"/>
      <c r="AL917" s="34"/>
      <c r="AM917" s="34"/>
      <c r="AN917" s="54"/>
      <c r="AO917" s="34"/>
      <c r="AP917" s="34"/>
      <c r="AQ917" s="54"/>
      <c r="AR917" s="54"/>
      <c r="AS917" s="54"/>
      <c r="AT917" s="54"/>
      <c r="AU917" s="34"/>
      <c r="AV917" s="34"/>
      <c r="AW917" s="34"/>
      <c r="AX917" s="34"/>
      <c r="AY917" s="34"/>
      <c r="AZ917" s="44"/>
      <c r="BA917" s="34"/>
      <c r="BB917" s="34"/>
    </row>
    <row r="918" spans="1:54" x14ac:dyDescent="0.35" ht="15.0" customHeight="true">
      <c r="A918" s="51"/>
      <c r="B918" s="34"/>
      <c r="C918" s="34"/>
      <c r="D918" s="34"/>
      <c r="E918" s="34"/>
      <c r="F918" s="34"/>
      <c r="G918" s="44"/>
      <c r="H918" s="34"/>
      <c r="I918" s="54"/>
      <c r="J918" s="34"/>
      <c r="K918" s="54"/>
      <c r="L918" s="34"/>
      <c r="M918" s="44"/>
      <c r="N918" s="44"/>
      <c r="O918" s="34"/>
      <c r="P918" s="34"/>
      <c r="Q918" s="34"/>
      <c r="R918" s="34"/>
      <c r="U918" s="44"/>
      <c r="W918" s="95"/>
      <c r="X918" s="54"/>
      <c r="Y918" s="54"/>
      <c r="Z918" s="34"/>
      <c r="AA918" s="34"/>
      <c r="AB918" s="34"/>
      <c r="AC918" s="34"/>
      <c r="AD918" s="34"/>
      <c r="AE918" s="34"/>
      <c r="AF918" s="34"/>
      <c r="AG918" s="34"/>
      <c r="AH918" s="52"/>
      <c r="AI918" s="52"/>
      <c r="AK918" s="34"/>
      <c r="AL918" s="34"/>
      <c r="AM918" s="34"/>
      <c r="AN918" s="54"/>
      <c r="AO918" s="34"/>
      <c r="AP918" s="34"/>
      <c r="AQ918" s="54"/>
      <c r="AR918" s="54"/>
      <c r="AS918" s="54"/>
      <c r="AT918" s="54"/>
      <c r="AU918" s="34"/>
      <c r="AV918" s="34"/>
      <c r="AW918" s="34"/>
      <c r="AX918" s="34"/>
      <c r="AY918" s="34"/>
      <c r="AZ918" s="44"/>
      <c r="BA918" s="34"/>
      <c r="BB918" s="34"/>
    </row>
    <row r="919" spans="1:54" x14ac:dyDescent="0.35" ht="15.0" customHeight="true">
      <c r="A919" s="51"/>
      <c r="B919" s="34"/>
      <c r="C919" s="34"/>
      <c r="D919" s="34"/>
      <c r="E919" s="34"/>
      <c r="F919" s="34"/>
      <c r="G919" s="44"/>
      <c r="H919" s="34"/>
      <c r="I919" s="54"/>
      <c r="J919" s="34"/>
      <c r="K919" s="54"/>
      <c r="L919" s="34"/>
      <c r="M919" s="44"/>
      <c r="N919" s="44"/>
      <c r="O919" s="34"/>
      <c r="P919" s="34"/>
      <c r="Q919" s="34"/>
      <c r="R919" s="34"/>
      <c r="U919" s="44"/>
      <c r="W919" s="95"/>
      <c r="X919" s="54"/>
      <c r="Y919" s="54"/>
      <c r="Z919" s="34"/>
      <c r="AA919" s="34"/>
      <c r="AB919" s="34"/>
      <c r="AC919" s="34"/>
      <c r="AD919" s="34"/>
      <c r="AE919" s="34"/>
      <c r="AF919" s="34"/>
      <c r="AG919" s="34"/>
      <c r="AH919" s="52"/>
      <c r="AI919" s="52"/>
      <c r="AK919" s="34"/>
      <c r="AL919" s="34"/>
      <c r="AM919" s="34"/>
      <c r="AN919" s="54"/>
      <c r="AO919" s="34"/>
      <c r="AP919" s="34"/>
      <c r="AQ919" s="54"/>
      <c r="AR919" s="54"/>
      <c r="AS919" s="54"/>
      <c r="AT919" s="54"/>
      <c r="AU919" s="34"/>
      <c r="AV919" s="34"/>
      <c r="AW919" s="34"/>
      <c r="AX919" s="34"/>
      <c r="AY919" s="34"/>
      <c r="AZ919" s="44"/>
      <c r="BA919" s="34"/>
      <c r="BB919" s="34"/>
    </row>
    <row r="920" spans="1:54" x14ac:dyDescent="0.35" ht="15.0" customHeight="true">
      <c r="A920" s="51"/>
      <c r="B920" s="34"/>
      <c r="C920" s="34"/>
      <c r="D920" s="34"/>
      <c r="E920" s="34"/>
      <c r="F920" s="34"/>
      <c r="G920" s="44"/>
      <c r="H920" s="34"/>
      <c r="I920" s="54"/>
      <c r="J920" s="34"/>
      <c r="K920" s="54"/>
      <c r="L920" s="34"/>
      <c r="M920" s="44"/>
      <c r="N920" s="44"/>
      <c r="O920" s="34"/>
      <c r="P920" s="34"/>
      <c r="Q920" s="34"/>
      <c r="R920" s="34"/>
      <c r="U920" s="44"/>
      <c r="W920" s="95"/>
      <c r="X920" s="54"/>
      <c r="Y920" s="54"/>
      <c r="Z920" s="34"/>
      <c r="AA920" s="34"/>
      <c r="AB920" s="34"/>
      <c r="AC920" s="34"/>
      <c r="AD920" s="34"/>
      <c r="AE920" s="34"/>
      <c r="AF920" s="34"/>
      <c r="AG920" s="34"/>
      <c r="AH920" s="52"/>
      <c r="AI920" s="52"/>
      <c r="AK920" s="34"/>
      <c r="AL920" s="34"/>
      <c r="AM920" s="34"/>
      <c r="AN920" s="54"/>
      <c r="AO920" s="34"/>
      <c r="AP920" s="34"/>
      <c r="AQ920" s="54"/>
      <c r="AR920" s="54"/>
      <c r="AS920" s="54"/>
      <c r="AT920" s="54"/>
      <c r="AU920" s="34"/>
      <c r="AV920" s="34"/>
      <c r="AW920" s="34"/>
      <c r="AX920" s="34"/>
      <c r="AY920" s="34"/>
      <c r="AZ920" s="44"/>
      <c r="BA920" s="34"/>
      <c r="BB920" s="34"/>
    </row>
    <row r="921" spans="1:54" x14ac:dyDescent="0.35" ht="15.0" customHeight="true">
      <c r="A921" s="51"/>
      <c r="B921" s="34"/>
      <c r="C921" s="34"/>
      <c r="D921" s="34"/>
      <c r="E921" s="34"/>
      <c r="F921" s="34"/>
      <c r="G921" s="44"/>
      <c r="H921" s="34"/>
      <c r="I921" s="54"/>
      <c r="J921" s="34"/>
      <c r="K921" s="54"/>
      <c r="L921" s="34"/>
      <c r="M921" s="44"/>
      <c r="N921" s="44"/>
      <c r="O921" s="34"/>
      <c r="P921" s="34"/>
      <c r="Q921" s="34"/>
      <c r="R921" s="34"/>
      <c r="U921" s="44"/>
      <c r="W921" s="95"/>
      <c r="X921" s="54"/>
      <c r="Y921" s="54"/>
      <c r="Z921" s="34"/>
      <c r="AA921" s="34"/>
      <c r="AB921" s="34"/>
      <c r="AC921" s="34"/>
      <c r="AD921" s="34"/>
      <c r="AE921" s="34"/>
      <c r="AF921" s="34"/>
      <c r="AG921" s="34"/>
      <c r="AH921" s="52"/>
      <c r="AI921" s="52"/>
      <c r="AK921" s="34"/>
      <c r="AL921" s="34"/>
      <c r="AM921" s="34"/>
      <c r="AN921" s="54"/>
      <c r="AO921" s="34"/>
      <c r="AP921" s="34"/>
      <c r="AQ921" s="54"/>
      <c r="AR921" s="54"/>
      <c r="AS921" s="54"/>
      <c r="AT921" s="54"/>
      <c r="AU921" s="34"/>
      <c r="AV921" s="34"/>
      <c r="AW921" s="34"/>
      <c r="AX921" s="34"/>
      <c r="AY921" s="34"/>
      <c r="AZ921" s="44"/>
      <c r="BA921" s="34"/>
      <c r="BB921" s="34"/>
    </row>
    <row r="922" spans="1:54" x14ac:dyDescent="0.35" ht="15.0" customHeight="true">
      <c r="A922" s="51"/>
      <c r="B922" s="34"/>
      <c r="C922" s="34"/>
      <c r="D922" s="34"/>
      <c r="E922" s="34"/>
      <c r="F922" s="34"/>
      <c r="G922" s="44"/>
      <c r="H922" s="34"/>
      <c r="I922" s="54"/>
      <c r="J922" s="34"/>
      <c r="K922" s="54"/>
      <c r="L922" s="34"/>
      <c r="M922" s="44"/>
      <c r="N922" s="44"/>
      <c r="O922" s="34"/>
      <c r="P922" s="34"/>
      <c r="Q922" s="34"/>
      <c r="R922" s="34"/>
      <c r="U922" s="44"/>
      <c r="W922" s="95"/>
      <c r="X922" s="54"/>
      <c r="Y922" s="54"/>
      <c r="Z922" s="34"/>
      <c r="AA922" s="34"/>
      <c r="AB922" s="34"/>
      <c r="AC922" s="34"/>
      <c r="AD922" s="34"/>
      <c r="AE922" s="34"/>
      <c r="AF922" s="34"/>
      <c r="AG922" s="34"/>
      <c r="AH922" s="52"/>
      <c r="AI922" s="52"/>
      <c r="AK922" s="34"/>
      <c r="AL922" s="34"/>
      <c r="AM922" s="34"/>
      <c r="AN922" s="54"/>
      <c r="AO922" s="34"/>
      <c r="AP922" s="34"/>
      <c r="AQ922" s="54"/>
      <c r="AR922" s="54"/>
      <c r="AS922" s="54"/>
      <c r="AT922" s="54"/>
      <c r="AU922" s="34"/>
      <c r="AV922" s="34"/>
      <c r="AW922" s="34"/>
      <c r="AX922" s="34"/>
      <c r="AY922" s="34"/>
      <c r="AZ922" s="44"/>
      <c r="BA922" s="34"/>
      <c r="BB922" s="34"/>
    </row>
    <row r="923" spans="1:54" x14ac:dyDescent="0.35" ht="15.0" customHeight="true">
      <c r="A923" s="51"/>
      <c r="B923" s="34"/>
      <c r="C923" s="34"/>
      <c r="D923" s="34"/>
      <c r="E923" s="34"/>
      <c r="F923" s="34"/>
      <c r="G923" s="44"/>
      <c r="H923" s="34"/>
      <c r="I923" s="54"/>
      <c r="J923" s="34"/>
      <c r="K923" s="54"/>
      <c r="L923" s="34"/>
      <c r="M923" s="44"/>
      <c r="N923" s="44"/>
      <c r="O923" s="34"/>
      <c r="P923" s="34"/>
      <c r="Q923" s="34"/>
      <c r="R923" s="34"/>
      <c r="U923" s="44"/>
      <c r="W923" s="95"/>
      <c r="X923" s="54"/>
      <c r="Y923" s="54"/>
      <c r="Z923" s="34"/>
      <c r="AA923" s="34"/>
      <c r="AB923" s="34"/>
      <c r="AC923" s="34"/>
      <c r="AD923" s="34"/>
      <c r="AE923" s="34"/>
      <c r="AF923" s="34"/>
      <c r="AG923" s="34"/>
      <c r="AH923" s="52"/>
      <c r="AI923" s="52"/>
      <c r="AK923" s="34"/>
      <c r="AL923" s="34"/>
      <c r="AM923" s="34"/>
      <c r="AN923" s="54"/>
      <c r="AO923" s="34"/>
      <c r="AP923" s="34"/>
      <c r="AQ923" s="54"/>
      <c r="AR923" s="54"/>
      <c r="AS923" s="54"/>
      <c r="AT923" s="54"/>
      <c r="AU923" s="34"/>
      <c r="AV923" s="34"/>
      <c r="AW923" s="34"/>
      <c r="AX923" s="34"/>
      <c r="AY923" s="34"/>
      <c r="AZ923" s="44"/>
      <c r="BA923" s="34"/>
      <c r="BB923" s="34"/>
    </row>
    <row r="924" spans="1:54" x14ac:dyDescent="0.35" ht="15.0" customHeight="true">
      <c r="A924" s="51"/>
      <c r="B924" s="34"/>
      <c r="C924" s="34"/>
      <c r="D924" s="34"/>
      <c r="E924" s="34"/>
      <c r="F924" s="34"/>
      <c r="G924" s="44"/>
      <c r="H924" s="34"/>
      <c r="I924" s="54"/>
      <c r="J924" s="34"/>
      <c r="K924" s="54"/>
      <c r="L924" s="34"/>
      <c r="M924" s="44"/>
      <c r="N924" s="44"/>
      <c r="O924" s="34"/>
      <c r="P924" s="34"/>
      <c r="Q924" s="34"/>
      <c r="R924" s="34"/>
      <c r="U924" s="44"/>
      <c r="W924" s="95"/>
      <c r="X924" s="54"/>
      <c r="Y924" s="54"/>
      <c r="Z924" s="34"/>
      <c r="AA924" s="34"/>
      <c r="AB924" s="34"/>
      <c r="AC924" s="34"/>
      <c r="AD924" s="34"/>
      <c r="AE924" s="34"/>
      <c r="AF924" s="34"/>
      <c r="AG924" s="34"/>
      <c r="AH924" s="52"/>
      <c r="AI924" s="52"/>
      <c r="AK924" s="34"/>
      <c r="AL924" s="34"/>
      <c r="AM924" s="34"/>
      <c r="AN924" s="54"/>
      <c r="AO924" s="34"/>
      <c r="AP924" s="34"/>
      <c r="AQ924" s="54"/>
      <c r="AR924" s="54"/>
      <c r="AS924" s="54"/>
      <c r="AT924" s="54"/>
      <c r="AU924" s="34"/>
      <c r="AV924" s="34"/>
      <c r="AW924" s="34"/>
      <c r="AX924" s="34"/>
      <c r="AY924" s="34"/>
      <c r="AZ924" s="44"/>
      <c r="BA924" s="34"/>
      <c r="BB924" s="34"/>
    </row>
    <row r="925" spans="1:54" x14ac:dyDescent="0.35" ht="15.0" customHeight="true">
      <c r="A925" s="51"/>
      <c r="B925" s="34"/>
      <c r="C925" s="34"/>
      <c r="D925" s="34"/>
      <c r="E925" s="34"/>
      <c r="F925" s="34"/>
      <c r="G925" s="44"/>
      <c r="H925" s="34"/>
      <c r="I925" s="54"/>
      <c r="J925" s="34"/>
      <c r="K925" s="54"/>
      <c r="L925" s="34"/>
      <c r="M925" s="44"/>
      <c r="N925" s="44"/>
      <c r="O925" s="34"/>
      <c r="P925" s="34"/>
      <c r="Q925" s="34"/>
      <c r="R925" s="34"/>
      <c r="U925" s="44"/>
      <c r="W925" s="95"/>
      <c r="X925" s="54"/>
      <c r="Y925" s="54"/>
      <c r="Z925" s="34"/>
      <c r="AA925" s="34"/>
      <c r="AB925" s="34"/>
      <c r="AC925" s="34"/>
      <c r="AD925" s="34"/>
      <c r="AE925" s="34"/>
      <c r="AF925" s="34"/>
      <c r="AG925" s="34"/>
      <c r="AH925" s="52"/>
      <c r="AI925" s="52"/>
      <c r="AK925" s="34"/>
      <c r="AL925" s="34"/>
      <c r="AM925" s="34"/>
      <c r="AN925" s="54"/>
      <c r="AO925" s="34"/>
      <c r="AP925" s="34"/>
      <c r="AQ925" s="54"/>
      <c r="AR925" s="54"/>
      <c r="AS925" s="54"/>
      <c r="AT925" s="54"/>
      <c r="AU925" s="34"/>
      <c r="AV925" s="34"/>
      <c r="AW925" s="34"/>
      <c r="AX925" s="34"/>
      <c r="AY925" s="34"/>
      <c r="AZ925" s="44"/>
      <c r="BA925" s="34"/>
      <c r="BB925" s="34"/>
    </row>
    <row r="926" spans="1:54" x14ac:dyDescent="0.35" ht="15.0" customHeight="true">
      <c r="A926" s="51"/>
      <c r="B926" s="34"/>
      <c r="C926" s="34"/>
      <c r="D926" s="34"/>
      <c r="E926" s="34"/>
      <c r="F926" s="34"/>
      <c r="G926" s="44"/>
      <c r="H926" s="34"/>
      <c r="I926" s="54"/>
      <c r="J926" s="34"/>
      <c r="K926" s="54"/>
      <c r="L926" s="34"/>
      <c r="M926" s="44"/>
      <c r="N926" s="44"/>
      <c r="O926" s="34"/>
      <c r="P926" s="34"/>
      <c r="Q926" s="34"/>
      <c r="R926" s="34"/>
      <c r="U926" s="44"/>
      <c r="W926" s="95"/>
      <c r="X926" s="54"/>
      <c r="Y926" s="54"/>
      <c r="Z926" s="34"/>
      <c r="AA926" s="34"/>
      <c r="AB926" s="34"/>
      <c r="AC926" s="34"/>
      <c r="AD926" s="34"/>
      <c r="AE926" s="34"/>
      <c r="AF926" s="34"/>
      <c r="AG926" s="34"/>
      <c r="AH926" s="52"/>
      <c r="AI926" s="52"/>
      <c r="AK926" s="34"/>
      <c r="AL926" s="34"/>
      <c r="AM926" s="34"/>
      <c r="AN926" s="54"/>
      <c r="AO926" s="34"/>
      <c r="AP926" s="34"/>
      <c r="AQ926" s="54"/>
      <c r="AR926" s="54"/>
      <c r="AS926" s="54"/>
      <c r="AT926" s="54"/>
      <c r="AU926" s="34"/>
      <c r="AV926" s="34"/>
      <c r="AW926" s="34"/>
      <c r="AX926" s="34"/>
      <c r="AY926" s="34"/>
      <c r="AZ926" s="44"/>
      <c r="BA926" s="34"/>
      <c r="BB926" s="34"/>
    </row>
    <row r="927" spans="1:54" x14ac:dyDescent="0.35" ht="15.0" customHeight="true">
      <c r="A927" s="51"/>
      <c r="B927" s="34"/>
      <c r="C927" s="34"/>
      <c r="D927" s="34"/>
      <c r="E927" s="34"/>
      <c r="F927" s="34"/>
      <c r="G927" s="44"/>
      <c r="H927" s="34"/>
      <c r="I927" s="54"/>
      <c r="J927" s="34"/>
      <c r="K927" s="54"/>
      <c r="L927" s="34"/>
      <c r="M927" s="44"/>
      <c r="N927" s="44"/>
      <c r="O927" s="34"/>
      <c r="P927" s="34"/>
      <c r="Q927" s="34"/>
      <c r="R927" s="34"/>
      <c r="U927" s="44"/>
      <c r="W927" s="95"/>
      <c r="X927" s="54"/>
      <c r="Y927" s="54"/>
      <c r="Z927" s="34"/>
      <c r="AA927" s="34"/>
      <c r="AB927" s="34"/>
      <c r="AC927" s="34"/>
      <c r="AD927" s="34"/>
      <c r="AE927" s="34"/>
      <c r="AF927" s="34"/>
      <c r="AG927" s="34"/>
      <c r="AH927" s="52"/>
      <c r="AI927" s="52"/>
      <c r="AK927" s="34"/>
      <c r="AL927" s="34"/>
      <c r="AM927" s="34"/>
      <c r="AN927" s="54"/>
      <c r="AO927" s="34"/>
      <c r="AP927" s="34"/>
      <c r="AQ927" s="54"/>
      <c r="AR927" s="54"/>
      <c r="AS927" s="54"/>
      <c r="AT927" s="54"/>
      <c r="AU927" s="34"/>
      <c r="AV927" s="34"/>
      <c r="AW927" s="34"/>
      <c r="AX927" s="34"/>
      <c r="AY927" s="34"/>
      <c r="AZ927" s="44"/>
      <c r="BA927" s="34"/>
      <c r="BB927" s="34"/>
    </row>
    <row r="928" spans="1:54" x14ac:dyDescent="0.35" ht="15.0" customHeight="true">
      <c r="A928" s="51"/>
      <c r="B928" s="34"/>
      <c r="C928" s="34"/>
      <c r="D928" s="34"/>
      <c r="E928" s="34"/>
      <c r="F928" s="34"/>
      <c r="G928" s="44"/>
      <c r="H928" s="34"/>
      <c r="I928" s="54"/>
      <c r="J928" s="34"/>
      <c r="K928" s="54"/>
      <c r="L928" s="34"/>
      <c r="M928" s="44"/>
      <c r="N928" s="44"/>
      <c r="O928" s="34"/>
      <c r="P928" s="34"/>
      <c r="Q928" s="34"/>
      <c r="R928" s="34"/>
      <c r="U928" s="44"/>
      <c r="W928" s="95"/>
      <c r="X928" s="54"/>
      <c r="Y928" s="54"/>
      <c r="Z928" s="34"/>
      <c r="AA928" s="34"/>
      <c r="AB928" s="34"/>
      <c r="AC928" s="34"/>
      <c r="AD928" s="34"/>
      <c r="AE928" s="34"/>
      <c r="AF928" s="34"/>
      <c r="AG928" s="34"/>
      <c r="AH928" s="52"/>
      <c r="AI928" s="52"/>
      <c r="AK928" s="34"/>
      <c r="AL928" s="34"/>
      <c r="AM928" s="34"/>
      <c r="AN928" s="54"/>
      <c r="AO928" s="34"/>
      <c r="AP928" s="34"/>
      <c r="AQ928" s="54"/>
      <c r="AR928" s="54"/>
      <c r="AS928" s="54"/>
      <c r="AT928" s="54"/>
      <c r="AU928" s="34"/>
      <c r="AV928" s="34"/>
      <c r="AW928" s="34"/>
      <c r="AX928" s="34"/>
      <c r="AY928" s="34"/>
      <c r="AZ928" s="44"/>
      <c r="BA928" s="34"/>
      <c r="BB928" s="34"/>
    </row>
    <row r="929" spans="1:54" x14ac:dyDescent="0.35" ht="15.0" customHeight="true">
      <c r="A929" s="51"/>
      <c r="B929" s="34"/>
      <c r="C929" s="34"/>
      <c r="D929" s="34"/>
      <c r="E929" s="34"/>
      <c r="F929" s="34"/>
      <c r="G929" s="44"/>
      <c r="H929" s="34"/>
      <c r="I929" s="54"/>
      <c r="J929" s="34"/>
      <c r="K929" s="54"/>
      <c r="L929" s="34"/>
      <c r="M929" s="44"/>
      <c r="N929" s="44"/>
      <c r="O929" s="34"/>
      <c r="P929" s="34"/>
      <c r="Q929" s="34"/>
      <c r="R929" s="34"/>
      <c r="U929" s="44"/>
      <c r="W929" s="95"/>
      <c r="X929" s="54"/>
      <c r="Y929" s="54"/>
      <c r="Z929" s="34"/>
      <c r="AA929" s="34"/>
      <c r="AB929" s="34"/>
      <c r="AC929" s="34"/>
      <c r="AD929" s="34"/>
      <c r="AE929" s="34"/>
      <c r="AF929" s="34"/>
      <c r="AG929" s="34"/>
      <c r="AH929" s="52"/>
      <c r="AI929" s="52"/>
      <c r="AK929" s="34"/>
      <c r="AL929" s="34"/>
      <c r="AM929" s="34"/>
      <c r="AN929" s="54"/>
      <c r="AO929" s="34"/>
      <c r="AP929" s="34"/>
      <c r="AQ929" s="54"/>
      <c r="AR929" s="54"/>
      <c r="AS929" s="54"/>
      <c r="AT929" s="54"/>
      <c r="AU929" s="34"/>
      <c r="AV929" s="34"/>
      <c r="AW929" s="34"/>
      <c r="AX929" s="34"/>
      <c r="AY929" s="34"/>
      <c r="AZ929" s="44"/>
      <c r="BA929" s="34"/>
      <c r="BB929" s="34"/>
    </row>
    <row r="930" spans="1:54" x14ac:dyDescent="0.35" ht="15.0" customHeight="true">
      <c r="A930" s="51"/>
      <c r="B930" s="34"/>
      <c r="C930" s="34"/>
      <c r="D930" s="34"/>
      <c r="E930" s="34"/>
      <c r="F930" s="34"/>
      <c r="G930" s="44"/>
      <c r="H930" s="34"/>
      <c r="I930" s="54"/>
      <c r="J930" s="34"/>
      <c r="K930" s="54"/>
      <c r="L930" s="34"/>
      <c r="M930" s="44"/>
      <c r="N930" s="44"/>
      <c r="O930" s="34"/>
      <c r="P930" s="34"/>
      <c r="Q930" s="34"/>
      <c r="R930" s="34"/>
      <c r="U930" s="44"/>
      <c r="W930" s="95"/>
      <c r="X930" s="54"/>
      <c r="Y930" s="54"/>
      <c r="Z930" s="34"/>
      <c r="AA930" s="34"/>
      <c r="AB930" s="34"/>
      <c r="AC930" s="34"/>
      <c r="AD930" s="34"/>
      <c r="AE930" s="34"/>
      <c r="AF930" s="34"/>
      <c r="AG930" s="34"/>
      <c r="AH930" s="52"/>
      <c r="AI930" s="52"/>
      <c r="AK930" s="34"/>
      <c r="AL930" s="34"/>
      <c r="AM930" s="34"/>
      <c r="AN930" s="54"/>
      <c r="AO930" s="34"/>
      <c r="AP930" s="34"/>
      <c r="AQ930" s="54"/>
      <c r="AR930" s="54"/>
      <c r="AS930" s="54"/>
      <c r="AT930" s="54"/>
      <c r="AU930" s="34"/>
      <c r="AV930" s="34"/>
      <c r="AW930" s="34"/>
      <c r="AX930" s="34"/>
      <c r="AY930" s="34"/>
      <c r="AZ930" s="44"/>
      <c r="BA930" s="34"/>
      <c r="BB930" s="34"/>
    </row>
    <row r="931" spans="1:54" x14ac:dyDescent="0.35" ht="15.0" customHeight="true">
      <c r="A931" s="51"/>
      <c r="B931" s="34"/>
      <c r="C931" s="34"/>
      <c r="D931" s="34"/>
      <c r="E931" s="34"/>
      <c r="F931" s="34"/>
      <c r="G931" s="44"/>
      <c r="H931" s="34"/>
      <c r="I931" s="54"/>
      <c r="J931" s="34"/>
      <c r="K931" s="54"/>
      <c r="L931" s="34"/>
      <c r="M931" s="44"/>
      <c r="N931" s="44"/>
      <c r="O931" s="34"/>
      <c r="P931" s="34"/>
      <c r="Q931" s="34"/>
      <c r="R931" s="34"/>
      <c r="U931" s="44"/>
      <c r="W931" s="95"/>
      <c r="X931" s="54"/>
      <c r="Y931" s="54"/>
      <c r="Z931" s="34"/>
      <c r="AA931" s="34"/>
      <c r="AB931" s="34"/>
      <c r="AC931" s="34"/>
      <c r="AD931" s="34"/>
      <c r="AE931" s="34"/>
      <c r="AF931" s="34"/>
      <c r="AG931" s="34"/>
      <c r="AH931" s="52"/>
      <c r="AI931" s="52"/>
      <c r="AK931" s="34"/>
      <c r="AL931" s="34"/>
      <c r="AM931" s="34"/>
      <c r="AN931" s="54"/>
      <c r="AO931" s="34"/>
      <c r="AP931" s="34"/>
      <c r="AQ931" s="54"/>
      <c r="AR931" s="54"/>
      <c r="AS931" s="54"/>
      <c r="AT931" s="54"/>
      <c r="AU931" s="34"/>
      <c r="AV931" s="34"/>
      <c r="AW931" s="34"/>
      <c r="AX931" s="34"/>
      <c r="AY931" s="34"/>
      <c r="AZ931" s="44"/>
      <c r="BA931" s="34"/>
      <c r="BB931" s="34"/>
    </row>
    <row r="932" spans="1:54" x14ac:dyDescent="0.35" ht="15.0" customHeight="true">
      <c r="A932" s="51"/>
      <c r="B932" s="34"/>
      <c r="C932" s="34"/>
      <c r="D932" s="34"/>
      <c r="E932" s="34"/>
      <c r="F932" s="34"/>
      <c r="G932" s="44"/>
      <c r="H932" s="34"/>
      <c r="I932" s="54"/>
      <c r="J932" s="34"/>
      <c r="K932" s="54"/>
      <c r="L932" s="34"/>
      <c r="M932" s="44"/>
      <c r="N932" s="44"/>
      <c r="O932" s="34"/>
      <c r="P932" s="34"/>
      <c r="Q932" s="34"/>
      <c r="R932" s="34"/>
      <c r="U932" s="44"/>
      <c r="W932" s="95"/>
      <c r="X932" s="54"/>
      <c r="Y932" s="54"/>
      <c r="Z932" s="34"/>
      <c r="AA932" s="34"/>
      <c r="AB932" s="34"/>
      <c r="AC932" s="34"/>
      <c r="AD932" s="34"/>
      <c r="AE932" s="34"/>
      <c r="AF932" s="34"/>
      <c r="AG932" s="34"/>
      <c r="AH932" s="52"/>
      <c r="AI932" s="52"/>
      <c r="AK932" s="34"/>
      <c r="AL932" s="34"/>
      <c r="AM932" s="34"/>
      <c r="AN932" s="54"/>
      <c r="AO932" s="34"/>
      <c r="AP932" s="34"/>
      <c r="AQ932" s="54"/>
      <c r="AR932" s="54"/>
      <c r="AS932" s="54"/>
      <c r="AT932" s="54"/>
      <c r="AU932" s="34"/>
      <c r="AV932" s="34"/>
      <c r="AW932" s="34"/>
      <c r="AX932" s="34"/>
      <c r="AY932" s="34"/>
      <c r="AZ932" s="44"/>
      <c r="BA932" s="34"/>
      <c r="BB932" s="34"/>
    </row>
    <row r="933" spans="1:54" x14ac:dyDescent="0.35" ht="15.0" customHeight="true">
      <c r="A933" s="51"/>
      <c r="B933" s="34"/>
      <c r="C933" s="34"/>
      <c r="D933" s="34"/>
      <c r="E933" s="34"/>
      <c r="F933" s="34"/>
      <c r="G933" s="44"/>
      <c r="H933" s="34"/>
      <c r="I933" s="54"/>
      <c r="J933" s="34"/>
      <c r="K933" s="54"/>
      <c r="L933" s="34"/>
      <c r="M933" s="44"/>
      <c r="N933" s="44"/>
      <c r="O933" s="34"/>
      <c r="P933" s="34"/>
      <c r="Q933" s="34"/>
      <c r="R933" s="34"/>
      <c r="U933" s="44"/>
      <c r="W933" s="95"/>
      <c r="X933" s="54"/>
      <c r="Y933" s="54"/>
      <c r="Z933" s="34"/>
      <c r="AA933" s="34"/>
      <c r="AB933" s="34"/>
      <c r="AC933" s="34"/>
      <c r="AD933" s="34"/>
      <c r="AE933" s="34"/>
      <c r="AF933" s="34"/>
      <c r="AG933" s="34"/>
      <c r="AH933" s="52"/>
      <c r="AI933" s="52"/>
      <c r="AK933" s="34"/>
      <c r="AL933" s="34"/>
      <c r="AM933" s="34"/>
      <c r="AN933" s="54"/>
      <c r="AO933" s="34"/>
      <c r="AP933" s="34"/>
      <c r="AQ933" s="54"/>
      <c r="AR933" s="54"/>
      <c r="AS933" s="54"/>
      <c r="AT933" s="54"/>
      <c r="AU933" s="34"/>
      <c r="AV933" s="34"/>
      <c r="AW933" s="34"/>
      <c r="AX933" s="34"/>
      <c r="AY933" s="34"/>
      <c r="AZ933" s="44"/>
      <c r="BA933" s="34"/>
      <c r="BB933" s="34"/>
    </row>
    <row r="934" spans="1:54" x14ac:dyDescent="0.35" ht="15.0" customHeight="true">
      <c r="A934" s="51"/>
      <c r="B934" s="34"/>
      <c r="C934" s="34"/>
      <c r="D934" s="34"/>
      <c r="E934" s="34"/>
      <c r="F934" s="34"/>
      <c r="G934" s="44"/>
      <c r="H934" s="34"/>
      <c r="I934" s="54"/>
      <c r="J934" s="34"/>
      <c r="K934" s="54"/>
      <c r="L934" s="34"/>
      <c r="M934" s="44"/>
      <c r="N934" s="44"/>
      <c r="O934" s="34"/>
      <c r="P934" s="34"/>
      <c r="Q934" s="34"/>
      <c r="R934" s="34"/>
      <c r="U934" s="44"/>
      <c r="W934" s="95"/>
      <c r="X934" s="54"/>
      <c r="Y934" s="54"/>
      <c r="Z934" s="34"/>
      <c r="AA934" s="34"/>
      <c r="AB934" s="34"/>
      <c r="AC934" s="34"/>
      <c r="AD934" s="34"/>
      <c r="AE934" s="34"/>
      <c r="AF934" s="34"/>
      <c r="AG934" s="34"/>
      <c r="AH934" s="52"/>
      <c r="AI934" s="52"/>
      <c r="AK934" s="34"/>
      <c r="AL934" s="34"/>
      <c r="AM934" s="34"/>
      <c r="AN934" s="54"/>
      <c r="AO934" s="34"/>
      <c r="AP934" s="34"/>
      <c r="AQ934" s="54"/>
      <c r="AR934" s="54"/>
      <c r="AS934" s="54"/>
      <c r="AT934" s="54"/>
      <c r="AU934" s="34"/>
      <c r="AV934" s="34"/>
      <c r="AW934" s="34"/>
      <c r="AX934" s="34"/>
      <c r="AY934" s="34"/>
      <c r="AZ934" s="44"/>
      <c r="BA934" s="34"/>
      <c r="BB934" s="34"/>
    </row>
    <row r="935" spans="1:54" x14ac:dyDescent="0.35" ht="15.0" customHeight="true">
      <c r="A935" s="51"/>
      <c r="B935" s="34"/>
      <c r="C935" s="34"/>
      <c r="D935" s="34"/>
      <c r="E935" s="34"/>
      <c r="F935" s="34"/>
      <c r="G935" s="44"/>
      <c r="H935" s="34"/>
      <c r="I935" s="54"/>
      <c r="J935" s="34"/>
      <c r="K935" s="54"/>
      <c r="L935" s="34"/>
      <c r="M935" s="44"/>
      <c r="N935" s="44"/>
      <c r="O935" s="34"/>
      <c r="P935" s="34"/>
      <c r="Q935" s="34"/>
      <c r="R935" s="34"/>
      <c r="U935" s="44"/>
      <c r="W935" s="95"/>
      <c r="X935" s="54"/>
      <c r="Y935" s="54"/>
      <c r="Z935" s="34"/>
      <c r="AA935" s="34"/>
      <c r="AB935" s="34"/>
      <c r="AC935" s="34"/>
      <c r="AD935" s="34"/>
      <c r="AE935" s="34"/>
      <c r="AF935" s="34"/>
      <c r="AG935" s="34"/>
      <c r="AH935" s="52"/>
      <c r="AI935" s="52"/>
      <c r="AK935" s="34"/>
      <c r="AL935" s="34"/>
      <c r="AM935" s="34"/>
      <c r="AN935" s="54"/>
      <c r="AO935" s="34"/>
      <c r="AP935" s="34"/>
      <c r="AQ935" s="54"/>
      <c r="AR935" s="54"/>
      <c r="AS935" s="54"/>
      <c r="AT935" s="54"/>
      <c r="AU935" s="34"/>
      <c r="AV935" s="34"/>
      <c r="AW935" s="34"/>
      <c r="AX935" s="34"/>
      <c r="AY935" s="34"/>
      <c r="AZ935" s="44"/>
      <c r="BA935" s="34"/>
      <c r="BB935" s="34"/>
    </row>
    <row r="936" spans="1:54" x14ac:dyDescent="0.35" ht="15.0" customHeight="true">
      <c r="A936" s="51"/>
      <c r="B936" s="34"/>
      <c r="C936" s="34"/>
      <c r="D936" s="34"/>
      <c r="E936" s="34"/>
      <c r="F936" s="34"/>
      <c r="G936" s="44"/>
      <c r="H936" s="34"/>
      <c r="I936" s="54"/>
      <c r="J936" s="34"/>
      <c r="K936" s="54"/>
      <c r="L936" s="34"/>
      <c r="M936" s="44"/>
      <c r="N936" s="44"/>
      <c r="O936" s="34"/>
      <c r="P936" s="34"/>
      <c r="Q936" s="34"/>
      <c r="R936" s="34"/>
      <c r="U936" s="44"/>
      <c r="W936" s="95"/>
      <c r="X936" s="54"/>
      <c r="Y936" s="54"/>
      <c r="Z936" s="34"/>
      <c r="AA936" s="34"/>
      <c r="AB936" s="34"/>
      <c r="AC936" s="34"/>
      <c r="AD936" s="34"/>
      <c r="AE936" s="34"/>
      <c r="AF936" s="34"/>
      <c r="AG936" s="34"/>
      <c r="AH936" s="52"/>
      <c r="AI936" s="52"/>
      <c r="AK936" s="34"/>
      <c r="AL936" s="34"/>
      <c r="AM936" s="34"/>
      <c r="AN936" s="54"/>
      <c r="AO936" s="34"/>
      <c r="AP936" s="34"/>
      <c r="AQ936" s="54"/>
      <c r="AR936" s="54"/>
      <c r="AS936" s="54"/>
      <c r="AT936" s="54"/>
      <c r="AU936" s="34"/>
      <c r="AV936" s="34"/>
      <c r="AW936" s="34"/>
      <c r="AX936" s="34"/>
      <c r="AY936" s="34"/>
      <c r="AZ936" s="44"/>
      <c r="BA936" s="34"/>
      <c r="BB936" s="34"/>
    </row>
    <row r="937" spans="1:54" x14ac:dyDescent="0.35" ht="15.0" customHeight="true">
      <c r="A937" s="51"/>
      <c r="B937" s="34"/>
      <c r="C937" s="34"/>
      <c r="D937" s="34"/>
      <c r="E937" s="34"/>
      <c r="F937" s="34"/>
      <c r="G937" s="44"/>
      <c r="H937" s="34"/>
      <c r="I937" s="54"/>
      <c r="J937" s="34"/>
      <c r="K937" s="54"/>
      <c r="L937" s="34"/>
      <c r="M937" s="44"/>
      <c r="N937" s="44"/>
      <c r="O937" s="34"/>
      <c r="P937" s="34"/>
      <c r="Q937" s="34"/>
      <c r="R937" s="34"/>
      <c r="U937" s="44"/>
      <c r="W937" s="95"/>
      <c r="X937" s="54"/>
      <c r="Y937" s="54"/>
      <c r="Z937" s="34"/>
      <c r="AA937" s="34"/>
      <c r="AB937" s="34"/>
      <c r="AC937" s="34"/>
      <c r="AD937" s="34"/>
      <c r="AE937" s="34"/>
      <c r="AF937" s="34"/>
      <c r="AG937" s="34"/>
      <c r="AH937" s="52"/>
      <c r="AI937" s="52"/>
      <c r="AK937" s="34"/>
      <c r="AL937" s="34"/>
      <c r="AM937" s="34"/>
      <c r="AN937" s="54"/>
      <c r="AO937" s="34"/>
      <c r="AP937" s="34"/>
      <c r="AQ937" s="54"/>
      <c r="AR937" s="54"/>
      <c r="AS937" s="54"/>
      <c r="AT937" s="54"/>
      <c r="AU937" s="34"/>
      <c r="AV937" s="34"/>
      <c r="AW937" s="34"/>
      <c r="AX937" s="34"/>
      <c r="AY937" s="34"/>
      <c r="AZ937" s="44"/>
      <c r="BA937" s="34"/>
      <c r="BB937" s="34"/>
    </row>
    <row r="938" spans="1:54" x14ac:dyDescent="0.35" ht="15.0" customHeight="true">
      <c r="A938" s="51"/>
      <c r="B938" s="34"/>
      <c r="C938" s="34"/>
      <c r="D938" s="34"/>
      <c r="E938" s="34"/>
      <c r="F938" s="34"/>
      <c r="G938" s="44"/>
      <c r="H938" s="34"/>
      <c r="I938" s="54"/>
      <c r="J938" s="34"/>
      <c r="K938" s="54"/>
      <c r="L938" s="34"/>
      <c r="M938" s="44"/>
      <c r="N938" s="44"/>
      <c r="O938" s="34"/>
      <c r="P938" s="34"/>
      <c r="Q938" s="34"/>
      <c r="R938" s="34"/>
      <c r="U938" s="44"/>
      <c r="W938" s="95"/>
      <c r="X938" s="54"/>
      <c r="Y938" s="54"/>
      <c r="Z938" s="34"/>
      <c r="AA938" s="34"/>
      <c r="AB938" s="34"/>
      <c r="AC938" s="34"/>
      <c r="AD938" s="34"/>
      <c r="AE938" s="34"/>
      <c r="AF938" s="34"/>
      <c r="AG938" s="34"/>
      <c r="AH938" s="52"/>
      <c r="AI938" s="52"/>
      <c r="AK938" s="34"/>
      <c r="AL938" s="34"/>
      <c r="AM938" s="34"/>
      <c r="AN938" s="54"/>
      <c r="AO938" s="34"/>
      <c r="AP938" s="34"/>
      <c r="AQ938" s="54"/>
      <c r="AR938" s="54"/>
      <c r="AS938" s="54"/>
      <c r="AT938" s="54"/>
      <c r="AU938" s="34"/>
      <c r="AV938" s="34"/>
      <c r="AW938" s="34"/>
      <c r="AX938" s="34"/>
      <c r="AY938" s="34"/>
      <c r="AZ938" s="44"/>
      <c r="BA938" s="34"/>
      <c r="BB938" s="34"/>
    </row>
    <row r="939" spans="1:54" x14ac:dyDescent="0.35" ht="15.0" customHeight="true">
      <c r="A939" s="51"/>
      <c r="B939" s="34"/>
      <c r="C939" s="34"/>
      <c r="D939" s="34"/>
      <c r="E939" s="34"/>
      <c r="F939" s="34"/>
      <c r="G939" s="44"/>
      <c r="H939" s="34"/>
      <c r="I939" s="54"/>
      <c r="J939" s="34"/>
      <c r="K939" s="54"/>
      <c r="L939" s="34"/>
      <c r="M939" s="44"/>
      <c r="N939" s="44"/>
      <c r="O939" s="34"/>
      <c r="P939" s="34"/>
      <c r="Q939" s="34"/>
      <c r="R939" s="34"/>
      <c r="U939" s="44"/>
      <c r="W939" s="95"/>
      <c r="X939" s="54"/>
      <c r="Y939" s="54"/>
      <c r="Z939" s="34"/>
      <c r="AA939" s="34"/>
      <c r="AB939" s="34"/>
      <c r="AC939" s="34"/>
      <c r="AD939" s="34"/>
      <c r="AE939" s="34"/>
      <c r="AF939" s="34"/>
      <c r="AG939" s="34"/>
      <c r="AH939" s="52"/>
      <c r="AI939" s="52"/>
      <c r="AK939" s="34"/>
      <c r="AL939" s="34"/>
      <c r="AM939" s="34"/>
      <c r="AN939" s="54"/>
      <c r="AO939" s="34"/>
      <c r="AP939" s="34"/>
      <c r="AQ939" s="54"/>
      <c r="AR939" s="54"/>
      <c r="AS939" s="54"/>
      <c r="AT939" s="54"/>
      <c r="AU939" s="34"/>
      <c r="AV939" s="34"/>
      <c r="AW939" s="34"/>
      <c r="AX939" s="34"/>
      <c r="AY939" s="34"/>
      <c r="AZ939" s="44"/>
      <c r="BA939" s="34"/>
      <c r="BB939" s="34"/>
    </row>
    <row r="940" spans="1:54" x14ac:dyDescent="0.35" ht="15.0" customHeight="true">
      <c r="A940" s="51"/>
      <c r="B940" s="34"/>
      <c r="C940" s="34"/>
      <c r="D940" s="34"/>
      <c r="E940" s="34"/>
      <c r="F940" s="34"/>
      <c r="G940" s="44"/>
      <c r="H940" s="34"/>
      <c r="I940" s="54"/>
      <c r="J940" s="34"/>
      <c r="K940" s="54"/>
      <c r="L940" s="34"/>
      <c r="M940" s="44"/>
      <c r="N940" s="44"/>
      <c r="O940" s="34"/>
      <c r="P940" s="34"/>
      <c r="Q940" s="34"/>
      <c r="R940" s="34"/>
      <c r="U940" s="44"/>
      <c r="W940" s="95"/>
      <c r="X940" s="54"/>
      <c r="Y940" s="54"/>
      <c r="Z940" s="34"/>
      <c r="AA940" s="34"/>
      <c r="AB940" s="34"/>
      <c r="AC940" s="34"/>
      <c r="AD940" s="34"/>
      <c r="AE940" s="34"/>
      <c r="AF940" s="34"/>
      <c r="AG940" s="34"/>
      <c r="AH940" s="52"/>
      <c r="AI940" s="52"/>
      <c r="AK940" s="34"/>
      <c r="AL940" s="34"/>
      <c r="AM940" s="34"/>
      <c r="AN940" s="54"/>
      <c r="AO940" s="34"/>
      <c r="AP940" s="34"/>
      <c r="AQ940" s="54"/>
      <c r="AR940" s="54"/>
      <c r="AS940" s="54"/>
      <c r="AT940" s="54"/>
      <c r="AU940" s="34"/>
      <c r="AV940" s="34"/>
      <c r="AW940" s="34"/>
      <c r="AX940" s="34"/>
      <c r="AY940" s="34"/>
      <c r="AZ940" s="44"/>
      <c r="BA940" s="34"/>
      <c r="BB940" s="34"/>
    </row>
    <row r="941" spans="1:54" x14ac:dyDescent="0.35" ht="15.0" customHeight="true">
      <c r="A941" s="51"/>
      <c r="B941" s="34"/>
      <c r="C941" s="34"/>
      <c r="D941" s="34"/>
      <c r="E941" s="34"/>
      <c r="F941" s="34"/>
      <c r="G941" s="44"/>
      <c r="H941" s="34"/>
      <c r="I941" s="54"/>
      <c r="J941" s="34"/>
      <c r="K941" s="54"/>
      <c r="L941" s="34"/>
      <c r="M941" s="44"/>
      <c r="N941" s="44"/>
      <c r="O941" s="34"/>
      <c r="P941" s="34"/>
      <c r="Q941" s="34"/>
      <c r="R941" s="34"/>
      <c r="U941" s="44"/>
      <c r="W941" s="95"/>
      <c r="X941" s="54"/>
      <c r="Y941" s="54"/>
      <c r="Z941" s="34"/>
      <c r="AA941" s="34"/>
      <c r="AB941" s="34"/>
      <c r="AC941" s="34"/>
      <c r="AD941" s="34"/>
      <c r="AE941" s="34"/>
      <c r="AF941" s="34"/>
      <c r="AG941" s="34"/>
      <c r="AH941" s="52"/>
      <c r="AI941" s="52"/>
      <c r="AK941" s="34"/>
      <c r="AL941" s="34"/>
      <c r="AM941" s="34"/>
      <c r="AN941" s="54"/>
      <c r="AO941" s="34"/>
      <c r="AP941" s="34"/>
      <c r="AQ941" s="54"/>
      <c r="AR941" s="54"/>
      <c r="AS941" s="54"/>
      <c r="AT941" s="54"/>
      <c r="AU941" s="34"/>
      <c r="AV941" s="34"/>
      <c r="AW941" s="34"/>
      <c r="AX941" s="34"/>
      <c r="AY941" s="34"/>
      <c r="AZ941" s="44"/>
      <c r="BA941" s="34"/>
      <c r="BB941" s="34"/>
    </row>
    <row r="942" spans="1:54" x14ac:dyDescent="0.35" ht="15.0" customHeight="true">
      <c r="A942" s="51"/>
      <c r="B942" s="34"/>
      <c r="C942" s="34"/>
      <c r="D942" s="34"/>
      <c r="E942" s="34"/>
      <c r="F942" s="34"/>
      <c r="G942" s="44"/>
      <c r="H942" s="34"/>
      <c r="I942" s="54"/>
      <c r="J942" s="34"/>
      <c r="K942" s="54"/>
      <c r="L942" s="34"/>
      <c r="M942" s="44"/>
      <c r="N942" s="44"/>
      <c r="O942" s="34"/>
      <c r="P942" s="34"/>
      <c r="Q942" s="34"/>
      <c r="R942" s="34"/>
      <c r="U942" s="44"/>
      <c r="W942" s="95"/>
      <c r="X942" s="54"/>
      <c r="Y942" s="54"/>
      <c r="Z942" s="34"/>
      <c r="AA942" s="34"/>
      <c r="AB942" s="34"/>
      <c r="AC942" s="34"/>
      <c r="AD942" s="34"/>
      <c r="AE942" s="34"/>
      <c r="AF942" s="34"/>
      <c r="AG942" s="34"/>
      <c r="AH942" s="52"/>
      <c r="AI942" s="52"/>
      <c r="AK942" s="34"/>
      <c r="AL942" s="34"/>
      <c r="AM942" s="34"/>
      <c r="AN942" s="54"/>
      <c r="AO942" s="34"/>
      <c r="AP942" s="34"/>
      <c r="AQ942" s="54"/>
      <c r="AR942" s="54"/>
      <c r="AS942" s="54"/>
      <c r="AT942" s="54"/>
      <c r="AU942" s="34"/>
      <c r="AV942" s="34"/>
      <c r="AW942" s="34"/>
      <c r="AX942" s="34"/>
      <c r="AY942" s="34"/>
      <c r="AZ942" s="44"/>
      <c r="BA942" s="34"/>
      <c r="BB942" s="34"/>
    </row>
    <row r="943" spans="1:54" x14ac:dyDescent="0.35" ht="15.0" customHeight="true">
      <c r="A943" s="51"/>
      <c r="B943" s="34"/>
      <c r="C943" s="34"/>
      <c r="D943" s="34"/>
      <c r="E943" s="34"/>
      <c r="F943" s="34"/>
      <c r="G943" s="44"/>
      <c r="H943" s="34"/>
      <c r="I943" s="54"/>
      <c r="J943" s="34"/>
      <c r="K943" s="54"/>
      <c r="L943" s="34"/>
      <c r="M943" s="44"/>
      <c r="N943" s="44"/>
      <c r="O943" s="34"/>
      <c r="P943" s="34"/>
      <c r="Q943" s="34"/>
      <c r="R943" s="34"/>
      <c r="U943" s="44"/>
      <c r="W943" s="95"/>
      <c r="X943" s="54"/>
      <c r="Y943" s="54"/>
      <c r="Z943" s="34"/>
      <c r="AA943" s="34"/>
      <c r="AB943" s="34"/>
      <c r="AC943" s="34"/>
      <c r="AD943" s="34"/>
      <c r="AE943" s="34"/>
      <c r="AF943" s="34"/>
      <c r="AG943" s="34"/>
      <c r="AH943" s="52"/>
      <c r="AI943" s="52"/>
      <c r="AK943" s="34"/>
      <c r="AL943" s="34"/>
      <c r="AM943" s="34"/>
      <c r="AN943" s="54"/>
      <c r="AO943" s="34"/>
      <c r="AP943" s="34"/>
      <c r="AQ943" s="54"/>
      <c r="AR943" s="54"/>
      <c r="AS943" s="54"/>
      <c r="AT943" s="54"/>
      <c r="AU943" s="34"/>
      <c r="AV943" s="34"/>
      <c r="AW943" s="34"/>
      <c r="AX943" s="34"/>
      <c r="AY943" s="34"/>
      <c r="AZ943" s="44"/>
      <c r="BA943" s="34"/>
      <c r="BB943" s="34"/>
    </row>
    <row r="944" spans="1:54" x14ac:dyDescent="0.35" ht="15.0" customHeight="true">
      <c r="A944" s="51"/>
      <c r="B944" s="34"/>
      <c r="C944" s="34"/>
      <c r="D944" s="34"/>
      <c r="E944" s="34"/>
      <c r="F944" s="34"/>
      <c r="G944" s="44"/>
      <c r="H944" s="34"/>
      <c r="I944" s="54"/>
      <c r="J944" s="34"/>
      <c r="K944" s="54"/>
      <c r="L944" s="34"/>
      <c r="M944" s="44"/>
      <c r="N944" s="44"/>
      <c r="O944" s="34"/>
      <c r="P944" s="34"/>
      <c r="Q944" s="34"/>
      <c r="R944" s="34"/>
      <c r="U944" s="44"/>
      <c r="W944" s="95"/>
      <c r="X944" s="54"/>
      <c r="Y944" s="54"/>
      <c r="Z944" s="34"/>
      <c r="AA944" s="34"/>
      <c r="AB944" s="34"/>
      <c r="AC944" s="34"/>
      <c r="AD944" s="34"/>
      <c r="AE944" s="34"/>
      <c r="AF944" s="34"/>
      <c r="AG944" s="34"/>
      <c r="AH944" s="52"/>
      <c r="AI944" s="52"/>
      <c r="AK944" s="34"/>
      <c r="AL944" s="34"/>
      <c r="AM944" s="34"/>
      <c r="AN944" s="54"/>
      <c r="AO944" s="34"/>
      <c r="AP944" s="34"/>
      <c r="AQ944" s="54"/>
      <c r="AR944" s="54"/>
      <c r="AS944" s="54"/>
      <c r="AT944" s="54"/>
      <c r="AU944" s="34"/>
      <c r="AV944" s="34"/>
      <c r="AW944" s="34"/>
      <c r="AX944" s="34"/>
      <c r="AY944" s="34"/>
      <c r="AZ944" s="44"/>
      <c r="BA944" s="34"/>
      <c r="BB944" s="34"/>
    </row>
    <row r="945" spans="1:54" x14ac:dyDescent="0.35" ht="15.0" customHeight="true">
      <c r="A945" s="51"/>
      <c r="B945" s="34"/>
      <c r="C945" s="34"/>
      <c r="D945" s="34"/>
      <c r="E945" s="34"/>
      <c r="F945" s="34"/>
      <c r="G945" s="44"/>
      <c r="H945" s="34"/>
      <c r="I945" s="54"/>
      <c r="J945" s="34"/>
      <c r="K945" s="54"/>
      <c r="L945" s="34"/>
      <c r="M945" s="44"/>
      <c r="N945" s="44"/>
      <c r="O945" s="34"/>
      <c r="P945" s="34"/>
      <c r="Q945" s="34"/>
      <c r="R945" s="34"/>
      <c r="U945" s="44"/>
      <c r="W945" s="95"/>
      <c r="X945" s="54"/>
      <c r="Y945" s="54"/>
      <c r="Z945" s="34"/>
      <c r="AA945" s="34"/>
      <c r="AB945" s="34"/>
      <c r="AC945" s="34"/>
      <c r="AD945" s="34"/>
      <c r="AE945" s="34"/>
      <c r="AF945" s="34"/>
      <c r="AG945" s="34"/>
      <c r="AH945" s="52"/>
      <c r="AI945" s="52"/>
      <c r="AK945" s="34"/>
      <c r="AL945" s="34"/>
      <c r="AM945" s="34"/>
      <c r="AN945" s="54"/>
      <c r="AO945" s="34"/>
      <c r="AP945" s="34"/>
      <c r="AQ945" s="54"/>
      <c r="AR945" s="54"/>
      <c r="AS945" s="54"/>
      <c r="AT945" s="54"/>
      <c r="AU945" s="34"/>
      <c r="AV945" s="34"/>
      <c r="AW945" s="34"/>
      <c r="AX945" s="34"/>
      <c r="AY945" s="34"/>
      <c r="AZ945" s="44"/>
      <c r="BA945" s="34"/>
      <c r="BB945" s="34"/>
    </row>
    <row r="946" spans="1:54" x14ac:dyDescent="0.35" ht="15.0" customHeight="true">
      <c r="A946" s="51"/>
      <c r="B946" s="34"/>
      <c r="C946" s="34"/>
      <c r="D946" s="34"/>
      <c r="E946" s="34"/>
      <c r="F946" s="34"/>
      <c r="G946" s="44"/>
      <c r="H946" s="34"/>
      <c r="I946" s="54"/>
      <c r="J946" s="34"/>
      <c r="K946" s="54"/>
      <c r="L946" s="34"/>
      <c r="M946" s="44"/>
      <c r="N946" s="44"/>
      <c r="O946" s="34"/>
      <c r="P946" s="34"/>
      <c r="Q946" s="34"/>
      <c r="R946" s="34"/>
      <c r="U946" s="44"/>
      <c r="W946" s="95"/>
      <c r="X946" s="54"/>
      <c r="Y946" s="54"/>
      <c r="Z946" s="34"/>
      <c r="AA946" s="34"/>
      <c r="AB946" s="34"/>
      <c r="AC946" s="34"/>
      <c r="AD946" s="34"/>
      <c r="AE946" s="34"/>
      <c r="AF946" s="34"/>
      <c r="AG946" s="34"/>
      <c r="AH946" s="52"/>
      <c r="AI946" s="52"/>
      <c r="AK946" s="34"/>
      <c r="AL946" s="34"/>
      <c r="AM946" s="34"/>
      <c r="AN946" s="54"/>
      <c r="AO946" s="34"/>
      <c r="AP946" s="34"/>
      <c r="AQ946" s="54"/>
      <c r="AR946" s="54"/>
      <c r="AS946" s="54"/>
      <c r="AT946" s="54"/>
      <c r="AU946" s="34"/>
      <c r="AV946" s="34"/>
      <c r="AW946" s="34"/>
      <c r="AX946" s="34"/>
      <c r="AY946" s="34"/>
      <c r="AZ946" s="44"/>
      <c r="BA946" s="34"/>
      <c r="BB946" s="34"/>
    </row>
    <row r="947" spans="1:54" x14ac:dyDescent="0.35" ht="15.0" customHeight="true">
      <c r="A947" s="51"/>
      <c r="B947" s="34"/>
      <c r="C947" s="34"/>
      <c r="D947" s="34"/>
      <c r="E947" s="34"/>
      <c r="F947" s="34"/>
      <c r="G947" s="44"/>
      <c r="H947" s="34"/>
      <c r="I947" s="54"/>
      <c r="J947" s="34"/>
      <c r="K947" s="54"/>
      <c r="L947" s="34"/>
      <c r="M947" s="44"/>
      <c r="N947" s="44"/>
      <c r="O947" s="34"/>
      <c r="P947" s="34"/>
      <c r="Q947" s="34"/>
      <c r="R947" s="34"/>
      <c r="U947" s="44"/>
      <c r="W947" s="95"/>
      <c r="X947" s="54"/>
      <c r="Y947" s="54"/>
      <c r="Z947" s="34"/>
      <c r="AA947" s="34"/>
      <c r="AB947" s="34"/>
      <c r="AC947" s="34"/>
      <c r="AD947" s="34"/>
      <c r="AE947" s="34"/>
      <c r="AF947" s="34"/>
      <c r="AG947" s="34"/>
      <c r="AH947" s="52"/>
      <c r="AI947" s="52"/>
      <c r="AK947" s="34"/>
      <c r="AL947" s="34"/>
      <c r="AM947" s="34"/>
      <c r="AN947" s="54"/>
      <c r="AO947" s="34"/>
      <c r="AP947" s="34"/>
      <c r="AQ947" s="54"/>
      <c r="AR947" s="54"/>
      <c r="AS947" s="54"/>
      <c r="AT947" s="54"/>
      <c r="AU947" s="34"/>
      <c r="AV947" s="34"/>
      <c r="AW947" s="34"/>
      <c r="AX947" s="34"/>
      <c r="AY947" s="34"/>
      <c r="AZ947" s="44"/>
      <c r="BA947" s="34"/>
      <c r="BB947" s="34"/>
    </row>
    <row r="948" spans="1:54" x14ac:dyDescent="0.35" ht="15.0" customHeight="true">
      <c r="A948" s="51"/>
      <c r="B948" s="34"/>
      <c r="C948" s="34"/>
      <c r="D948" s="34"/>
      <c r="E948" s="34"/>
      <c r="F948" s="34"/>
      <c r="G948" s="44"/>
      <c r="H948" s="34"/>
      <c r="I948" s="54"/>
      <c r="J948" s="34"/>
      <c r="K948" s="54"/>
      <c r="L948" s="34"/>
      <c r="M948" s="44"/>
      <c r="N948" s="44"/>
      <c r="O948" s="34"/>
      <c r="P948" s="34"/>
      <c r="Q948" s="34"/>
      <c r="R948" s="34"/>
      <c r="U948" s="44"/>
      <c r="W948" s="95"/>
      <c r="X948" s="54"/>
      <c r="Y948" s="54"/>
      <c r="Z948" s="34"/>
      <c r="AA948" s="34"/>
      <c r="AB948" s="34"/>
      <c r="AC948" s="34"/>
      <c r="AD948" s="34"/>
      <c r="AE948" s="34"/>
      <c r="AF948" s="34"/>
      <c r="AG948" s="34"/>
      <c r="AH948" s="52"/>
      <c r="AI948" s="52"/>
      <c r="AK948" s="34"/>
      <c r="AL948" s="34"/>
      <c r="AM948" s="34"/>
      <c r="AN948" s="54"/>
      <c r="AO948" s="34"/>
      <c r="AP948" s="34"/>
      <c r="AQ948" s="54"/>
      <c r="AR948" s="54"/>
      <c r="AS948" s="54"/>
      <c r="AT948" s="54"/>
      <c r="AU948" s="34"/>
      <c r="AV948" s="34"/>
      <c r="AW948" s="34"/>
      <c r="AX948" s="34"/>
      <c r="AY948" s="34"/>
      <c r="AZ948" s="44"/>
      <c r="BA948" s="34"/>
      <c r="BB948" s="34"/>
    </row>
    <row r="949" spans="1:54" x14ac:dyDescent="0.35" ht="15.0" customHeight="true">
      <c r="A949" s="51"/>
      <c r="B949" s="34"/>
      <c r="C949" s="34"/>
      <c r="D949" s="34"/>
      <c r="E949" s="34"/>
      <c r="F949" s="34"/>
      <c r="G949" s="44"/>
      <c r="H949" s="34"/>
      <c r="I949" s="54"/>
      <c r="J949" s="34"/>
      <c r="K949" s="54"/>
      <c r="L949" s="34"/>
      <c r="M949" s="44"/>
      <c r="N949" s="44"/>
      <c r="O949" s="34"/>
      <c r="P949" s="34"/>
      <c r="Q949" s="34"/>
      <c r="R949" s="34"/>
      <c r="U949" s="44"/>
      <c r="W949" s="95"/>
      <c r="X949" s="54"/>
      <c r="Y949" s="54"/>
      <c r="Z949" s="34"/>
      <c r="AA949" s="34"/>
      <c r="AB949" s="34"/>
      <c r="AC949" s="34"/>
      <c r="AD949" s="34"/>
      <c r="AE949" s="34"/>
      <c r="AF949" s="34"/>
      <c r="AG949" s="34"/>
      <c r="AH949" s="52"/>
      <c r="AI949" s="52"/>
      <c r="AK949" s="34"/>
      <c r="AL949" s="34"/>
      <c r="AM949" s="34"/>
      <c r="AN949" s="54"/>
      <c r="AO949" s="34"/>
      <c r="AP949" s="34"/>
      <c r="AQ949" s="54"/>
      <c r="AR949" s="54"/>
      <c r="AS949" s="54"/>
      <c r="AT949" s="54"/>
      <c r="AU949" s="34"/>
      <c r="AV949" s="34"/>
      <c r="AW949" s="34"/>
      <c r="AX949" s="34"/>
      <c r="AY949" s="34"/>
      <c r="AZ949" s="44"/>
      <c r="BA949" s="34"/>
      <c r="BB949" s="34"/>
    </row>
    <row r="950" spans="1:54" x14ac:dyDescent="0.35" ht="15.0" customHeight="true">
      <c r="A950" s="51"/>
      <c r="B950" s="34"/>
      <c r="C950" s="34"/>
      <c r="D950" s="34"/>
      <c r="E950" s="34"/>
      <c r="F950" s="34"/>
      <c r="G950" s="44"/>
      <c r="H950" s="34"/>
      <c r="I950" s="54"/>
      <c r="J950" s="34"/>
      <c r="K950" s="54"/>
      <c r="L950" s="34"/>
      <c r="M950" s="44"/>
      <c r="N950" s="44"/>
      <c r="O950" s="34"/>
      <c r="P950" s="34"/>
      <c r="Q950" s="34"/>
      <c r="R950" s="34"/>
      <c r="U950" s="44"/>
      <c r="W950" s="95"/>
      <c r="X950" s="54"/>
      <c r="Y950" s="54"/>
      <c r="Z950" s="34"/>
      <c r="AA950" s="34"/>
      <c r="AB950" s="34"/>
      <c r="AC950" s="34"/>
      <c r="AD950" s="34"/>
      <c r="AE950" s="34"/>
      <c r="AF950" s="34"/>
      <c r="AG950" s="34"/>
      <c r="AH950" s="52"/>
      <c r="AI950" s="52"/>
      <c r="AK950" s="34"/>
      <c r="AL950" s="34"/>
      <c r="AM950" s="34"/>
      <c r="AN950" s="54"/>
      <c r="AO950" s="34"/>
      <c r="AP950" s="34"/>
      <c r="AQ950" s="54"/>
      <c r="AR950" s="54"/>
      <c r="AS950" s="54"/>
      <c r="AT950" s="54"/>
      <c r="AU950" s="34"/>
      <c r="AV950" s="34"/>
      <c r="AW950" s="34"/>
      <c r="AX950" s="34"/>
      <c r="AY950" s="34"/>
      <c r="AZ950" s="44"/>
      <c r="BA950" s="34"/>
      <c r="BB950" s="34"/>
    </row>
    <row r="951" spans="1:54" x14ac:dyDescent="0.35" ht="15.0" customHeight="true">
      <c r="A951" s="51"/>
      <c r="B951" s="34"/>
      <c r="C951" s="34"/>
      <c r="D951" s="34"/>
      <c r="E951" s="34"/>
      <c r="F951" s="34"/>
      <c r="G951" s="44"/>
      <c r="H951" s="34"/>
      <c r="I951" s="54"/>
      <c r="J951" s="34"/>
      <c r="K951" s="54"/>
      <c r="L951" s="34"/>
      <c r="M951" s="44"/>
      <c r="N951" s="44"/>
      <c r="O951" s="34"/>
      <c r="P951" s="34"/>
      <c r="Q951" s="34"/>
      <c r="R951" s="34"/>
      <c r="U951" s="44"/>
      <c r="W951" s="95"/>
      <c r="X951" s="54"/>
      <c r="Y951" s="54"/>
      <c r="Z951" s="34"/>
      <c r="AA951" s="34"/>
      <c r="AB951" s="34"/>
      <c r="AC951" s="34"/>
      <c r="AD951" s="34"/>
      <c r="AE951" s="34"/>
      <c r="AF951" s="34"/>
      <c r="AG951" s="34"/>
      <c r="AH951" s="52"/>
      <c r="AI951" s="52"/>
      <c r="AK951" s="34"/>
      <c r="AL951" s="34"/>
      <c r="AM951" s="34"/>
      <c r="AN951" s="54"/>
      <c r="AO951" s="34"/>
      <c r="AP951" s="34"/>
      <c r="AQ951" s="54"/>
      <c r="AR951" s="54"/>
      <c r="AS951" s="54"/>
      <c r="AT951" s="54"/>
      <c r="AU951" s="34"/>
      <c r="AV951" s="34"/>
      <c r="AW951" s="34"/>
      <c r="AX951" s="34"/>
      <c r="AY951" s="34"/>
      <c r="AZ951" s="44"/>
      <c r="BA951" s="34"/>
      <c r="BB951" s="34"/>
    </row>
    <row r="952" spans="1:54" x14ac:dyDescent="0.35" ht="15.0" customHeight="true">
      <c r="A952" s="51"/>
      <c r="B952" s="34"/>
      <c r="C952" s="34"/>
      <c r="D952" s="34"/>
      <c r="E952" s="34"/>
      <c r="F952" s="34"/>
      <c r="G952" s="44"/>
      <c r="H952" s="34"/>
      <c r="I952" s="54"/>
      <c r="J952" s="34"/>
      <c r="K952" s="54"/>
      <c r="L952" s="34"/>
      <c r="M952" s="44"/>
      <c r="N952" s="44"/>
      <c r="O952" s="34"/>
      <c r="P952" s="34"/>
      <c r="Q952" s="34"/>
      <c r="R952" s="34"/>
      <c r="U952" s="44"/>
      <c r="W952" s="95"/>
      <c r="X952" s="54"/>
      <c r="Y952" s="54"/>
      <c r="Z952" s="34"/>
      <c r="AA952" s="34"/>
      <c r="AB952" s="34"/>
      <c r="AC952" s="34"/>
      <c r="AD952" s="34"/>
      <c r="AE952" s="34"/>
      <c r="AF952" s="34"/>
      <c r="AG952" s="34"/>
      <c r="AH952" s="52"/>
      <c r="AI952" s="52"/>
      <c r="AK952" s="34"/>
      <c r="AL952" s="34"/>
      <c r="AM952" s="34"/>
      <c r="AN952" s="54"/>
      <c r="AO952" s="34"/>
      <c r="AP952" s="34"/>
      <c r="AQ952" s="54"/>
      <c r="AR952" s="54"/>
      <c r="AS952" s="54"/>
      <c r="AT952" s="54"/>
      <c r="AU952" s="34"/>
      <c r="AV952" s="34"/>
      <c r="AW952" s="34"/>
      <c r="AX952" s="34"/>
      <c r="AY952" s="34"/>
      <c r="AZ952" s="44"/>
      <c r="BA952" s="34"/>
      <c r="BB952" s="34"/>
    </row>
    <row r="953" spans="1:54" x14ac:dyDescent="0.35" ht="15.0" customHeight="true">
      <c r="A953" s="51"/>
      <c r="B953" s="34"/>
      <c r="C953" s="34"/>
      <c r="D953" s="34"/>
      <c r="E953" s="34"/>
      <c r="F953" s="34"/>
      <c r="G953" s="44"/>
      <c r="H953" s="34"/>
      <c r="I953" s="54"/>
      <c r="J953" s="34"/>
      <c r="K953" s="54"/>
      <c r="L953" s="34"/>
      <c r="M953" s="44"/>
      <c r="N953" s="44"/>
      <c r="O953" s="34"/>
      <c r="P953" s="34"/>
      <c r="Q953" s="34"/>
      <c r="R953" s="34"/>
      <c r="U953" s="44"/>
      <c r="W953" s="95"/>
      <c r="X953" s="54"/>
      <c r="Y953" s="54"/>
      <c r="Z953" s="34"/>
      <c r="AA953" s="34"/>
      <c r="AB953" s="34"/>
      <c r="AC953" s="34"/>
      <c r="AD953" s="34"/>
      <c r="AE953" s="34"/>
      <c r="AF953" s="34"/>
      <c r="AG953" s="34"/>
      <c r="AH953" s="52"/>
      <c r="AI953" s="52"/>
      <c r="AK953" s="34"/>
      <c r="AL953" s="34"/>
      <c r="AM953" s="34"/>
      <c r="AN953" s="54"/>
      <c r="AO953" s="34"/>
      <c r="AP953" s="34"/>
      <c r="AQ953" s="54"/>
      <c r="AR953" s="54"/>
      <c r="AS953" s="54"/>
      <c r="AT953" s="54"/>
      <c r="AU953" s="34"/>
      <c r="AV953" s="34"/>
      <c r="AW953" s="34"/>
      <c r="AX953" s="34"/>
      <c r="AY953" s="34"/>
      <c r="AZ953" s="44"/>
      <c r="BA953" s="34"/>
      <c r="BB953" s="34"/>
    </row>
    <row r="954" spans="1:54" x14ac:dyDescent="0.35" ht="15.0" customHeight="true">
      <c r="A954" s="51"/>
      <c r="B954" s="34"/>
      <c r="C954" s="34"/>
      <c r="D954" s="34"/>
      <c r="E954" s="34"/>
      <c r="F954" s="34"/>
      <c r="G954" s="44"/>
      <c r="H954" s="34"/>
      <c r="I954" s="54"/>
      <c r="J954" s="34"/>
      <c r="K954" s="54"/>
      <c r="L954" s="34"/>
      <c r="M954" s="44"/>
      <c r="N954" s="44"/>
      <c r="O954" s="34"/>
      <c r="P954" s="34"/>
      <c r="Q954" s="34"/>
      <c r="R954" s="34"/>
      <c r="U954" s="44"/>
      <c r="W954" s="95"/>
      <c r="X954" s="54"/>
      <c r="Y954" s="54"/>
      <c r="Z954" s="34"/>
      <c r="AA954" s="34"/>
      <c r="AB954" s="34"/>
      <c r="AC954" s="34"/>
      <c r="AD954" s="34"/>
      <c r="AE954" s="34"/>
      <c r="AF954" s="34"/>
      <c r="AG954" s="34"/>
      <c r="AH954" s="52"/>
      <c r="AI954" s="52"/>
      <c r="AK954" s="34"/>
      <c r="AL954" s="34"/>
      <c r="AM954" s="34"/>
      <c r="AN954" s="54"/>
      <c r="AO954" s="34"/>
      <c r="AP954" s="34"/>
      <c r="AQ954" s="54"/>
      <c r="AR954" s="54"/>
      <c r="AS954" s="54"/>
      <c r="AT954" s="54"/>
      <c r="AU954" s="34"/>
      <c r="AV954" s="34"/>
      <c r="AW954" s="34"/>
      <c r="AX954" s="34"/>
      <c r="AY954" s="34"/>
      <c r="AZ954" s="44"/>
      <c r="BA954" s="34"/>
      <c r="BB954" s="34"/>
    </row>
    <row r="955" spans="1:54" x14ac:dyDescent="0.35" ht="15.0" customHeight="true">
      <c r="A955" s="51"/>
      <c r="B955" s="34"/>
      <c r="C955" s="34"/>
      <c r="D955" s="34"/>
      <c r="E955" s="34"/>
      <c r="F955" s="34"/>
      <c r="G955" s="44"/>
      <c r="H955" s="34"/>
      <c r="I955" s="54"/>
      <c r="J955" s="34"/>
      <c r="K955" s="54"/>
      <c r="L955" s="34"/>
      <c r="M955" s="44"/>
      <c r="N955" s="44"/>
      <c r="O955" s="34"/>
      <c r="P955" s="34"/>
      <c r="Q955" s="34"/>
      <c r="R955" s="34"/>
      <c r="U955" s="44"/>
      <c r="W955" s="95"/>
      <c r="X955" s="54"/>
      <c r="Y955" s="54"/>
      <c r="Z955" s="34"/>
      <c r="AA955" s="34"/>
      <c r="AB955" s="34"/>
      <c r="AC955" s="34"/>
      <c r="AD955" s="34"/>
      <c r="AE955" s="34"/>
      <c r="AF955" s="34"/>
      <c r="AG955" s="34"/>
      <c r="AH955" s="52"/>
      <c r="AI955" s="52"/>
      <c r="AK955" s="34"/>
      <c r="AL955" s="34"/>
      <c r="AM955" s="34"/>
      <c r="AN955" s="54"/>
      <c r="AO955" s="34"/>
      <c r="AP955" s="34"/>
      <c r="AQ955" s="54"/>
      <c r="AR955" s="54"/>
      <c r="AS955" s="54"/>
      <c r="AT955" s="54"/>
      <c r="AU955" s="34"/>
      <c r="AV955" s="34"/>
      <c r="AW955" s="34"/>
      <c r="AX955" s="34"/>
      <c r="AY955" s="34"/>
      <c r="AZ955" s="44"/>
      <c r="BA955" s="34"/>
      <c r="BB955" s="34"/>
    </row>
    <row r="956" spans="1:54" x14ac:dyDescent="0.35" ht="15.0" customHeight="true">
      <c r="A956" s="51"/>
      <c r="B956" s="34"/>
      <c r="C956" s="34"/>
      <c r="D956" s="34"/>
      <c r="E956" s="34"/>
      <c r="F956" s="34"/>
      <c r="G956" s="44"/>
      <c r="H956" s="34"/>
      <c r="I956" s="54"/>
      <c r="J956" s="34"/>
      <c r="K956" s="54"/>
      <c r="L956" s="34"/>
      <c r="M956" s="44"/>
      <c r="N956" s="44"/>
      <c r="O956" s="34"/>
      <c r="P956" s="34"/>
      <c r="Q956" s="34"/>
      <c r="R956" s="34"/>
      <c r="U956" s="44"/>
      <c r="W956" s="95"/>
      <c r="X956" s="54"/>
      <c r="Y956" s="54"/>
      <c r="Z956" s="34"/>
      <c r="AA956" s="34"/>
      <c r="AB956" s="34"/>
      <c r="AC956" s="34"/>
      <c r="AD956" s="34"/>
      <c r="AE956" s="34"/>
      <c r="AF956" s="34"/>
      <c r="AG956" s="34"/>
      <c r="AH956" s="52"/>
      <c r="AI956" s="52"/>
      <c r="AK956" s="34"/>
      <c r="AL956" s="34"/>
      <c r="AM956" s="34"/>
      <c r="AN956" s="54"/>
      <c r="AO956" s="34"/>
      <c r="AP956" s="34"/>
      <c r="AQ956" s="54"/>
      <c r="AR956" s="54"/>
      <c r="AS956" s="54"/>
      <c r="AT956" s="54"/>
      <c r="AU956" s="34"/>
      <c r="AV956" s="34"/>
      <c r="AW956" s="34"/>
      <c r="AX956" s="34"/>
      <c r="AY956" s="34"/>
      <c r="AZ956" s="44"/>
      <c r="BA956" s="34"/>
      <c r="BB956" s="34"/>
    </row>
    <row r="957" spans="1:54" x14ac:dyDescent="0.35" ht="15.0" customHeight="true">
      <c r="A957" s="51"/>
      <c r="B957" s="34"/>
      <c r="C957" s="34"/>
      <c r="D957" s="34"/>
      <c r="E957" s="34"/>
      <c r="F957" s="34"/>
      <c r="G957" s="44"/>
      <c r="H957" s="34"/>
      <c r="I957" s="54"/>
      <c r="J957" s="34"/>
      <c r="K957" s="54"/>
      <c r="L957" s="34"/>
      <c r="M957" s="44"/>
      <c r="N957" s="44"/>
      <c r="O957" s="34"/>
      <c r="P957" s="34"/>
      <c r="Q957" s="34"/>
      <c r="R957" s="34"/>
      <c r="U957" s="44"/>
      <c r="W957" s="95"/>
      <c r="X957" s="54"/>
      <c r="Y957" s="54"/>
      <c r="Z957" s="34"/>
      <c r="AA957" s="34"/>
      <c r="AB957" s="34"/>
      <c r="AC957" s="34"/>
      <c r="AD957" s="34"/>
      <c r="AE957" s="34"/>
      <c r="AF957" s="34"/>
      <c r="AG957" s="34"/>
      <c r="AH957" s="52"/>
      <c r="AI957" s="52"/>
      <c r="AK957" s="34"/>
      <c r="AL957" s="34"/>
      <c r="AM957" s="34"/>
      <c r="AN957" s="54"/>
      <c r="AO957" s="34"/>
      <c r="AP957" s="34"/>
      <c r="AQ957" s="54"/>
      <c r="AR957" s="54"/>
      <c r="AS957" s="54"/>
      <c r="AT957" s="54"/>
      <c r="AU957" s="34"/>
      <c r="AV957" s="34"/>
      <c r="AW957" s="34"/>
      <c r="AX957" s="34"/>
      <c r="AY957" s="34"/>
      <c r="AZ957" s="44"/>
      <c r="BA957" s="34"/>
      <c r="BB957" s="34"/>
    </row>
    <row r="958" spans="1:54" x14ac:dyDescent="0.35" ht="15.0" customHeight="true">
      <c r="A958" s="51"/>
      <c r="B958" s="34"/>
      <c r="C958" s="34"/>
      <c r="D958" s="34"/>
      <c r="E958" s="34"/>
      <c r="F958" s="34"/>
      <c r="G958" s="44"/>
      <c r="H958" s="34"/>
      <c r="I958" s="54"/>
      <c r="J958" s="34"/>
      <c r="K958" s="54"/>
      <c r="L958" s="34"/>
      <c r="M958" s="44"/>
      <c r="N958" s="44"/>
      <c r="O958" s="34"/>
      <c r="P958" s="34"/>
      <c r="Q958" s="34"/>
      <c r="R958" s="34"/>
      <c r="U958" s="44"/>
      <c r="W958" s="95"/>
      <c r="X958" s="54"/>
      <c r="Y958" s="54"/>
      <c r="Z958" s="34"/>
      <c r="AA958" s="34"/>
      <c r="AB958" s="34"/>
      <c r="AC958" s="34"/>
      <c r="AD958" s="34"/>
      <c r="AE958" s="34"/>
      <c r="AF958" s="34"/>
      <c r="AG958" s="34"/>
      <c r="AH958" s="52"/>
      <c r="AI958" s="52"/>
      <c r="AK958" s="34"/>
      <c r="AL958" s="34"/>
      <c r="AM958" s="34"/>
      <c r="AN958" s="54"/>
      <c r="AO958" s="34"/>
      <c r="AP958" s="34"/>
      <c r="AQ958" s="54"/>
      <c r="AR958" s="54"/>
      <c r="AS958" s="54"/>
      <c r="AT958" s="54"/>
      <c r="AU958" s="34"/>
      <c r="AV958" s="34"/>
      <c r="AW958" s="34"/>
      <c r="AX958" s="34"/>
      <c r="AY958" s="34"/>
      <c r="AZ958" s="44"/>
      <c r="BA958" s="34"/>
      <c r="BB958" s="34"/>
    </row>
    <row r="959" spans="1:54" x14ac:dyDescent="0.35" ht="15.0" customHeight="true">
      <c r="A959" s="51"/>
      <c r="B959" s="34"/>
      <c r="C959" s="34"/>
      <c r="D959" s="34"/>
      <c r="E959" s="34"/>
      <c r="F959" s="34"/>
      <c r="G959" s="44"/>
      <c r="H959" s="34"/>
      <c r="I959" s="54"/>
      <c r="J959" s="34"/>
      <c r="K959" s="54"/>
      <c r="L959" s="34"/>
      <c r="M959" s="44"/>
      <c r="N959" s="44"/>
      <c r="O959" s="34"/>
      <c r="P959" s="34"/>
      <c r="Q959" s="34"/>
      <c r="R959" s="34"/>
      <c r="U959" s="44"/>
      <c r="W959" s="95"/>
      <c r="X959" s="54"/>
      <c r="Y959" s="54"/>
      <c r="Z959" s="34"/>
      <c r="AA959" s="34"/>
      <c r="AB959" s="34"/>
      <c r="AC959" s="34"/>
      <c r="AD959" s="34"/>
      <c r="AE959" s="34"/>
      <c r="AF959" s="34"/>
      <c r="AG959" s="34"/>
      <c r="AH959" s="52"/>
      <c r="AI959" s="52"/>
      <c r="AK959" s="34"/>
      <c r="AL959" s="34"/>
      <c r="AM959" s="34"/>
      <c r="AN959" s="54"/>
      <c r="AO959" s="34"/>
      <c r="AP959" s="34"/>
      <c r="AQ959" s="54"/>
      <c r="AR959" s="54"/>
      <c r="AS959" s="54"/>
      <c r="AT959" s="54"/>
      <c r="AU959" s="34"/>
      <c r="AV959" s="34"/>
      <c r="AW959" s="34"/>
      <c r="AX959" s="34"/>
      <c r="AY959" s="34"/>
      <c r="AZ959" s="44"/>
      <c r="BA959" s="34"/>
      <c r="BB959" s="34"/>
    </row>
    <row r="960" spans="1:54" x14ac:dyDescent="0.35" ht="15.0" customHeight="true">
      <c r="A960" s="51"/>
      <c r="B960" s="34"/>
      <c r="C960" s="34"/>
      <c r="D960" s="34"/>
      <c r="E960" s="34"/>
      <c r="F960" s="34"/>
      <c r="G960" s="44"/>
      <c r="H960" s="34"/>
      <c r="I960" s="54"/>
      <c r="J960" s="34"/>
      <c r="K960" s="54"/>
      <c r="L960" s="34"/>
      <c r="M960" s="44"/>
      <c r="N960" s="44"/>
      <c r="O960" s="34"/>
      <c r="P960" s="34"/>
      <c r="Q960" s="34"/>
      <c r="R960" s="34"/>
      <c r="U960" s="44"/>
      <c r="W960" s="95"/>
      <c r="X960" s="54"/>
      <c r="Y960" s="54"/>
      <c r="Z960" s="34"/>
      <c r="AA960" s="34"/>
      <c r="AB960" s="34"/>
      <c r="AC960" s="34"/>
      <c r="AD960" s="34"/>
      <c r="AE960" s="34"/>
      <c r="AF960" s="34"/>
      <c r="AG960" s="34"/>
      <c r="AH960" s="52"/>
      <c r="AI960" s="52"/>
      <c r="AK960" s="34"/>
      <c r="AL960" s="34"/>
      <c r="AM960" s="34"/>
      <c r="AN960" s="54"/>
      <c r="AO960" s="34"/>
      <c r="AP960" s="34"/>
      <c r="AQ960" s="54"/>
      <c r="AR960" s="54"/>
      <c r="AS960" s="54"/>
      <c r="AT960" s="54"/>
      <c r="AU960" s="34"/>
      <c r="AV960" s="34"/>
      <c r="AW960" s="34"/>
      <c r="AX960" s="34"/>
      <c r="AY960" s="34"/>
      <c r="AZ960" s="44"/>
      <c r="BA960" s="34"/>
      <c r="BB960" s="34"/>
    </row>
    <row r="961" spans="1:54" x14ac:dyDescent="0.35" ht="15.0" customHeight="true">
      <c r="A961" s="51"/>
      <c r="B961" s="34"/>
      <c r="C961" s="34"/>
      <c r="D961" s="34"/>
      <c r="E961" s="34"/>
      <c r="F961" s="34"/>
      <c r="G961" s="44"/>
      <c r="H961" s="34"/>
      <c r="I961" s="54"/>
      <c r="J961" s="34"/>
      <c r="K961" s="54"/>
      <c r="L961" s="34"/>
      <c r="M961" s="44"/>
      <c r="N961" s="44"/>
      <c r="O961" s="34"/>
      <c r="P961" s="34"/>
      <c r="Q961" s="34"/>
      <c r="R961" s="34"/>
      <c r="U961" s="44"/>
      <c r="W961" s="95"/>
      <c r="X961" s="54"/>
      <c r="Y961" s="54"/>
      <c r="Z961" s="34"/>
      <c r="AA961" s="34"/>
      <c r="AB961" s="34"/>
      <c r="AC961" s="34"/>
      <c r="AD961" s="34"/>
      <c r="AE961" s="34"/>
      <c r="AF961" s="34"/>
      <c r="AG961" s="34"/>
      <c r="AH961" s="52"/>
      <c r="AI961" s="52"/>
      <c r="AK961" s="34"/>
      <c r="AL961" s="34"/>
      <c r="AM961" s="34"/>
      <c r="AN961" s="54"/>
      <c r="AO961" s="34"/>
      <c r="AP961" s="34"/>
      <c r="AQ961" s="54"/>
      <c r="AR961" s="54"/>
      <c r="AS961" s="54"/>
      <c r="AT961" s="54"/>
      <c r="AU961" s="34"/>
      <c r="AV961" s="34"/>
      <c r="AW961" s="34"/>
      <c r="AX961" s="34"/>
      <c r="AY961" s="34"/>
      <c r="AZ961" s="44"/>
      <c r="BA961" s="34"/>
      <c r="BB961" s="34"/>
    </row>
    <row r="962" spans="1:54" x14ac:dyDescent="0.35" ht="15.0" customHeight="true">
      <c r="A962" s="51"/>
      <c r="B962" s="34"/>
      <c r="C962" s="34"/>
      <c r="D962" s="34"/>
      <c r="E962" s="34"/>
      <c r="F962" s="34"/>
      <c r="G962" s="44"/>
      <c r="H962" s="34"/>
      <c r="I962" s="54"/>
      <c r="J962" s="34"/>
      <c r="K962" s="54"/>
      <c r="L962" s="34"/>
      <c r="M962" s="44"/>
      <c r="N962" s="44"/>
      <c r="O962" s="34"/>
      <c r="P962" s="34"/>
      <c r="Q962" s="34"/>
      <c r="R962" s="34"/>
      <c r="U962" s="44"/>
      <c r="W962" s="95"/>
      <c r="X962" s="54"/>
      <c r="Y962" s="54"/>
      <c r="Z962" s="34"/>
      <c r="AA962" s="34"/>
      <c r="AB962" s="34"/>
      <c r="AC962" s="34"/>
      <c r="AD962" s="34"/>
      <c r="AE962" s="34"/>
      <c r="AF962" s="34"/>
      <c r="AG962" s="34"/>
      <c r="AH962" s="52"/>
      <c r="AI962" s="52"/>
      <c r="AK962" s="34"/>
      <c r="AL962" s="34"/>
      <c r="AM962" s="34"/>
      <c r="AN962" s="54"/>
      <c r="AO962" s="34"/>
      <c r="AP962" s="34"/>
      <c r="AQ962" s="54"/>
      <c r="AR962" s="54"/>
      <c r="AS962" s="54"/>
      <c r="AT962" s="54"/>
      <c r="AU962" s="34"/>
      <c r="AV962" s="34"/>
      <c r="AW962" s="34"/>
      <c r="AX962" s="34"/>
      <c r="AY962" s="34"/>
      <c r="AZ962" s="44"/>
      <c r="BA962" s="34"/>
      <c r="BB962" s="34"/>
    </row>
    <row r="963" spans="1:54" x14ac:dyDescent="0.35" ht="15.0" customHeight="true">
      <c r="A963" s="51"/>
      <c r="B963" s="34"/>
      <c r="C963" s="34"/>
      <c r="D963" s="34"/>
      <c r="E963" s="34"/>
      <c r="F963" s="34"/>
      <c r="G963" s="44"/>
      <c r="H963" s="34"/>
      <c r="I963" s="54"/>
      <c r="J963" s="34"/>
      <c r="K963" s="54"/>
      <c r="L963" s="34"/>
      <c r="M963" s="44"/>
      <c r="N963" s="44"/>
      <c r="O963" s="34"/>
      <c r="P963" s="34"/>
      <c r="Q963" s="34"/>
      <c r="R963" s="34"/>
      <c r="U963" s="44"/>
      <c r="W963" s="95"/>
      <c r="X963" s="54"/>
      <c r="Y963" s="54"/>
      <c r="Z963" s="34"/>
      <c r="AA963" s="34"/>
      <c r="AB963" s="34"/>
      <c r="AC963" s="34"/>
      <c r="AD963" s="34"/>
      <c r="AE963" s="34"/>
      <c r="AF963" s="34"/>
      <c r="AG963" s="34"/>
      <c r="AH963" s="52"/>
      <c r="AI963" s="52"/>
      <c r="AK963" s="34"/>
      <c r="AL963" s="34"/>
      <c r="AM963" s="34"/>
      <c r="AN963" s="54"/>
      <c r="AO963" s="34"/>
      <c r="AP963" s="34"/>
      <c r="AQ963" s="54"/>
      <c r="AR963" s="54"/>
      <c r="AS963" s="54"/>
      <c r="AT963" s="54"/>
      <c r="AU963" s="34"/>
      <c r="AV963" s="34"/>
      <c r="AW963" s="34"/>
      <c r="AX963" s="34"/>
      <c r="AY963" s="34"/>
      <c r="AZ963" s="44"/>
      <c r="BA963" s="34"/>
      <c r="BB963" s="34"/>
    </row>
    <row r="964" spans="1:54" x14ac:dyDescent="0.35" ht="15.0" customHeight="true">
      <c r="A964" s="51"/>
      <c r="B964" s="34"/>
      <c r="C964" s="34"/>
      <c r="D964" s="34"/>
      <c r="E964" s="34"/>
      <c r="F964" s="34"/>
      <c r="G964" s="44"/>
      <c r="H964" s="34"/>
      <c r="I964" s="54"/>
      <c r="J964" s="34"/>
      <c r="K964" s="54"/>
      <c r="L964" s="34"/>
      <c r="M964" s="44"/>
      <c r="N964" s="44"/>
      <c r="O964" s="34"/>
      <c r="P964" s="34"/>
      <c r="Q964" s="34"/>
      <c r="R964" s="34"/>
      <c r="U964" s="44"/>
      <c r="W964" s="95"/>
      <c r="X964" s="54"/>
      <c r="Y964" s="54"/>
      <c r="Z964" s="34"/>
      <c r="AA964" s="34"/>
      <c r="AB964" s="34"/>
      <c r="AC964" s="34"/>
      <c r="AD964" s="34"/>
      <c r="AE964" s="34"/>
      <c r="AF964" s="34"/>
      <c r="AG964" s="34"/>
      <c r="AH964" s="52"/>
      <c r="AI964" s="52"/>
      <c r="AK964" s="34"/>
      <c r="AL964" s="34"/>
      <c r="AM964" s="34"/>
      <c r="AN964" s="54"/>
      <c r="AO964" s="34"/>
      <c r="AP964" s="34"/>
      <c r="AQ964" s="54"/>
      <c r="AR964" s="54"/>
      <c r="AS964" s="54"/>
      <c r="AT964" s="54"/>
      <c r="AU964" s="34"/>
      <c r="AV964" s="34"/>
      <c r="AW964" s="34"/>
      <c r="AX964" s="34"/>
      <c r="AY964" s="34"/>
      <c r="AZ964" s="44"/>
      <c r="BA964" s="34"/>
      <c r="BB964" s="34"/>
    </row>
    <row r="965" spans="1:54" x14ac:dyDescent="0.35" ht="15.0" customHeight="true">
      <c r="A965" s="51"/>
      <c r="B965" s="34"/>
      <c r="C965" s="34"/>
      <c r="D965" s="34"/>
      <c r="E965" s="34"/>
      <c r="F965" s="34"/>
      <c r="G965" s="44"/>
      <c r="H965" s="34"/>
      <c r="I965" s="54"/>
      <c r="J965" s="34"/>
      <c r="K965" s="54"/>
      <c r="L965" s="34"/>
      <c r="M965" s="44"/>
      <c r="N965" s="44"/>
      <c r="O965" s="34"/>
      <c r="P965" s="34"/>
      <c r="Q965" s="34"/>
      <c r="R965" s="34"/>
      <c r="U965" s="44"/>
      <c r="W965" s="95"/>
      <c r="X965" s="54"/>
      <c r="Y965" s="54"/>
      <c r="Z965" s="34"/>
      <c r="AA965" s="34"/>
      <c r="AB965" s="34"/>
      <c r="AC965" s="34"/>
      <c r="AD965" s="34"/>
      <c r="AE965" s="34"/>
      <c r="AF965" s="34"/>
      <c r="AG965" s="34"/>
      <c r="AH965" s="52"/>
      <c r="AI965" s="52"/>
      <c r="AK965" s="34"/>
      <c r="AL965" s="34"/>
      <c r="AM965" s="34"/>
      <c r="AN965" s="54"/>
      <c r="AO965" s="34"/>
      <c r="AP965" s="34"/>
      <c r="AQ965" s="54"/>
      <c r="AR965" s="54"/>
      <c r="AS965" s="54"/>
      <c r="AT965" s="54"/>
      <c r="AU965" s="34"/>
      <c r="AV965" s="34"/>
      <c r="AW965" s="34"/>
      <c r="AX965" s="34"/>
      <c r="AY965" s="34"/>
      <c r="AZ965" s="44"/>
      <c r="BA965" s="34"/>
      <c r="BB965" s="34"/>
    </row>
    <row r="966" spans="1:54" x14ac:dyDescent="0.35" ht="15.0" customHeight="true">
      <c r="A966" s="51"/>
      <c r="B966" s="34"/>
      <c r="C966" s="34"/>
      <c r="D966" s="34"/>
      <c r="E966" s="34"/>
      <c r="F966" s="34"/>
      <c r="G966" s="44"/>
      <c r="H966" s="34"/>
      <c r="I966" s="54"/>
      <c r="J966" s="34"/>
      <c r="K966" s="54"/>
      <c r="L966" s="34"/>
      <c r="M966" s="44"/>
      <c r="N966" s="44"/>
      <c r="O966" s="34"/>
      <c r="P966" s="34"/>
      <c r="Q966" s="34"/>
      <c r="R966" s="34"/>
      <c r="U966" s="44"/>
      <c r="W966" s="95"/>
      <c r="X966" s="54"/>
      <c r="Y966" s="54"/>
      <c r="Z966" s="34"/>
      <c r="AA966" s="34"/>
      <c r="AB966" s="34"/>
      <c r="AC966" s="34"/>
      <c r="AD966" s="34"/>
      <c r="AE966" s="34"/>
      <c r="AF966" s="34"/>
      <c r="AG966" s="34"/>
      <c r="AH966" s="52"/>
      <c r="AI966" s="52"/>
      <c r="AK966" s="34"/>
      <c r="AL966" s="34"/>
      <c r="AM966" s="34"/>
      <c r="AN966" s="54"/>
      <c r="AO966" s="34"/>
      <c r="AP966" s="34"/>
      <c r="AQ966" s="54"/>
      <c r="AR966" s="54"/>
      <c r="AS966" s="54"/>
      <c r="AT966" s="54"/>
      <c r="AU966" s="34"/>
      <c r="AV966" s="34"/>
      <c r="AW966" s="34"/>
      <c r="AX966" s="34"/>
      <c r="AY966" s="34"/>
      <c r="AZ966" s="44"/>
      <c r="BA966" s="34"/>
      <c r="BB966" s="34"/>
    </row>
    <row r="967" spans="1:54" x14ac:dyDescent="0.35" ht="15.0" customHeight="true">
      <c r="A967" s="51"/>
      <c r="B967" s="34"/>
      <c r="C967" s="34"/>
      <c r="D967" s="34"/>
      <c r="E967" s="34"/>
      <c r="F967" s="34"/>
      <c r="G967" s="44"/>
      <c r="H967" s="34"/>
      <c r="I967" s="54"/>
      <c r="J967" s="34"/>
      <c r="K967" s="54"/>
      <c r="L967" s="34"/>
      <c r="M967" s="44"/>
      <c r="N967" s="44"/>
      <c r="O967" s="34"/>
      <c r="P967" s="34"/>
      <c r="Q967" s="34"/>
      <c r="R967" s="34"/>
      <c r="U967" s="44"/>
      <c r="W967" s="95"/>
      <c r="X967" s="54"/>
      <c r="Y967" s="54"/>
      <c r="Z967" s="34"/>
      <c r="AA967" s="34"/>
      <c r="AB967" s="34"/>
      <c r="AC967" s="34"/>
      <c r="AD967" s="34"/>
      <c r="AE967" s="34"/>
      <c r="AF967" s="34"/>
      <c r="AG967" s="34"/>
      <c r="AH967" s="52"/>
      <c r="AI967" s="52"/>
      <c r="AK967" s="34"/>
      <c r="AL967" s="34"/>
      <c r="AM967" s="34"/>
      <c r="AN967" s="54"/>
      <c r="AO967" s="34"/>
      <c r="AP967" s="34"/>
      <c r="AQ967" s="54"/>
      <c r="AR967" s="54"/>
      <c r="AS967" s="54"/>
      <c r="AT967" s="54"/>
      <c r="AU967" s="34"/>
      <c r="AV967" s="34"/>
      <c r="AW967" s="34"/>
      <c r="AX967" s="34"/>
      <c r="AY967" s="34"/>
      <c r="AZ967" s="44"/>
      <c r="BA967" s="34"/>
      <c r="BB967" s="34"/>
    </row>
    <row r="968" spans="1:54" x14ac:dyDescent="0.35" ht="15.0" customHeight="true">
      <c r="A968" s="51"/>
      <c r="B968" s="34"/>
      <c r="C968" s="34"/>
      <c r="D968" s="34"/>
      <c r="E968" s="34"/>
      <c r="F968" s="34"/>
      <c r="G968" s="44"/>
      <c r="H968" s="34"/>
      <c r="I968" s="54"/>
      <c r="J968" s="34"/>
      <c r="K968" s="54"/>
      <c r="L968" s="34"/>
      <c r="M968" s="44"/>
      <c r="N968" s="44"/>
      <c r="O968" s="34"/>
      <c r="P968" s="34"/>
      <c r="Q968" s="34"/>
      <c r="R968" s="34"/>
      <c r="U968" s="44"/>
      <c r="W968" s="95"/>
      <c r="X968" s="54"/>
      <c r="Y968" s="54"/>
      <c r="Z968" s="34"/>
      <c r="AA968" s="34"/>
      <c r="AB968" s="34"/>
      <c r="AC968" s="34"/>
      <c r="AD968" s="34"/>
      <c r="AE968" s="34"/>
      <c r="AF968" s="34"/>
      <c r="AG968" s="34"/>
      <c r="AH968" s="52"/>
      <c r="AI968" s="52"/>
      <c r="AK968" s="34"/>
      <c r="AL968" s="34"/>
      <c r="AM968" s="34"/>
      <c r="AN968" s="54"/>
      <c r="AO968" s="34"/>
      <c r="AP968" s="34"/>
      <c r="AQ968" s="54"/>
      <c r="AR968" s="54"/>
      <c r="AS968" s="54"/>
      <c r="AT968" s="54"/>
      <c r="AU968" s="34"/>
      <c r="AV968" s="34"/>
      <c r="AW968" s="34"/>
      <c r="AX968" s="34"/>
      <c r="AY968" s="34"/>
      <c r="AZ968" s="44"/>
      <c r="BA968" s="34"/>
      <c r="BB968" s="34"/>
    </row>
    <row r="969" spans="1:54" x14ac:dyDescent="0.35" ht="15.0" customHeight="true">
      <c r="A969" s="51"/>
      <c r="B969" s="34"/>
      <c r="C969" s="34"/>
      <c r="D969" s="34"/>
      <c r="E969" s="34"/>
      <c r="F969" s="34"/>
      <c r="G969" s="44"/>
      <c r="H969" s="34"/>
      <c r="I969" s="54"/>
      <c r="J969" s="34"/>
      <c r="K969" s="54"/>
      <c r="L969" s="34"/>
      <c r="M969" s="44"/>
      <c r="N969" s="44"/>
      <c r="O969" s="34"/>
      <c r="P969" s="34"/>
      <c r="Q969" s="34"/>
      <c r="R969" s="34"/>
      <c r="U969" s="44"/>
      <c r="W969" s="95"/>
      <c r="X969" s="54"/>
      <c r="Y969" s="54"/>
      <c r="Z969" s="34"/>
      <c r="AA969" s="34"/>
      <c r="AB969" s="34"/>
      <c r="AC969" s="34"/>
      <c r="AD969" s="34"/>
      <c r="AE969" s="34"/>
      <c r="AF969" s="34"/>
      <c r="AG969" s="34"/>
      <c r="AH969" s="52"/>
      <c r="AI969" s="52"/>
      <c r="AK969" s="34"/>
      <c r="AL969" s="34"/>
      <c r="AM969" s="34"/>
      <c r="AN969" s="54"/>
      <c r="AO969" s="34"/>
      <c r="AP969" s="34"/>
      <c r="AQ969" s="54"/>
      <c r="AR969" s="54"/>
      <c r="AS969" s="54"/>
      <c r="AT969" s="54"/>
      <c r="AU969" s="34"/>
      <c r="AV969" s="34"/>
      <c r="AW969" s="34"/>
      <c r="AX969" s="34"/>
      <c r="AY969" s="34"/>
      <c r="AZ969" s="44"/>
      <c r="BA969" s="34"/>
      <c r="BB969" s="34"/>
    </row>
    <row r="970" spans="1:54" x14ac:dyDescent="0.35" ht="15.0" customHeight="true">
      <c r="A970" s="51"/>
      <c r="B970" s="34"/>
      <c r="C970" s="34"/>
      <c r="D970" s="34"/>
      <c r="E970" s="34"/>
      <c r="F970" s="34"/>
      <c r="G970" s="44"/>
      <c r="H970" s="34"/>
      <c r="I970" s="54"/>
      <c r="J970" s="34"/>
      <c r="K970" s="54"/>
      <c r="L970" s="34"/>
      <c r="M970" s="44"/>
      <c r="N970" s="44"/>
      <c r="O970" s="34"/>
      <c r="P970" s="34"/>
      <c r="Q970" s="34"/>
      <c r="R970" s="34"/>
      <c r="U970" s="44"/>
      <c r="W970" s="95"/>
      <c r="X970" s="54"/>
      <c r="Y970" s="54"/>
      <c r="Z970" s="34"/>
      <c r="AA970" s="34"/>
      <c r="AB970" s="34"/>
      <c r="AC970" s="34"/>
      <c r="AD970" s="34"/>
      <c r="AE970" s="34"/>
      <c r="AF970" s="34"/>
      <c r="AG970" s="34"/>
      <c r="AH970" s="52"/>
      <c r="AI970" s="52"/>
      <c r="AK970" s="34"/>
      <c r="AL970" s="34"/>
      <c r="AM970" s="34"/>
      <c r="AN970" s="54"/>
      <c r="AO970" s="34"/>
      <c r="AP970" s="34"/>
      <c r="AQ970" s="54"/>
      <c r="AR970" s="54"/>
      <c r="AS970" s="54"/>
      <c r="AT970" s="54"/>
      <c r="AU970" s="34"/>
      <c r="AV970" s="34"/>
      <c r="AW970" s="34"/>
      <c r="AX970" s="34"/>
      <c r="AY970" s="34"/>
      <c r="AZ970" s="44"/>
      <c r="BA970" s="34"/>
      <c r="BB970" s="34"/>
    </row>
    <row r="971" spans="1:54" x14ac:dyDescent="0.35" ht="15.0" customHeight="true">
      <c r="A971" s="51"/>
      <c r="B971" s="34"/>
      <c r="C971" s="34"/>
      <c r="D971" s="34"/>
      <c r="E971" s="34"/>
      <c r="F971" s="34"/>
      <c r="G971" s="44"/>
      <c r="H971" s="34"/>
      <c r="I971" s="54"/>
      <c r="J971" s="34"/>
      <c r="K971" s="54"/>
      <c r="L971" s="34"/>
      <c r="M971" s="44"/>
      <c r="N971" s="44"/>
      <c r="O971" s="34"/>
      <c r="P971" s="34"/>
      <c r="Q971" s="34"/>
      <c r="R971" s="34"/>
      <c r="U971" s="44"/>
      <c r="W971" s="95"/>
      <c r="X971" s="54"/>
      <c r="Y971" s="54"/>
      <c r="Z971" s="34"/>
      <c r="AA971" s="34"/>
      <c r="AB971" s="34"/>
      <c r="AC971" s="34"/>
      <c r="AD971" s="34"/>
      <c r="AE971" s="34"/>
      <c r="AF971" s="34"/>
      <c r="AG971" s="34"/>
      <c r="AH971" s="52"/>
      <c r="AI971" s="52"/>
      <c r="AK971" s="34"/>
      <c r="AL971" s="34"/>
      <c r="AM971" s="34"/>
      <c r="AN971" s="54"/>
      <c r="AO971" s="34"/>
      <c r="AP971" s="34"/>
      <c r="AQ971" s="54"/>
      <c r="AR971" s="54"/>
      <c r="AS971" s="54"/>
      <c r="AT971" s="54"/>
      <c r="AU971" s="34"/>
      <c r="AV971" s="34"/>
      <c r="AW971" s="34"/>
      <c r="AX971" s="34"/>
      <c r="AY971" s="34"/>
      <c r="AZ971" s="44"/>
      <c r="BA971" s="34"/>
      <c r="BB971" s="34"/>
    </row>
    <row r="972" spans="1:54" x14ac:dyDescent="0.35" ht="15.0" customHeight="true">
      <c r="A972" s="51"/>
      <c r="B972" s="34"/>
      <c r="C972" s="34"/>
      <c r="D972" s="34"/>
      <c r="E972" s="34"/>
      <c r="F972" s="34"/>
      <c r="G972" s="44"/>
      <c r="H972" s="34"/>
      <c r="I972" s="54"/>
      <c r="J972" s="34"/>
      <c r="K972" s="54"/>
      <c r="L972" s="34"/>
      <c r="M972" s="44"/>
      <c r="N972" s="44"/>
      <c r="O972" s="34"/>
      <c r="P972" s="34"/>
      <c r="Q972" s="34"/>
      <c r="R972" s="34"/>
      <c r="U972" s="44"/>
      <c r="W972" s="95"/>
      <c r="X972" s="54"/>
      <c r="Y972" s="54"/>
      <c r="Z972" s="34"/>
      <c r="AA972" s="34"/>
      <c r="AB972" s="34"/>
      <c r="AC972" s="34"/>
      <c r="AD972" s="34"/>
      <c r="AE972" s="34"/>
      <c r="AF972" s="34"/>
      <c r="AG972" s="34"/>
      <c r="AH972" s="52"/>
      <c r="AI972" s="52"/>
      <c r="AK972" s="34"/>
      <c r="AL972" s="34"/>
      <c r="AM972" s="34"/>
      <c r="AN972" s="54"/>
      <c r="AO972" s="34"/>
      <c r="AP972" s="34"/>
      <c r="AQ972" s="54"/>
      <c r="AR972" s="54"/>
      <c r="AS972" s="54"/>
      <c r="AT972" s="54"/>
      <c r="AU972" s="34"/>
      <c r="AV972" s="34"/>
      <c r="AW972" s="34"/>
      <c r="AX972" s="34"/>
      <c r="AY972" s="34"/>
      <c r="AZ972" s="44"/>
      <c r="BA972" s="34"/>
      <c r="BB972" s="34"/>
    </row>
    <row r="973" spans="1:54" x14ac:dyDescent="0.35" ht="15.0" customHeight="true">
      <c r="A973" s="51"/>
      <c r="B973" s="34"/>
      <c r="C973" s="34"/>
      <c r="D973" s="34"/>
      <c r="E973" s="34"/>
      <c r="F973" s="34"/>
      <c r="G973" s="44"/>
      <c r="H973" s="34"/>
      <c r="I973" s="54"/>
      <c r="J973" s="34"/>
      <c r="K973" s="54"/>
      <c r="L973" s="34"/>
      <c r="M973" s="44"/>
      <c r="N973" s="44"/>
      <c r="O973" s="34"/>
      <c r="P973" s="34"/>
      <c r="Q973" s="34"/>
      <c r="R973" s="34"/>
      <c r="U973" s="44"/>
      <c r="W973" s="95"/>
      <c r="X973" s="54"/>
      <c r="Y973" s="54"/>
      <c r="Z973" s="34"/>
      <c r="AA973" s="34"/>
      <c r="AB973" s="34"/>
      <c r="AC973" s="34"/>
      <c r="AD973" s="34"/>
      <c r="AE973" s="34"/>
      <c r="AF973" s="34"/>
      <c r="AG973" s="34"/>
      <c r="AH973" s="52"/>
      <c r="AI973" s="52"/>
      <c r="AK973" s="34"/>
      <c r="AL973" s="34"/>
      <c r="AM973" s="34"/>
      <c r="AN973" s="54"/>
      <c r="AO973" s="34"/>
      <c r="AP973" s="34"/>
      <c r="AQ973" s="54"/>
      <c r="AR973" s="54"/>
      <c r="AS973" s="54"/>
      <c r="AT973" s="54"/>
      <c r="AU973" s="34"/>
      <c r="AV973" s="34"/>
      <c r="AW973" s="34"/>
      <c r="AX973" s="34"/>
      <c r="AY973" s="34"/>
      <c r="AZ973" s="44"/>
      <c r="BA973" s="34"/>
      <c r="BB973" s="34"/>
    </row>
    <row r="974" spans="1:54" x14ac:dyDescent="0.35" ht="15.0" customHeight="true">
      <c r="A974" s="51"/>
      <c r="B974" s="34"/>
      <c r="C974" s="34"/>
      <c r="D974" s="34"/>
      <c r="E974" s="34"/>
      <c r="F974" s="34"/>
      <c r="G974" s="44"/>
      <c r="H974" s="34"/>
      <c r="I974" s="54"/>
      <c r="J974" s="34"/>
      <c r="K974" s="54"/>
      <c r="L974" s="34"/>
      <c r="M974" s="44"/>
      <c r="N974" s="44"/>
      <c r="O974" s="34"/>
      <c r="P974" s="34"/>
      <c r="Q974" s="34"/>
      <c r="R974" s="34"/>
      <c r="U974" s="44"/>
      <c r="W974" s="95"/>
      <c r="X974" s="54"/>
      <c r="Y974" s="54"/>
      <c r="Z974" s="34"/>
      <c r="AA974" s="34"/>
      <c r="AB974" s="34"/>
      <c r="AC974" s="34"/>
      <c r="AD974" s="34"/>
      <c r="AE974" s="34"/>
      <c r="AF974" s="34"/>
      <c r="AG974" s="34"/>
      <c r="AH974" s="52"/>
      <c r="AI974" s="52"/>
      <c r="AK974" s="34"/>
      <c r="AL974" s="34"/>
      <c r="AM974" s="34"/>
      <c r="AN974" s="54"/>
      <c r="AO974" s="34"/>
      <c r="AP974" s="34"/>
      <c r="AQ974" s="54"/>
      <c r="AR974" s="54"/>
      <c r="AS974" s="54"/>
      <c r="AT974" s="54"/>
      <c r="AU974" s="34"/>
      <c r="AV974" s="34"/>
      <c r="AW974" s="34"/>
      <c r="AX974" s="34"/>
      <c r="AY974" s="34"/>
      <c r="AZ974" s="44"/>
      <c r="BA974" s="34"/>
      <c r="BB974" s="34"/>
    </row>
    <row r="975" spans="1:54" x14ac:dyDescent="0.35" ht="15.0" customHeight="true">
      <c r="A975" s="51"/>
      <c r="B975" s="34"/>
      <c r="C975" s="34"/>
      <c r="D975" s="34"/>
      <c r="E975" s="34"/>
      <c r="F975" s="34"/>
      <c r="G975" s="44"/>
      <c r="H975" s="34"/>
      <c r="I975" s="54"/>
      <c r="J975" s="34"/>
      <c r="K975" s="54"/>
      <c r="L975" s="34"/>
      <c r="M975" s="44"/>
      <c r="N975" s="44"/>
      <c r="O975" s="34"/>
      <c r="P975" s="34"/>
      <c r="Q975" s="34"/>
      <c r="R975" s="34"/>
      <c r="U975" s="44"/>
      <c r="W975" s="95"/>
      <c r="X975" s="54"/>
      <c r="Y975" s="54"/>
      <c r="Z975" s="34"/>
      <c r="AA975" s="34"/>
      <c r="AB975" s="34"/>
      <c r="AC975" s="34"/>
      <c r="AD975" s="34"/>
      <c r="AE975" s="34"/>
      <c r="AF975" s="34"/>
      <c r="AG975" s="34"/>
      <c r="AH975" s="52"/>
      <c r="AI975" s="52"/>
      <c r="AK975" s="34"/>
      <c r="AL975" s="34"/>
      <c r="AM975" s="34"/>
      <c r="AN975" s="54"/>
      <c r="AO975" s="34"/>
      <c r="AP975" s="34"/>
      <c r="AQ975" s="54"/>
      <c r="AR975" s="54"/>
      <c r="AS975" s="54"/>
      <c r="AT975" s="54"/>
      <c r="AU975" s="34"/>
      <c r="AV975" s="34"/>
      <c r="AW975" s="34"/>
      <c r="AX975" s="34"/>
      <c r="AY975" s="34"/>
      <c r="AZ975" s="44"/>
      <c r="BA975" s="34"/>
      <c r="BB975" s="34"/>
    </row>
    <row r="976" spans="1:54" x14ac:dyDescent="0.35" ht="15.0" customHeight="true">
      <c r="A976" s="51"/>
      <c r="B976" s="34"/>
      <c r="C976" s="34"/>
      <c r="D976" s="34"/>
      <c r="E976" s="34"/>
      <c r="F976" s="34"/>
      <c r="G976" s="44"/>
      <c r="H976" s="34"/>
      <c r="I976" s="54"/>
      <c r="J976" s="34"/>
      <c r="K976" s="54"/>
      <c r="L976" s="34"/>
      <c r="M976" s="44"/>
      <c r="N976" s="44"/>
      <c r="O976" s="34"/>
      <c r="P976" s="34"/>
      <c r="Q976" s="34"/>
      <c r="R976" s="34"/>
      <c r="U976" s="44"/>
      <c r="W976" s="95"/>
      <c r="X976" s="54"/>
      <c r="Y976" s="54"/>
      <c r="Z976" s="34"/>
      <c r="AA976" s="34"/>
      <c r="AB976" s="34"/>
      <c r="AC976" s="34"/>
      <c r="AD976" s="34"/>
      <c r="AE976" s="34"/>
      <c r="AF976" s="34"/>
      <c r="AG976" s="34"/>
      <c r="AH976" s="52"/>
      <c r="AI976" s="52"/>
      <c r="AK976" s="34"/>
      <c r="AL976" s="34"/>
      <c r="AM976" s="34"/>
      <c r="AN976" s="54"/>
      <c r="AO976" s="34"/>
      <c r="AP976" s="34"/>
      <c r="AQ976" s="54"/>
      <c r="AR976" s="54"/>
      <c r="AS976" s="54"/>
      <c r="AT976" s="54"/>
      <c r="AU976" s="34"/>
      <c r="AV976" s="34"/>
      <c r="AW976" s="34"/>
      <c r="AX976" s="34"/>
      <c r="AY976" s="34"/>
      <c r="AZ976" s="44"/>
      <c r="BA976" s="34"/>
      <c r="BB976" s="34"/>
    </row>
    <row r="977" spans="1:54" x14ac:dyDescent="0.35" ht="15.0" customHeight="true">
      <c r="A977" s="51"/>
      <c r="B977" s="34"/>
      <c r="C977" s="34"/>
      <c r="D977" s="34"/>
      <c r="E977" s="34"/>
      <c r="F977" s="34"/>
      <c r="G977" s="44"/>
      <c r="H977" s="34"/>
      <c r="I977" s="54"/>
      <c r="J977" s="34"/>
      <c r="K977" s="54"/>
      <c r="L977" s="34"/>
      <c r="M977" s="44"/>
      <c r="N977" s="44"/>
      <c r="O977" s="34"/>
      <c r="P977" s="34"/>
      <c r="Q977" s="34"/>
      <c r="R977" s="34"/>
      <c r="U977" s="44"/>
      <c r="W977" s="95"/>
      <c r="X977" s="54"/>
      <c r="Y977" s="54"/>
      <c r="Z977" s="34"/>
      <c r="AA977" s="34"/>
      <c r="AB977" s="34"/>
      <c r="AC977" s="34"/>
      <c r="AD977" s="34"/>
      <c r="AE977" s="34"/>
      <c r="AF977" s="34"/>
      <c r="AG977" s="34"/>
      <c r="AH977" s="52"/>
      <c r="AI977" s="52"/>
      <c r="AK977" s="34"/>
      <c r="AL977" s="34"/>
      <c r="AM977" s="34"/>
      <c r="AN977" s="54"/>
      <c r="AO977" s="34"/>
      <c r="AP977" s="34"/>
      <c r="AQ977" s="54"/>
      <c r="AR977" s="54"/>
      <c r="AS977" s="54"/>
      <c r="AT977" s="54"/>
      <c r="AU977" s="34"/>
      <c r="AV977" s="34"/>
      <c r="AW977" s="34"/>
      <c r="AX977" s="34"/>
      <c r="AY977" s="34"/>
      <c r="AZ977" s="44"/>
      <c r="BA977" s="34"/>
      <c r="BB977" s="34"/>
    </row>
    <row r="978" spans="1:54" x14ac:dyDescent="0.35" ht="15.0" customHeight="true">
      <c r="A978" s="51"/>
      <c r="B978" s="34"/>
      <c r="C978" s="34"/>
      <c r="D978" s="34"/>
      <c r="E978" s="34"/>
      <c r="F978" s="34"/>
      <c r="G978" s="44"/>
      <c r="H978" s="34"/>
      <c r="I978" s="54"/>
      <c r="J978" s="34"/>
      <c r="K978" s="54"/>
      <c r="L978" s="34"/>
      <c r="M978" s="44"/>
      <c r="N978" s="44"/>
      <c r="O978" s="34"/>
      <c r="P978" s="34"/>
      <c r="Q978" s="34"/>
      <c r="R978" s="34"/>
      <c r="U978" s="44"/>
      <c r="W978" s="95"/>
      <c r="X978" s="54"/>
      <c r="Y978" s="54"/>
      <c r="Z978" s="34"/>
      <c r="AA978" s="34"/>
      <c r="AB978" s="34"/>
      <c r="AC978" s="34"/>
      <c r="AD978" s="34"/>
      <c r="AE978" s="34"/>
      <c r="AF978" s="34"/>
      <c r="AG978" s="34"/>
      <c r="AH978" s="52"/>
      <c r="AI978" s="52"/>
      <c r="AK978" s="34"/>
      <c r="AL978" s="34"/>
      <c r="AM978" s="34"/>
      <c r="AN978" s="54"/>
      <c r="AO978" s="34"/>
      <c r="AP978" s="34"/>
      <c r="AQ978" s="54"/>
      <c r="AR978" s="54"/>
      <c r="AS978" s="54"/>
      <c r="AT978" s="54"/>
      <c r="AU978" s="34"/>
      <c r="AV978" s="34"/>
      <c r="AW978" s="34"/>
      <c r="AX978" s="34"/>
      <c r="AY978" s="34"/>
      <c r="AZ978" s="44"/>
      <c r="BA978" s="34"/>
      <c r="BB978" s="34"/>
    </row>
    <row r="979" spans="1:54" x14ac:dyDescent="0.35" ht="15.0" customHeight="true">
      <c r="A979" s="51"/>
      <c r="B979" s="34"/>
      <c r="C979" s="34"/>
      <c r="D979" s="34"/>
      <c r="E979" s="34"/>
      <c r="F979" s="34"/>
      <c r="G979" s="44"/>
      <c r="H979" s="34"/>
      <c r="I979" s="54"/>
      <c r="J979" s="34"/>
      <c r="K979" s="54"/>
      <c r="L979" s="34"/>
      <c r="M979" s="44"/>
      <c r="N979" s="44"/>
      <c r="O979" s="34"/>
      <c r="P979" s="34"/>
      <c r="Q979" s="34"/>
      <c r="R979" s="34"/>
      <c r="U979" s="44"/>
      <c r="W979" s="95"/>
      <c r="X979" s="54"/>
      <c r="Y979" s="54"/>
      <c r="Z979" s="34"/>
      <c r="AA979" s="34"/>
      <c r="AB979" s="34"/>
      <c r="AC979" s="34"/>
      <c r="AD979" s="34"/>
      <c r="AE979" s="34"/>
      <c r="AF979" s="34"/>
      <c r="AG979" s="34"/>
      <c r="AH979" s="52"/>
      <c r="AI979" s="52"/>
      <c r="AK979" s="34"/>
      <c r="AL979" s="34"/>
      <c r="AM979" s="34"/>
      <c r="AN979" s="54"/>
      <c r="AO979" s="34"/>
      <c r="AP979" s="34"/>
      <c r="AQ979" s="54"/>
      <c r="AR979" s="54"/>
      <c r="AS979" s="54"/>
      <c r="AT979" s="54"/>
      <c r="AU979" s="34"/>
      <c r="AV979" s="34"/>
      <c r="AW979" s="34"/>
      <c r="AX979" s="34"/>
      <c r="AY979" s="34"/>
      <c r="AZ979" s="44"/>
      <c r="BA979" s="34"/>
      <c r="BB979" s="34"/>
    </row>
    <row r="980" spans="1:54" x14ac:dyDescent="0.35" ht="15.0" customHeight="true">
      <c r="A980" s="51"/>
      <c r="B980" s="34"/>
      <c r="C980" s="34"/>
      <c r="D980" s="34"/>
      <c r="E980" s="34"/>
      <c r="F980" s="34"/>
      <c r="G980" s="44"/>
      <c r="H980" s="34"/>
      <c r="I980" s="54"/>
      <c r="J980" s="34"/>
      <c r="K980" s="54"/>
      <c r="L980" s="34"/>
      <c r="M980" s="44"/>
      <c r="N980" s="44"/>
      <c r="O980" s="34"/>
      <c r="P980" s="34"/>
      <c r="Q980" s="34"/>
      <c r="R980" s="34"/>
      <c r="U980" s="44"/>
      <c r="W980" s="95"/>
      <c r="X980" s="54"/>
      <c r="Y980" s="54"/>
      <c r="Z980" s="34"/>
      <c r="AA980" s="34"/>
      <c r="AB980" s="34"/>
      <c r="AC980" s="34"/>
      <c r="AD980" s="34"/>
      <c r="AE980" s="34"/>
      <c r="AF980" s="34"/>
      <c r="AG980" s="34"/>
      <c r="AH980" s="52"/>
      <c r="AI980" s="52"/>
      <c r="AK980" s="34"/>
      <c r="AL980" s="34"/>
      <c r="AM980" s="34"/>
      <c r="AN980" s="54"/>
      <c r="AO980" s="34"/>
      <c r="AP980" s="34"/>
      <c r="AQ980" s="54"/>
      <c r="AR980" s="54"/>
      <c r="AS980" s="54"/>
      <c r="AT980" s="54"/>
      <c r="AU980" s="34"/>
      <c r="AV980" s="34"/>
      <c r="AW980" s="34"/>
      <c r="AX980" s="34"/>
      <c r="AY980" s="34"/>
      <c r="AZ980" s="44"/>
      <c r="BA980" s="34"/>
      <c r="BB980" s="34"/>
    </row>
    <row r="981" spans="1:54" x14ac:dyDescent="0.35" ht="15.0" customHeight="true">
      <c r="A981" s="51"/>
      <c r="B981" s="34"/>
      <c r="C981" s="34"/>
      <c r="D981" s="34"/>
      <c r="E981" s="34"/>
      <c r="F981" s="34"/>
      <c r="G981" s="44"/>
      <c r="H981" s="34"/>
      <c r="I981" s="54"/>
      <c r="J981" s="34"/>
      <c r="K981" s="54"/>
      <c r="L981" s="34"/>
      <c r="M981" s="44"/>
      <c r="N981" s="44"/>
      <c r="O981" s="34"/>
      <c r="P981" s="34"/>
      <c r="Q981" s="34"/>
      <c r="R981" s="34"/>
      <c r="U981" s="44"/>
      <c r="W981" s="95"/>
      <c r="X981" s="54"/>
      <c r="Y981" s="54"/>
      <c r="Z981" s="34"/>
      <c r="AA981" s="34"/>
      <c r="AB981" s="34"/>
      <c r="AC981" s="34"/>
      <c r="AD981" s="34"/>
      <c r="AE981" s="34"/>
      <c r="AF981" s="34"/>
      <c r="AG981" s="34"/>
      <c r="AH981" s="52"/>
      <c r="AI981" s="52"/>
      <c r="AK981" s="34"/>
      <c r="AL981" s="34"/>
      <c r="AM981" s="34"/>
      <c r="AN981" s="54"/>
      <c r="AO981" s="34"/>
      <c r="AP981" s="34"/>
      <c r="AQ981" s="54"/>
      <c r="AR981" s="54"/>
      <c r="AS981" s="54"/>
      <c r="AT981" s="54"/>
      <c r="AU981" s="34"/>
      <c r="AV981" s="34"/>
      <c r="AW981" s="34"/>
      <c r="AX981" s="34"/>
      <c r="AY981" s="34"/>
      <c r="AZ981" s="44"/>
      <c r="BA981" s="34"/>
      <c r="BB981" s="34"/>
    </row>
    <row r="982" spans="1:54" x14ac:dyDescent="0.35" ht="15.0" customHeight="true">
      <c r="A982" s="51"/>
      <c r="B982" s="34"/>
      <c r="C982" s="34"/>
      <c r="D982" s="34"/>
      <c r="E982" s="34"/>
      <c r="F982" s="34"/>
      <c r="G982" s="44"/>
      <c r="H982" s="34"/>
      <c r="I982" s="54"/>
      <c r="J982" s="34"/>
      <c r="K982" s="54"/>
      <c r="L982" s="34"/>
      <c r="M982" s="44"/>
      <c r="N982" s="44"/>
      <c r="O982" s="34"/>
      <c r="P982" s="34"/>
      <c r="Q982" s="34"/>
      <c r="R982" s="34"/>
      <c r="U982" s="44"/>
      <c r="W982" s="95"/>
      <c r="X982" s="54"/>
      <c r="Y982" s="54"/>
      <c r="Z982" s="34"/>
      <c r="AA982" s="34"/>
      <c r="AB982" s="34"/>
      <c r="AC982" s="34"/>
      <c r="AD982" s="34"/>
      <c r="AE982" s="34"/>
      <c r="AF982" s="34"/>
      <c r="AG982" s="34"/>
      <c r="AH982" s="52"/>
      <c r="AI982" s="52"/>
      <c r="AK982" s="34"/>
      <c r="AL982" s="34"/>
      <c r="AM982" s="34"/>
      <c r="AN982" s="54"/>
      <c r="AO982" s="34"/>
      <c r="AP982" s="34"/>
      <c r="AQ982" s="54"/>
      <c r="AR982" s="54"/>
      <c r="AS982" s="54"/>
      <c r="AT982" s="54"/>
      <c r="AU982" s="34"/>
      <c r="AV982" s="34"/>
      <c r="AW982" s="34"/>
      <c r="AX982" s="34"/>
      <c r="AY982" s="34"/>
      <c r="AZ982" s="44"/>
      <c r="BA982" s="34"/>
      <c r="BB982" s="34"/>
    </row>
    <row r="983" spans="1:54" x14ac:dyDescent="0.35" ht="15.0" customHeight="true">
      <c r="A983" s="51"/>
      <c r="B983" s="34"/>
      <c r="C983" s="34"/>
      <c r="D983" s="34"/>
      <c r="E983" s="34"/>
      <c r="F983" s="34"/>
      <c r="G983" s="44"/>
      <c r="H983" s="34"/>
      <c r="I983" s="54"/>
      <c r="J983" s="34"/>
      <c r="K983" s="54"/>
      <c r="L983" s="34"/>
      <c r="M983" s="44"/>
      <c r="N983" s="44"/>
      <c r="O983" s="34"/>
      <c r="P983" s="34"/>
      <c r="Q983" s="34"/>
      <c r="R983" s="34"/>
      <c r="U983" s="44"/>
      <c r="W983" s="95"/>
      <c r="X983" s="54"/>
      <c r="Y983" s="54"/>
      <c r="Z983" s="34"/>
      <c r="AA983" s="34"/>
      <c r="AB983" s="34"/>
      <c r="AC983" s="34"/>
      <c r="AD983" s="34"/>
      <c r="AE983" s="34"/>
      <c r="AF983" s="34"/>
      <c r="AG983" s="34"/>
      <c r="AH983" s="52"/>
      <c r="AI983" s="52"/>
      <c r="AK983" s="34"/>
      <c r="AL983" s="34"/>
      <c r="AM983" s="34"/>
      <c r="AN983" s="54"/>
      <c r="AO983" s="34"/>
      <c r="AP983" s="34"/>
      <c r="AQ983" s="54"/>
      <c r="AR983" s="54"/>
      <c r="AS983" s="54"/>
      <c r="AT983" s="54"/>
      <c r="AU983" s="34"/>
      <c r="AV983" s="34"/>
      <c r="AW983" s="34"/>
      <c r="AX983" s="34"/>
      <c r="AY983" s="34"/>
      <c r="AZ983" s="44"/>
      <c r="BA983" s="34"/>
      <c r="BB983" s="34"/>
    </row>
    <row r="984" spans="1:54" x14ac:dyDescent="0.35" ht="15.0" customHeight="true">
      <c r="A984" s="51"/>
      <c r="B984" s="34"/>
      <c r="C984" s="34"/>
      <c r="D984" s="34"/>
      <c r="E984" s="34"/>
      <c r="F984" s="34"/>
      <c r="G984" s="44"/>
      <c r="H984" s="34"/>
      <c r="I984" s="54"/>
      <c r="J984" s="34"/>
      <c r="K984" s="54"/>
      <c r="L984" s="34"/>
      <c r="M984" s="44"/>
      <c r="N984" s="44"/>
      <c r="O984" s="34"/>
      <c r="P984" s="34"/>
      <c r="Q984" s="34"/>
      <c r="R984" s="34"/>
      <c r="U984" s="44"/>
      <c r="W984" s="95"/>
      <c r="X984" s="54"/>
      <c r="Y984" s="54"/>
      <c r="Z984" s="34"/>
      <c r="AA984" s="34"/>
      <c r="AB984" s="34"/>
      <c r="AC984" s="34"/>
      <c r="AD984" s="34"/>
      <c r="AE984" s="34"/>
      <c r="AF984" s="34"/>
      <c r="AG984" s="34"/>
      <c r="AH984" s="52"/>
      <c r="AI984" s="52"/>
      <c r="AK984" s="34"/>
      <c r="AL984" s="34"/>
      <c r="AM984" s="34"/>
      <c r="AN984" s="54"/>
      <c r="AO984" s="34"/>
      <c r="AP984" s="34"/>
      <c r="AQ984" s="54"/>
      <c r="AR984" s="54"/>
      <c r="AS984" s="54"/>
      <c r="AT984" s="54"/>
      <c r="AU984" s="34"/>
      <c r="AV984" s="34"/>
      <c r="AW984" s="34"/>
      <c r="AX984" s="34"/>
      <c r="AY984" s="34"/>
      <c r="AZ984" s="44"/>
      <c r="BA984" s="34"/>
      <c r="BB984" s="34"/>
    </row>
    <row r="985" spans="1:54" x14ac:dyDescent="0.35" ht="15.0" customHeight="true">
      <c r="A985" s="51"/>
      <c r="B985" s="34"/>
      <c r="C985" s="34"/>
      <c r="D985" s="34"/>
      <c r="E985" s="34"/>
      <c r="F985" s="34"/>
      <c r="G985" s="44"/>
      <c r="H985" s="34"/>
      <c r="I985" s="54"/>
      <c r="J985" s="34"/>
      <c r="K985" s="54"/>
      <c r="L985" s="34"/>
      <c r="M985" s="44"/>
      <c r="N985" s="44"/>
      <c r="O985" s="34"/>
      <c r="P985" s="34"/>
      <c r="Q985" s="34"/>
      <c r="R985" s="34"/>
      <c r="U985" s="44"/>
      <c r="W985" s="95"/>
      <c r="X985" s="54"/>
      <c r="Y985" s="54"/>
      <c r="Z985" s="34"/>
      <c r="AA985" s="34"/>
      <c r="AB985" s="34"/>
      <c r="AC985" s="34"/>
      <c r="AD985" s="34"/>
      <c r="AE985" s="34"/>
      <c r="AF985" s="34"/>
      <c r="AG985" s="34"/>
      <c r="AH985" s="52"/>
      <c r="AI985" s="52"/>
      <c r="AK985" s="34"/>
      <c r="AL985" s="34"/>
      <c r="AM985" s="34"/>
      <c r="AN985" s="54"/>
      <c r="AO985" s="34"/>
      <c r="AP985" s="34"/>
      <c r="AQ985" s="54"/>
      <c r="AR985" s="54"/>
      <c r="AS985" s="54"/>
      <c r="AT985" s="54"/>
      <c r="AU985" s="34"/>
      <c r="AV985" s="34"/>
      <c r="AW985" s="34"/>
      <c r="AX985" s="34"/>
      <c r="AY985" s="34"/>
      <c r="AZ985" s="44"/>
      <c r="BA985" s="34"/>
      <c r="BB985" s="34"/>
    </row>
    <row r="986" spans="1:54" x14ac:dyDescent="0.35" ht="15.0" customHeight="true">
      <c r="A986" s="51"/>
      <c r="B986" s="34"/>
      <c r="C986" s="34"/>
      <c r="D986" s="34"/>
      <c r="E986" s="34"/>
      <c r="F986" s="34"/>
      <c r="G986" s="44"/>
      <c r="H986" s="34"/>
      <c r="I986" s="54"/>
      <c r="J986" s="34"/>
      <c r="K986" s="54"/>
      <c r="L986" s="34"/>
      <c r="M986" s="44"/>
      <c r="N986" s="44"/>
      <c r="O986" s="34"/>
      <c r="P986" s="34"/>
      <c r="Q986" s="34"/>
      <c r="R986" s="34"/>
      <c r="U986" s="44"/>
      <c r="W986" s="95"/>
      <c r="X986" s="54"/>
      <c r="Y986" s="54"/>
      <c r="Z986" s="34"/>
      <c r="AA986" s="34"/>
      <c r="AB986" s="34"/>
      <c r="AC986" s="34"/>
      <c r="AD986" s="34"/>
      <c r="AE986" s="34"/>
      <c r="AF986" s="34"/>
      <c r="AG986" s="34"/>
      <c r="AH986" s="52"/>
      <c r="AI986" s="52"/>
      <c r="AK986" s="34"/>
      <c r="AL986" s="34"/>
      <c r="AM986" s="34"/>
      <c r="AN986" s="54"/>
      <c r="AO986" s="34"/>
      <c r="AP986" s="34"/>
      <c r="AQ986" s="54"/>
      <c r="AR986" s="54"/>
      <c r="AS986" s="54"/>
      <c r="AT986" s="54"/>
      <c r="AU986" s="34"/>
      <c r="AV986" s="34"/>
      <c r="AW986" s="34"/>
      <c r="AX986" s="34"/>
      <c r="AY986" s="34"/>
      <c r="AZ986" s="44"/>
      <c r="BA986" s="34"/>
      <c r="BB986" s="34"/>
    </row>
    <row r="987" spans="1:54" x14ac:dyDescent="0.35" ht="15.0" customHeight="true">
      <c r="A987" s="51"/>
      <c r="B987" s="34"/>
      <c r="C987" s="34"/>
      <c r="D987" s="34"/>
      <c r="E987" s="34"/>
      <c r="F987" s="34"/>
      <c r="G987" s="44"/>
      <c r="H987" s="34"/>
      <c r="I987" s="54"/>
      <c r="J987" s="34"/>
      <c r="K987" s="54"/>
      <c r="L987" s="34"/>
      <c r="M987" s="44"/>
      <c r="N987" s="44"/>
      <c r="O987" s="34"/>
      <c r="P987" s="34"/>
      <c r="Q987" s="34"/>
      <c r="R987" s="34"/>
      <c r="U987" s="44"/>
      <c r="W987" s="95"/>
      <c r="X987" s="54"/>
      <c r="Y987" s="54"/>
      <c r="Z987" s="34"/>
      <c r="AA987" s="34"/>
      <c r="AB987" s="34"/>
      <c r="AC987" s="34"/>
      <c r="AD987" s="34"/>
      <c r="AE987" s="34"/>
      <c r="AF987" s="34"/>
      <c r="AG987" s="34"/>
      <c r="AH987" s="52"/>
      <c r="AI987" s="52"/>
      <c r="AK987" s="34"/>
      <c r="AL987" s="34"/>
      <c r="AM987" s="34"/>
      <c r="AN987" s="54"/>
      <c r="AO987" s="34"/>
      <c r="AP987" s="34"/>
      <c r="AQ987" s="54"/>
      <c r="AR987" s="54"/>
      <c r="AS987" s="54"/>
      <c r="AT987" s="54"/>
      <c r="AU987" s="34"/>
      <c r="AV987" s="34"/>
      <c r="AW987" s="34"/>
      <c r="AX987" s="34"/>
      <c r="AY987" s="34"/>
      <c r="AZ987" s="44"/>
      <c r="BA987" s="34"/>
      <c r="BB987" s="34"/>
    </row>
    <row r="988" spans="1:54" x14ac:dyDescent="0.35" ht="15.0" customHeight="true">
      <c r="A988" s="51"/>
      <c r="B988" s="34"/>
      <c r="C988" s="34"/>
      <c r="D988" s="34"/>
      <c r="E988" s="34"/>
      <c r="F988" s="34"/>
      <c r="G988" s="44"/>
      <c r="H988" s="34"/>
      <c r="I988" s="54"/>
      <c r="J988" s="34"/>
      <c r="K988" s="54"/>
      <c r="L988" s="34"/>
      <c r="M988" s="44"/>
      <c r="N988" s="44"/>
      <c r="O988" s="34"/>
      <c r="P988" s="34"/>
      <c r="Q988" s="34"/>
      <c r="R988" s="34"/>
      <c r="U988" s="44"/>
      <c r="W988" s="95"/>
      <c r="X988" s="54"/>
      <c r="Y988" s="54"/>
      <c r="Z988" s="34"/>
      <c r="AA988" s="34"/>
      <c r="AB988" s="34"/>
      <c r="AC988" s="34"/>
      <c r="AD988" s="34"/>
      <c r="AE988" s="34"/>
      <c r="AF988" s="34"/>
      <c r="AG988" s="34"/>
      <c r="AH988" s="52"/>
      <c r="AI988" s="52"/>
      <c r="AK988" s="34"/>
      <c r="AL988" s="34"/>
      <c r="AM988" s="34"/>
      <c r="AN988" s="54"/>
      <c r="AO988" s="34"/>
      <c r="AP988" s="34"/>
      <c r="AQ988" s="54"/>
      <c r="AR988" s="54"/>
      <c r="AS988" s="54"/>
      <c r="AT988" s="54"/>
      <c r="AU988" s="34"/>
      <c r="AV988" s="34"/>
      <c r="AW988" s="34"/>
      <c r="AX988" s="34"/>
      <c r="AY988" s="34"/>
      <c r="AZ988" s="44"/>
      <c r="BA988" s="34"/>
      <c r="BB988" s="34"/>
    </row>
    <row r="989" spans="1:54" x14ac:dyDescent="0.35" ht="15.0" customHeight="true">
      <c r="A989" s="51"/>
      <c r="B989" s="34"/>
      <c r="C989" s="34"/>
      <c r="D989" s="34"/>
      <c r="E989" s="34"/>
      <c r="F989" s="34"/>
      <c r="G989" s="44"/>
      <c r="H989" s="34"/>
      <c r="I989" s="54"/>
      <c r="J989" s="34"/>
      <c r="K989" s="54"/>
      <c r="L989" s="34"/>
      <c r="M989" s="44"/>
      <c r="N989" s="44"/>
      <c r="O989" s="34"/>
      <c r="P989" s="34"/>
      <c r="Q989" s="34"/>
      <c r="R989" s="34"/>
      <c r="U989" s="44"/>
      <c r="W989" s="95"/>
      <c r="X989" s="54"/>
      <c r="Y989" s="54"/>
      <c r="Z989" s="34"/>
      <c r="AA989" s="34"/>
      <c r="AB989" s="34"/>
      <c r="AC989" s="34"/>
      <c r="AD989" s="34"/>
      <c r="AE989" s="34"/>
      <c r="AF989" s="34"/>
      <c r="AG989" s="34"/>
      <c r="AH989" s="52"/>
      <c r="AI989" s="52"/>
      <c r="AK989" s="34"/>
      <c r="AL989" s="34"/>
      <c r="AM989" s="34"/>
      <c r="AN989" s="54"/>
      <c r="AO989" s="34"/>
      <c r="AP989" s="34"/>
      <c r="AQ989" s="54"/>
      <c r="AR989" s="54"/>
      <c r="AS989" s="54"/>
      <c r="AT989" s="54"/>
      <c r="AU989" s="34"/>
      <c r="AV989" s="34"/>
      <c r="AW989" s="34"/>
      <c r="AX989" s="34"/>
      <c r="AY989" s="34"/>
      <c r="AZ989" s="44"/>
      <c r="BA989" s="34"/>
      <c r="BB989" s="34"/>
    </row>
    <row r="990" spans="1:54" x14ac:dyDescent="0.35" ht="15.0" customHeight="true">
      <c r="A990" s="51"/>
      <c r="B990" s="34"/>
      <c r="C990" s="34"/>
      <c r="D990" s="34"/>
      <c r="E990" s="34"/>
      <c r="F990" s="34"/>
      <c r="G990" s="44"/>
      <c r="H990" s="34"/>
      <c r="I990" s="54"/>
      <c r="J990" s="34"/>
      <c r="K990" s="54"/>
      <c r="L990" s="34"/>
      <c r="M990" s="44"/>
      <c r="N990" s="44"/>
      <c r="O990" s="34"/>
      <c r="P990" s="34"/>
      <c r="Q990" s="34"/>
      <c r="R990" s="34"/>
      <c r="U990" s="44"/>
      <c r="W990" s="95"/>
      <c r="X990" s="54"/>
      <c r="Y990" s="54"/>
      <c r="Z990" s="34"/>
      <c r="AA990" s="34"/>
      <c r="AB990" s="34"/>
      <c r="AC990" s="34"/>
      <c r="AD990" s="34"/>
      <c r="AE990" s="34"/>
      <c r="AF990" s="34"/>
      <c r="AG990" s="34"/>
      <c r="AH990" s="52"/>
      <c r="AI990" s="52"/>
      <c r="AK990" s="34"/>
      <c r="AL990" s="34"/>
      <c r="AM990" s="34"/>
      <c r="AN990" s="54"/>
      <c r="AO990" s="34"/>
      <c r="AP990" s="34"/>
      <c r="AQ990" s="54"/>
      <c r="AR990" s="54"/>
      <c r="AS990" s="54"/>
      <c r="AT990" s="54"/>
      <c r="AU990" s="34"/>
      <c r="AV990" s="34"/>
      <c r="AW990" s="34"/>
      <c r="AX990" s="34"/>
      <c r="AY990" s="34"/>
      <c r="AZ990" s="44"/>
      <c r="BA990" s="34"/>
      <c r="BB990" s="34"/>
    </row>
    <row r="991" spans="1:54" x14ac:dyDescent="0.35" ht="15.0" customHeight="true">
      <c r="A991" s="51"/>
      <c r="B991" s="34"/>
      <c r="C991" s="34"/>
      <c r="D991" s="34"/>
      <c r="E991" s="34"/>
      <c r="F991" s="34"/>
      <c r="G991" s="44"/>
      <c r="H991" s="34"/>
      <c r="I991" s="54"/>
      <c r="J991" s="34"/>
      <c r="K991" s="54"/>
      <c r="L991" s="34"/>
      <c r="M991" s="44"/>
      <c r="N991" s="44"/>
      <c r="O991" s="34"/>
      <c r="P991" s="34"/>
      <c r="Q991" s="34"/>
      <c r="R991" s="34"/>
      <c r="U991" s="44"/>
      <c r="W991" s="95"/>
      <c r="X991" s="54"/>
      <c r="Y991" s="54"/>
      <c r="Z991" s="34"/>
      <c r="AA991" s="34"/>
      <c r="AB991" s="34"/>
      <c r="AC991" s="34"/>
      <c r="AD991" s="34"/>
      <c r="AE991" s="34"/>
      <c r="AF991" s="34"/>
      <c r="AG991" s="34"/>
      <c r="AH991" s="52"/>
      <c r="AI991" s="52"/>
      <c r="AK991" s="34"/>
      <c r="AL991" s="34"/>
      <c r="AM991" s="34"/>
      <c r="AN991" s="54"/>
      <c r="AO991" s="34"/>
      <c r="AP991" s="34"/>
      <c r="AQ991" s="54"/>
      <c r="AR991" s="54"/>
      <c r="AS991" s="54"/>
      <c r="AT991" s="54"/>
      <c r="AU991" s="34"/>
      <c r="AV991" s="34"/>
      <c r="AW991" s="34"/>
      <c r="AX991" s="34"/>
      <c r="AY991" s="34"/>
      <c r="AZ991" s="44"/>
      <c r="BA991" s="34"/>
      <c r="BB991" s="34"/>
    </row>
    <row r="992" spans="1:54" x14ac:dyDescent="0.35" ht="15.0" customHeight="true">
      <c r="A992" s="51"/>
      <c r="B992" s="34"/>
      <c r="C992" s="34"/>
      <c r="D992" s="34"/>
      <c r="E992" s="34"/>
      <c r="F992" s="34"/>
      <c r="G992" s="44"/>
      <c r="H992" s="34"/>
      <c r="I992" s="54"/>
      <c r="J992" s="34"/>
      <c r="K992" s="54"/>
      <c r="L992" s="34"/>
      <c r="M992" s="44"/>
      <c r="N992" s="44"/>
      <c r="O992" s="34"/>
      <c r="P992" s="34"/>
      <c r="Q992" s="34"/>
      <c r="R992" s="34"/>
      <c r="U992" s="44"/>
      <c r="W992" s="95"/>
      <c r="X992" s="54"/>
      <c r="Y992" s="54"/>
      <c r="Z992" s="34"/>
      <c r="AA992" s="34"/>
      <c r="AB992" s="34"/>
      <c r="AC992" s="34"/>
      <c r="AD992" s="34"/>
      <c r="AE992" s="34"/>
      <c r="AF992" s="34"/>
      <c r="AG992" s="34"/>
      <c r="AH992" s="52"/>
      <c r="AI992" s="52"/>
      <c r="AK992" s="34"/>
      <c r="AL992" s="34"/>
      <c r="AM992" s="34"/>
      <c r="AN992" s="54"/>
      <c r="AO992" s="34"/>
      <c r="AP992" s="34"/>
      <c r="AQ992" s="54"/>
      <c r="AR992" s="54"/>
      <c r="AS992" s="54"/>
      <c r="AT992" s="54"/>
      <c r="AU992" s="34"/>
      <c r="AV992" s="34"/>
      <c r="AW992" s="34"/>
      <c r="AX992" s="34"/>
      <c r="AY992" s="34"/>
      <c r="AZ992" s="44"/>
      <c r="BA992" s="34"/>
      <c r="BB992" s="34"/>
    </row>
    <row r="993" spans="1:54" x14ac:dyDescent="0.35" ht="15.0" customHeight="true">
      <c r="A993" s="51"/>
      <c r="B993" s="34"/>
      <c r="C993" s="34"/>
      <c r="D993" s="34"/>
      <c r="E993" s="34"/>
      <c r="F993" s="34"/>
      <c r="G993" s="44"/>
      <c r="H993" s="34"/>
      <c r="I993" s="54"/>
      <c r="J993" s="34"/>
      <c r="K993" s="54"/>
      <c r="L993" s="34"/>
      <c r="M993" s="44"/>
      <c r="N993" s="44"/>
      <c r="O993" s="34"/>
      <c r="P993" s="34"/>
      <c r="Q993" s="34"/>
      <c r="R993" s="34"/>
      <c r="U993" s="44"/>
      <c r="W993" s="95"/>
      <c r="X993" s="54"/>
      <c r="Y993" s="54"/>
      <c r="Z993" s="34"/>
      <c r="AA993" s="34"/>
      <c r="AB993" s="34"/>
      <c r="AC993" s="34"/>
      <c r="AD993" s="34"/>
      <c r="AE993" s="34"/>
      <c r="AF993" s="34"/>
      <c r="AG993" s="34"/>
      <c r="AH993" s="52"/>
      <c r="AI993" s="52"/>
      <c r="AK993" s="34"/>
      <c r="AL993" s="34"/>
      <c r="AM993" s="34"/>
      <c r="AN993" s="54"/>
      <c r="AO993" s="34"/>
      <c r="AP993" s="34"/>
      <c r="AQ993" s="54"/>
      <c r="AR993" s="54"/>
      <c r="AS993" s="54"/>
      <c r="AT993" s="54"/>
      <c r="AU993" s="34"/>
      <c r="AV993" s="34"/>
      <c r="AW993" s="34"/>
      <c r="AX993" s="34"/>
      <c r="AY993" s="34"/>
      <c r="AZ993" s="44"/>
      <c r="BA993" s="34"/>
      <c r="BB993" s="34"/>
    </row>
    <row r="994" spans="1:54" x14ac:dyDescent="0.35" ht="15.0" customHeight="true">
      <c r="A994" s="51"/>
      <c r="B994" s="34"/>
      <c r="C994" s="34"/>
      <c r="D994" s="34"/>
      <c r="E994" s="34"/>
      <c r="F994" s="34"/>
      <c r="G994" s="44"/>
      <c r="H994" s="34"/>
      <c r="I994" s="54"/>
      <c r="J994" s="34"/>
      <c r="K994" s="54"/>
      <c r="L994" s="34"/>
      <c r="M994" s="44"/>
      <c r="N994" s="44"/>
      <c r="O994" s="34"/>
      <c r="P994" s="34"/>
      <c r="Q994" s="34"/>
      <c r="R994" s="34"/>
      <c r="U994" s="44"/>
      <c r="W994" s="95"/>
      <c r="X994" s="54"/>
      <c r="Y994" s="54"/>
      <c r="Z994" s="34"/>
      <c r="AA994" s="34"/>
      <c r="AB994" s="34"/>
      <c r="AC994" s="34"/>
      <c r="AD994" s="34"/>
      <c r="AE994" s="34"/>
      <c r="AF994" s="34"/>
      <c r="AG994" s="34"/>
      <c r="AH994" s="52"/>
      <c r="AI994" s="52"/>
      <c r="AK994" s="34"/>
      <c r="AL994" s="34"/>
      <c r="AM994" s="34"/>
      <c r="AN994" s="54"/>
      <c r="AO994" s="34"/>
      <c r="AP994" s="34"/>
      <c r="AQ994" s="54"/>
      <c r="AR994" s="54"/>
      <c r="AS994" s="54"/>
      <c r="AT994" s="54"/>
      <c r="AU994" s="34"/>
      <c r="AV994" s="34"/>
      <c r="AW994" s="34"/>
      <c r="AX994" s="34"/>
      <c r="AY994" s="34"/>
      <c r="AZ994" s="44"/>
      <c r="BA994" s="34"/>
      <c r="BB994" s="34"/>
    </row>
    <row r="995" spans="1:54" x14ac:dyDescent="0.35" ht="15.0" customHeight="true">
      <c r="A995" s="51"/>
      <c r="B995" s="34"/>
      <c r="C995" s="34"/>
      <c r="D995" s="34"/>
      <c r="E995" s="34"/>
      <c r="F995" s="34"/>
      <c r="G995" s="44"/>
      <c r="H995" s="34"/>
      <c r="I995" s="54"/>
      <c r="J995" s="34"/>
      <c r="K995" s="54"/>
      <c r="L995" s="34"/>
      <c r="M995" s="44"/>
      <c r="N995" s="44"/>
      <c r="O995" s="34"/>
      <c r="P995" s="34"/>
      <c r="Q995" s="34"/>
      <c r="R995" s="34"/>
      <c r="U995" s="44"/>
      <c r="W995" s="95"/>
      <c r="X995" s="54"/>
      <c r="Y995" s="54"/>
      <c r="Z995" s="34"/>
      <c r="AA995" s="34"/>
      <c r="AB995" s="34"/>
      <c r="AC995" s="34"/>
      <c r="AD995" s="34"/>
      <c r="AE995" s="34"/>
      <c r="AF995" s="34"/>
      <c r="AG995" s="34"/>
      <c r="AH995" s="52"/>
      <c r="AI995" s="52"/>
      <c r="AK995" s="34"/>
      <c r="AL995" s="34"/>
      <c r="AM995" s="34"/>
      <c r="AN995" s="54"/>
      <c r="AO995" s="34"/>
      <c r="AP995" s="34"/>
      <c r="AQ995" s="54"/>
      <c r="AR995" s="54"/>
      <c r="AS995" s="54"/>
      <c r="AT995" s="54"/>
      <c r="AU995" s="34"/>
      <c r="AV995" s="34"/>
      <c r="AW995" s="34"/>
      <c r="AX995" s="34"/>
      <c r="AY995" s="34"/>
      <c r="AZ995" s="44"/>
      <c r="BA995" s="34"/>
      <c r="BB995" s="34"/>
    </row>
    <row r="996" spans="1:54" x14ac:dyDescent="0.35" ht="15.0" customHeight="true">
      <c r="A996" s="51"/>
      <c r="B996" s="34"/>
      <c r="C996" s="34"/>
      <c r="D996" s="34"/>
      <c r="E996" s="34"/>
      <c r="F996" s="34"/>
      <c r="G996" s="44"/>
      <c r="H996" s="34"/>
      <c r="I996" s="54"/>
      <c r="J996" s="34"/>
      <c r="K996" s="54"/>
      <c r="L996" s="34"/>
      <c r="M996" s="44"/>
      <c r="N996" s="44"/>
      <c r="O996" s="34"/>
      <c r="P996" s="34"/>
      <c r="Q996" s="34"/>
      <c r="R996" s="34"/>
      <c r="U996" s="44"/>
      <c r="W996" s="95"/>
      <c r="X996" s="54"/>
      <c r="Y996" s="54"/>
      <c r="Z996" s="34"/>
      <c r="AA996" s="34"/>
      <c r="AB996" s="34"/>
      <c r="AC996" s="34"/>
      <c r="AD996" s="34"/>
      <c r="AE996" s="34"/>
      <c r="AF996" s="34"/>
      <c r="AG996" s="34"/>
      <c r="AH996" s="52"/>
      <c r="AI996" s="52"/>
      <c r="AK996" s="34"/>
      <c r="AL996" s="34"/>
      <c r="AM996" s="34"/>
      <c r="AN996" s="54"/>
      <c r="AO996" s="34"/>
      <c r="AP996" s="34"/>
      <c r="AQ996" s="54"/>
      <c r="AR996" s="54"/>
      <c r="AS996" s="54"/>
      <c r="AT996" s="54"/>
      <c r="AU996" s="34"/>
      <c r="AV996" s="34"/>
      <c r="AW996" s="34"/>
      <c r="AX996" s="34"/>
      <c r="AY996" s="34"/>
      <c r="AZ996" s="44"/>
      <c r="BA996" s="34"/>
      <c r="BB996" s="34"/>
    </row>
    <row r="997" spans="1:54" x14ac:dyDescent="0.35" ht="15.0" customHeight="true">
      <c r="A997" s="51"/>
      <c r="B997" s="34"/>
      <c r="C997" s="34"/>
      <c r="D997" s="34"/>
      <c r="E997" s="34"/>
      <c r="F997" s="34"/>
      <c r="G997" s="44"/>
      <c r="H997" s="34"/>
      <c r="I997" s="54"/>
      <c r="J997" s="34"/>
      <c r="K997" s="54"/>
      <c r="L997" s="34"/>
      <c r="M997" s="44"/>
      <c r="N997" s="44"/>
      <c r="O997" s="34"/>
      <c r="P997" s="34"/>
      <c r="Q997" s="34"/>
      <c r="R997" s="34"/>
      <c r="U997" s="44"/>
      <c r="W997" s="95"/>
      <c r="X997" s="54"/>
      <c r="Y997" s="54"/>
      <c r="Z997" s="34"/>
      <c r="AA997" s="34"/>
      <c r="AB997" s="34"/>
      <c r="AC997" s="34"/>
      <c r="AD997" s="34"/>
      <c r="AE997" s="34"/>
      <c r="AF997" s="34"/>
      <c r="AG997" s="34"/>
      <c r="AH997" s="52"/>
      <c r="AI997" s="52"/>
      <c r="AK997" s="34"/>
      <c r="AL997" s="34"/>
      <c r="AM997" s="34"/>
      <c r="AN997" s="54"/>
      <c r="AO997" s="34"/>
      <c r="AP997" s="34"/>
      <c r="AQ997" s="54"/>
      <c r="AR997" s="54"/>
      <c r="AS997" s="54"/>
      <c r="AT997" s="54"/>
      <c r="AU997" s="34"/>
      <c r="AV997" s="34"/>
      <c r="AW997" s="34"/>
      <c r="AX997" s="34"/>
      <c r="AY997" s="34"/>
      <c r="AZ997" s="44"/>
      <c r="BA997" s="34"/>
      <c r="BB997" s="34"/>
    </row>
    <row r="998" spans="1:54" x14ac:dyDescent="0.35" ht="15.0" customHeight="true">
      <c r="A998" s="51"/>
      <c r="B998" s="34"/>
      <c r="C998" s="34"/>
      <c r="D998" s="34"/>
      <c r="E998" s="34"/>
      <c r="F998" s="34"/>
      <c r="G998" s="44"/>
      <c r="H998" s="34"/>
      <c r="I998" s="54"/>
      <c r="J998" s="34"/>
      <c r="K998" s="54"/>
      <c r="L998" s="34"/>
      <c r="M998" s="44"/>
      <c r="N998" s="44"/>
      <c r="O998" s="34"/>
      <c r="P998" s="34"/>
      <c r="Q998" s="34"/>
      <c r="R998" s="34"/>
      <c r="U998" s="44"/>
      <c r="W998" s="95"/>
      <c r="X998" s="54"/>
      <c r="Y998" s="54"/>
      <c r="Z998" s="34"/>
      <c r="AA998" s="34"/>
      <c r="AB998" s="34"/>
      <c r="AC998" s="34"/>
      <c r="AD998" s="34"/>
      <c r="AE998" s="34"/>
      <c r="AF998" s="34"/>
      <c r="AG998" s="34"/>
      <c r="AH998" s="52"/>
      <c r="AI998" s="52"/>
      <c r="AK998" s="34"/>
      <c r="AL998" s="34"/>
      <c r="AM998" s="34"/>
      <c r="AN998" s="54"/>
      <c r="AO998" s="34"/>
      <c r="AP998" s="34"/>
      <c r="AQ998" s="54"/>
      <c r="AR998" s="54"/>
      <c r="AS998" s="54"/>
      <c r="AT998" s="54"/>
      <c r="AU998" s="34"/>
      <c r="AV998" s="34"/>
      <c r="AW998" s="34"/>
      <c r="AX998" s="34"/>
      <c r="AY998" s="34"/>
      <c r="AZ998" s="44"/>
      <c r="BA998" s="34"/>
      <c r="BB998" s="34"/>
    </row>
    <row r="999" spans="1:54" x14ac:dyDescent="0.35" ht="15.0" customHeight="true">
      <c r="A999" s="51"/>
      <c r="B999" s="34"/>
      <c r="C999" s="34"/>
      <c r="D999" s="34"/>
      <c r="E999" s="34"/>
      <c r="F999" s="34"/>
      <c r="G999" s="44"/>
      <c r="H999" s="34"/>
      <c r="I999" s="54"/>
      <c r="J999" s="34"/>
      <c r="K999" s="54"/>
      <c r="L999" s="34"/>
      <c r="M999" s="44"/>
      <c r="N999" s="44"/>
      <c r="O999" s="34"/>
      <c r="P999" s="34"/>
      <c r="Q999" s="34"/>
      <c r="R999" s="34"/>
      <c r="U999" s="44"/>
      <c r="W999" s="95"/>
      <c r="X999" s="54"/>
      <c r="Y999" s="54"/>
      <c r="Z999" s="34"/>
      <c r="AA999" s="34"/>
      <c r="AB999" s="34"/>
      <c r="AC999" s="34"/>
      <c r="AD999" s="34"/>
      <c r="AE999" s="34"/>
      <c r="AF999" s="34"/>
      <c r="AG999" s="34"/>
      <c r="AH999" s="52"/>
      <c r="AI999" s="52"/>
      <c r="AK999" s="34"/>
      <c r="AL999" s="34"/>
      <c r="AM999" s="34"/>
      <c r="AN999" s="54"/>
      <c r="AO999" s="34"/>
      <c r="AP999" s="34"/>
      <c r="AQ999" s="54"/>
      <c r="AR999" s="54"/>
      <c r="AS999" s="54"/>
      <c r="AT999" s="54"/>
      <c r="AU999" s="34"/>
      <c r="AV999" s="34"/>
      <c r="AW999" s="34"/>
      <c r="AX999" s="34"/>
      <c r="AY999" s="34"/>
      <c r="AZ999" s="44"/>
      <c r="BA999" s="34"/>
      <c r="BB999" s="34"/>
    </row>
    <row r="1000" spans="1:54" x14ac:dyDescent="0.35" ht="15.0" customHeight="true">
      <c r="A1000" s="51"/>
      <c r="B1000" s="34"/>
      <c r="C1000" s="34"/>
      <c r="D1000" s="34"/>
      <c r="E1000" s="34"/>
      <c r="F1000" s="34"/>
      <c r="G1000" s="44"/>
      <c r="H1000" s="34"/>
      <c r="I1000" s="54"/>
      <c r="J1000" s="34"/>
      <c r="K1000" s="54"/>
      <c r="L1000" s="34"/>
      <c r="M1000" s="44"/>
      <c r="N1000" s="44"/>
      <c r="O1000" s="34"/>
      <c r="P1000" s="34"/>
      <c r="Q1000" s="34"/>
      <c r="R1000" s="34"/>
      <c r="U1000" s="44"/>
      <c r="W1000" s="95"/>
      <c r="X1000" s="54"/>
      <c r="Y1000" s="54"/>
      <c r="Z1000" s="34"/>
      <c r="AA1000" s="34"/>
      <c r="AB1000" s="34"/>
      <c r="AC1000" s="34"/>
      <c r="AD1000" s="34"/>
      <c r="AE1000" s="34"/>
      <c r="AF1000" s="34"/>
      <c r="AG1000" s="34"/>
      <c r="AH1000" s="52"/>
      <c r="AI1000" s="52"/>
      <c r="AK1000" s="34"/>
      <c r="AL1000" s="34"/>
      <c r="AM1000" s="34"/>
      <c r="AN1000" s="54"/>
      <c r="AO1000" s="34"/>
      <c r="AP1000" s="34"/>
      <c r="AQ1000" s="54"/>
      <c r="AR1000" s="54"/>
      <c r="AS1000" s="54"/>
      <c r="AT1000" s="54"/>
      <c r="AU1000" s="34"/>
      <c r="AV1000" s="34"/>
      <c r="AW1000" s="34"/>
      <c r="AX1000" s="34"/>
      <c r="AY1000" s="34"/>
      <c r="AZ1000" s="44"/>
      <c r="BA1000" s="34"/>
      <c r="BB1000" s="34"/>
    </row>
    <row r="1001" spans="1:54" x14ac:dyDescent="0.35" ht="15.0" customHeight="true">
      <c r="A1001" s="51"/>
      <c r="B1001" s="34"/>
      <c r="C1001" s="34"/>
      <c r="D1001" s="34"/>
      <c r="E1001" s="34"/>
      <c r="F1001" s="34"/>
      <c r="G1001" s="44"/>
      <c r="H1001" s="34"/>
      <c r="I1001" s="54"/>
      <c r="J1001" s="34"/>
      <c r="K1001" s="54"/>
      <c r="L1001" s="34"/>
      <c r="M1001" s="44"/>
      <c r="N1001" s="44"/>
      <c r="O1001" s="34"/>
      <c r="P1001" s="34"/>
      <c r="Q1001" s="34"/>
      <c r="R1001" s="34"/>
      <c r="U1001" s="44"/>
      <c r="W1001" s="95"/>
      <c r="X1001" s="54"/>
      <c r="Y1001" s="54"/>
      <c r="Z1001" s="34"/>
      <c r="AA1001" s="34"/>
      <c r="AB1001" s="34"/>
      <c r="AC1001" s="34"/>
      <c r="AD1001" s="34"/>
      <c r="AE1001" s="34"/>
      <c r="AF1001" s="34"/>
      <c r="AG1001" s="34"/>
      <c r="AH1001" s="52"/>
      <c r="AI1001" s="52"/>
      <c r="AK1001" s="34"/>
      <c r="AL1001" s="34"/>
      <c r="AM1001" s="34"/>
      <c r="AN1001" s="54"/>
      <c r="AO1001" s="34"/>
      <c r="AP1001" s="34"/>
      <c r="AQ1001" s="54"/>
      <c r="AR1001" s="54"/>
      <c r="AS1001" s="54"/>
      <c r="AT1001" s="54"/>
      <c r="AU1001" s="34"/>
      <c r="AV1001" s="34"/>
      <c r="AW1001" s="34"/>
      <c r="AX1001" s="34"/>
      <c r="AY1001" s="34"/>
      <c r="AZ1001" s="44"/>
      <c r="BA1001" s="34"/>
      <c r="BB1001" s="34"/>
    </row>
    <row r="1002" spans="1:54" x14ac:dyDescent="0.35" ht="15.0" customHeight="true">
      <c r="A1002" s="51"/>
      <c r="B1002" s="34"/>
      <c r="C1002" s="34"/>
      <c r="D1002" s="34"/>
      <c r="E1002" s="34"/>
      <c r="F1002" s="34"/>
      <c r="G1002" s="44"/>
      <c r="H1002" s="34"/>
      <c r="I1002" s="54"/>
      <c r="J1002" s="34"/>
      <c r="K1002" s="54"/>
      <c r="L1002" s="34"/>
      <c r="M1002" s="44"/>
      <c r="N1002" s="44"/>
      <c r="O1002" s="34"/>
      <c r="P1002" s="34"/>
      <c r="Q1002" s="34"/>
      <c r="R1002" s="34"/>
      <c r="U1002" s="44"/>
      <c r="W1002" s="95"/>
      <c r="X1002" s="54"/>
      <c r="Y1002" s="54"/>
      <c r="Z1002" s="34"/>
      <c r="AA1002" s="34"/>
      <c r="AB1002" s="34"/>
      <c r="AC1002" s="34"/>
      <c r="AD1002" s="34"/>
      <c r="AE1002" s="34"/>
      <c r="AF1002" s="34"/>
      <c r="AG1002" s="34"/>
      <c r="AH1002" s="52"/>
      <c r="AI1002" s="52"/>
      <c r="AK1002" s="34"/>
      <c r="AL1002" s="34"/>
      <c r="AM1002" s="34"/>
      <c r="AN1002" s="54"/>
      <c r="AO1002" s="34"/>
      <c r="AP1002" s="34"/>
      <c r="AQ1002" s="54"/>
      <c r="AR1002" s="54"/>
      <c r="AS1002" s="54"/>
      <c r="AT1002" s="54"/>
      <c r="AU1002" s="34"/>
      <c r="AV1002" s="34"/>
      <c r="AW1002" s="34"/>
      <c r="AX1002" s="34"/>
      <c r="AY1002" s="34"/>
      <c r="AZ1002" s="44"/>
      <c r="BA1002" s="34"/>
      <c r="BB1002" s="34"/>
    </row>
    <row r="1003" spans="1:54" x14ac:dyDescent="0.35" ht="15.0" customHeight="true">
      <c r="A1003" s="51"/>
      <c r="B1003" s="34"/>
      <c r="C1003" s="34"/>
      <c r="D1003" s="34"/>
      <c r="E1003" s="34"/>
      <c r="F1003" s="34"/>
      <c r="G1003" s="44"/>
      <c r="H1003" s="34"/>
      <c r="I1003" s="54"/>
      <c r="J1003" s="34"/>
      <c r="K1003" s="54"/>
      <c r="L1003" s="34"/>
      <c r="M1003" s="44"/>
      <c r="N1003" s="44"/>
      <c r="O1003" s="34"/>
      <c r="P1003" s="34"/>
      <c r="Q1003" s="34"/>
      <c r="R1003" s="34"/>
      <c r="U1003" s="44"/>
      <c r="W1003" s="95"/>
      <c r="X1003" s="54"/>
      <c r="Y1003" s="54"/>
      <c r="Z1003" s="34"/>
      <c r="AA1003" s="34"/>
      <c r="AB1003" s="34"/>
      <c r="AC1003" s="34"/>
      <c r="AD1003" s="34"/>
      <c r="AE1003" s="34"/>
      <c r="AF1003" s="34"/>
      <c r="AG1003" s="34"/>
      <c r="AH1003" s="52"/>
      <c r="AI1003" s="52"/>
      <c r="AK1003" s="34"/>
      <c r="AL1003" s="34"/>
      <c r="AM1003" s="34"/>
      <c r="AN1003" s="54"/>
      <c r="AO1003" s="34"/>
      <c r="AP1003" s="34"/>
      <c r="AQ1003" s="54"/>
      <c r="AR1003" s="54"/>
      <c r="AS1003" s="54"/>
      <c r="AT1003" s="54"/>
      <c r="AU1003" s="34"/>
      <c r="AV1003" s="34"/>
      <c r="AW1003" s="34"/>
      <c r="AX1003" s="34"/>
      <c r="AY1003" s="34"/>
      <c r="AZ1003" s="44"/>
      <c r="BA1003" s="34"/>
      <c r="BB1003" s="34"/>
    </row>
    <row r="1004" spans="1:54" x14ac:dyDescent="0.35" ht="15.0" customHeight="true">
      <c r="A1004" s="51"/>
      <c r="B1004" s="34"/>
      <c r="C1004" s="34"/>
      <c r="D1004" s="34"/>
      <c r="E1004" s="34"/>
      <c r="F1004" s="34"/>
      <c r="G1004" s="44"/>
      <c r="H1004" s="34"/>
      <c r="I1004" s="54"/>
      <c r="J1004" s="34"/>
      <c r="K1004" s="54"/>
      <c r="L1004" s="34"/>
      <c r="M1004" s="44"/>
      <c r="N1004" s="44"/>
      <c r="O1004" s="34"/>
      <c r="P1004" s="34"/>
      <c r="Q1004" s="34"/>
      <c r="R1004" s="34"/>
      <c r="U1004" s="44"/>
      <c r="W1004" s="95"/>
      <c r="X1004" s="54"/>
      <c r="Y1004" s="54"/>
      <c r="Z1004" s="34"/>
      <c r="AA1004" s="34"/>
      <c r="AB1004" s="34"/>
      <c r="AC1004" s="34"/>
      <c r="AD1004" s="34"/>
      <c r="AE1004" s="34"/>
      <c r="AF1004" s="34"/>
      <c r="AG1004" s="34"/>
      <c r="AH1004" s="52"/>
      <c r="AI1004" s="52"/>
      <c r="AK1004" s="34"/>
      <c r="AL1004" s="34"/>
      <c r="AM1004" s="34"/>
      <c r="AN1004" s="54"/>
      <c r="AO1004" s="34"/>
      <c r="AP1004" s="34"/>
      <c r="AQ1004" s="54"/>
      <c r="AR1004" s="54"/>
      <c r="AS1004" s="54"/>
      <c r="AT1004" s="54"/>
      <c r="AU1004" s="34"/>
      <c r="AV1004" s="34"/>
      <c r="AW1004" s="34"/>
      <c r="AX1004" s="34"/>
      <c r="AY1004" s="34"/>
      <c r="AZ1004" s="44"/>
      <c r="BA1004" s="34"/>
      <c r="BB1004" s="34"/>
    </row>
    <row r="1005" spans="1:54" x14ac:dyDescent="0.35" ht="15.0" customHeight="true">
      <c r="A1005" s="51"/>
      <c r="B1005" s="34"/>
      <c r="C1005" s="34"/>
      <c r="D1005" s="34"/>
      <c r="E1005" s="34"/>
      <c r="F1005" s="34"/>
      <c r="G1005" s="44"/>
      <c r="H1005" s="34"/>
      <c r="I1005" s="54"/>
      <c r="J1005" s="34"/>
      <c r="K1005" s="54"/>
      <c r="L1005" s="34"/>
      <c r="M1005" s="44"/>
      <c r="N1005" s="44"/>
      <c r="O1005" s="34"/>
      <c r="P1005" s="34"/>
      <c r="Q1005" s="34"/>
      <c r="R1005" s="34"/>
      <c r="U1005" s="44"/>
      <c r="W1005" s="95"/>
      <c r="X1005" s="54"/>
      <c r="Y1005" s="54"/>
      <c r="Z1005" s="34"/>
      <c r="AA1005" s="34"/>
      <c r="AB1005" s="34"/>
      <c r="AC1005" s="34"/>
      <c r="AD1005" s="34"/>
      <c r="AE1005" s="34"/>
      <c r="AF1005" s="34"/>
      <c r="AG1005" s="34"/>
      <c r="AH1005" s="52"/>
      <c r="AI1005" s="52"/>
      <c r="AK1005" s="34"/>
      <c r="AL1005" s="34"/>
      <c r="AM1005" s="34"/>
      <c r="AN1005" s="54"/>
      <c r="AO1005" s="34"/>
      <c r="AP1005" s="34"/>
      <c r="AQ1005" s="54"/>
      <c r="AR1005" s="54"/>
      <c r="AS1005" s="54"/>
      <c r="AT1005" s="54"/>
      <c r="AU1005" s="34"/>
      <c r="AV1005" s="34"/>
      <c r="AW1005" s="34"/>
      <c r="AX1005" s="34"/>
      <c r="AY1005" s="34"/>
      <c r="AZ1005" s="44"/>
      <c r="BA1005" s="34"/>
      <c r="BB1005" s="34"/>
    </row>
    <row r="1006" spans="1:54" x14ac:dyDescent="0.35" ht="15.0" customHeight="true">
      <c r="A1006" s="51"/>
      <c r="B1006" s="34"/>
      <c r="C1006" s="34"/>
      <c r="D1006" s="34"/>
      <c r="E1006" s="34"/>
      <c r="F1006" s="34"/>
      <c r="G1006" s="44"/>
      <c r="H1006" s="34"/>
      <c r="I1006" s="54"/>
      <c r="J1006" s="34"/>
      <c r="K1006" s="54"/>
      <c r="L1006" s="34"/>
      <c r="M1006" s="44"/>
      <c r="N1006" s="44"/>
      <c r="O1006" s="34"/>
      <c r="P1006" s="34"/>
      <c r="Q1006" s="34"/>
      <c r="R1006" s="34"/>
      <c r="U1006" s="44"/>
      <c r="W1006" s="95"/>
      <c r="X1006" s="54"/>
      <c r="Y1006" s="54"/>
      <c r="Z1006" s="34"/>
      <c r="AA1006" s="34"/>
      <c r="AB1006" s="34"/>
      <c r="AC1006" s="34"/>
      <c r="AD1006" s="34"/>
      <c r="AE1006" s="34"/>
      <c r="AF1006" s="34"/>
      <c r="AG1006" s="34"/>
      <c r="AH1006" s="52"/>
      <c r="AI1006" s="52"/>
      <c r="AK1006" s="34"/>
      <c r="AL1006" s="34"/>
      <c r="AM1006" s="34"/>
      <c r="AN1006" s="54"/>
      <c r="AO1006" s="34"/>
      <c r="AP1006" s="34"/>
      <c r="AQ1006" s="54"/>
      <c r="AR1006" s="54"/>
      <c r="AS1006" s="54"/>
      <c r="AT1006" s="54"/>
      <c r="AU1006" s="34"/>
      <c r="AV1006" s="34"/>
      <c r="AW1006" s="34"/>
      <c r="AX1006" s="34"/>
      <c r="AY1006" s="34"/>
      <c r="AZ1006" s="44"/>
      <c r="BA1006" s="34"/>
      <c r="BB1006" s="34"/>
    </row>
    <row r="1007" spans="1:54" x14ac:dyDescent="0.35" ht="15.0" customHeight="true">
      <c r="A1007" s="51"/>
      <c r="B1007" s="34"/>
      <c r="C1007" s="34"/>
      <c r="D1007" s="34"/>
      <c r="E1007" s="34"/>
      <c r="F1007" s="34"/>
      <c r="G1007" s="44"/>
      <c r="H1007" s="34"/>
      <c r="I1007" s="54"/>
      <c r="J1007" s="34"/>
      <c r="K1007" s="54"/>
      <c r="L1007" s="34"/>
      <c r="M1007" s="44"/>
      <c r="N1007" s="44"/>
      <c r="O1007" s="34"/>
      <c r="P1007" s="34"/>
      <c r="Q1007" s="34"/>
      <c r="R1007" s="34"/>
      <c r="U1007" s="44"/>
      <c r="W1007" s="95"/>
      <c r="X1007" s="54"/>
      <c r="Y1007" s="54"/>
      <c r="Z1007" s="34"/>
      <c r="AA1007" s="34"/>
      <c r="AB1007" s="34"/>
      <c r="AC1007" s="34"/>
      <c r="AD1007" s="34"/>
      <c r="AE1007" s="34"/>
      <c r="AF1007" s="34"/>
      <c r="AG1007" s="34"/>
      <c r="AH1007" s="52"/>
      <c r="AI1007" s="52"/>
      <c r="AK1007" s="34"/>
      <c r="AL1007" s="34"/>
      <c r="AM1007" s="34"/>
      <c r="AN1007" s="54"/>
      <c r="AO1007" s="34"/>
      <c r="AP1007" s="34"/>
      <c r="AQ1007" s="54"/>
      <c r="AR1007" s="54"/>
      <c r="AS1007" s="54"/>
      <c r="AT1007" s="54"/>
      <c r="AU1007" s="34"/>
      <c r="AV1007" s="34"/>
      <c r="AW1007" s="34"/>
      <c r="AX1007" s="34"/>
      <c r="AY1007" s="34"/>
      <c r="AZ1007" s="44"/>
      <c r="BA1007" s="34"/>
      <c r="BB1007" s="34"/>
    </row>
    <row r="1008" spans="1:54" x14ac:dyDescent="0.35" ht="15.0" customHeight="true">
      <c r="A1008" s="51"/>
      <c r="B1008" s="34"/>
      <c r="C1008" s="34"/>
      <c r="D1008" s="34"/>
      <c r="E1008" s="34"/>
      <c r="F1008" s="34"/>
      <c r="G1008" s="44"/>
      <c r="H1008" s="34"/>
      <c r="I1008" s="54"/>
      <c r="J1008" s="34"/>
      <c r="K1008" s="54"/>
      <c r="L1008" s="34"/>
      <c r="M1008" s="44"/>
      <c r="N1008" s="44"/>
      <c r="O1008" s="34"/>
      <c r="P1008" s="34"/>
      <c r="Q1008" s="34"/>
      <c r="R1008" s="34"/>
      <c r="U1008" s="44"/>
      <c r="W1008" s="95"/>
      <c r="X1008" s="54"/>
      <c r="Y1008" s="54"/>
      <c r="Z1008" s="34"/>
      <c r="AA1008" s="34"/>
      <c r="AB1008" s="34"/>
      <c r="AC1008" s="34"/>
      <c r="AD1008" s="34"/>
      <c r="AE1008" s="34"/>
      <c r="AF1008" s="34"/>
      <c r="AG1008" s="34"/>
      <c r="AH1008" s="52"/>
      <c r="AI1008" s="52"/>
      <c r="AK1008" s="34"/>
      <c r="AL1008" s="34"/>
      <c r="AM1008" s="34"/>
      <c r="AN1008" s="54"/>
      <c r="AO1008" s="34"/>
      <c r="AP1008" s="34"/>
      <c r="AQ1008" s="54"/>
      <c r="AR1008" s="54"/>
      <c r="AS1008" s="54"/>
      <c r="AT1008" s="54"/>
      <c r="AU1008" s="34"/>
      <c r="AV1008" s="34"/>
      <c r="AW1008" s="34"/>
      <c r="AX1008" s="34"/>
      <c r="AY1008" s="34"/>
      <c r="AZ1008" s="44"/>
      <c r="BA1008" s="34"/>
      <c r="BB1008" s="34"/>
    </row>
    <row r="1009" spans="1:54" x14ac:dyDescent="0.35" ht="15.0" customHeight="true">
      <c r="A1009" s="51"/>
      <c r="B1009" s="34"/>
      <c r="C1009" s="34"/>
      <c r="D1009" s="34"/>
      <c r="E1009" s="34"/>
      <c r="F1009" s="34"/>
      <c r="G1009" s="44"/>
      <c r="H1009" s="34"/>
      <c r="I1009" s="54"/>
      <c r="J1009" s="34"/>
      <c r="K1009" s="54"/>
      <c r="L1009" s="34"/>
      <c r="M1009" s="44"/>
      <c r="N1009" s="44"/>
      <c r="O1009" s="34"/>
      <c r="P1009" s="34"/>
      <c r="Q1009" s="34"/>
      <c r="R1009" s="34"/>
      <c r="U1009" s="44"/>
      <c r="W1009" s="95"/>
      <c r="X1009" s="54"/>
      <c r="Y1009" s="54"/>
      <c r="Z1009" s="34"/>
      <c r="AA1009" s="34"/>
      <c r="AB1009" s="34"/>
      <c r="AC1009" s="34"/>
      <c r="AD1009" s="34"/>
      <c r="AE1009" s="34"/>
      <c r="AF1009" s="34"/>
      <c r="AG1009" s="34"/>
      <c r="AH1009" s="52"/>
      <c r="AI1009" s="52"/>
      <c r="AK1009" s="34"/>
      <c r="AL1009" s="34"/>
      <c r="AM1009" s="34"/>
      <c r="AN1009" s="54"/>
      <c r="AO1009" s="34"/>
      <c r="AP1009" s="34"/>
      <c r="AQ1009" s="54"/>
      <c r="AR1009" s="54"/>
      <c r="AS1009" s="54"/>
      <c r="AT1009" s="54"/>
      <c r="AU1009" s="34"/>
      <c r="AV1009" s="34"/>
      <c r="AW1009" s="34"/>
      <c r="AX1009" s="34"/>
      <c r="AY1009" s="34"/>
      <c r="AZ1009" s="44"/>
      <c r="BA1009" s="34"/>
      <c r="BB1009" s="34"/>
    </row>
    <row r="1010" spans="1:54" x14ac:dyDescent="0.35" ht="15.0" customHeight="true">
      <c r="A1010" s="51"/>
      <c r="B1010" s="34"/>
      <c r="C1010" s="34"/>
      <c r="D1010" s="34"/>
      <c r="E1010" s="34"/>
      <c r="F1010" s="34"/>
      <c r="G1010" s="44"/>
      <c r="H1010" s="34"/>
      <c r="I1010" s="54"/>
      <c r="J1010" s="34"/>
      <c r="K1010" s="54"/>
      <c r="L1010" s="34"/>
      <c r="M1010" s="44"/>
      <c r="N1010" s="44"/>
      <c r="O1010" s="34"/>
      <c r="P1010" s="34"/>
      <c r="Q1010" s="34"/>
      <c r="R1010" s="34"/>
      <c r="U1010" s="44"/>
      <c r="W1010" s="95"/>
      <c r="X1010" s="54"/>
      <c r="Y1010" s="54"/>
      <c r="Z1010" s="34"/>
      <c r="AA1010" s="34"/>
      <c r="AB1010" s="34"/>
      <c r="AC1010" s="34"/>
      <c r="AD1010" s="34"/>
      <c r="AE1010" s="34"/>
      <c r="AF1010" s="34"/>
      <c r="AG1010" s="34"/>
      <c r="AH1010" s="52"/>
      <c r="AI1010" s="52"/>
      <c r="AK1010" s="34"/>
      <c r="AL1010" s="34"/>
      <c r="AM1010" s="34"/>
      <c r="AN1010" s="54"/>
      <c r="AO1010" s="34"/>
      <c r="AP1010" s="34"/>
      <c r="AQ1010" s="54"/>
      <c r="AR1010" s="54"/>
      <c r="AS1010" s="54"/>
      <c r="AT1010" s="54"/>
      <c r="AU1010" s="34"/>
      <c r="AV1010" s="34"/>
      <c r="AW1010" s="34"/>
      <c r="AX1010" s="34"/>
      <c r="AY1010" s="34"/>
      <c r="AZ1010" s="44"/>
      <c r="BA1010" s="34"/>
      <c r="BB1010" s="34"/>
    </row>
    <row r="1011" spans="1:54" x14ac:dyDescent="0.35" ht="15.0" customHeight="true">
      <c r="A1011" s="51"/>
      <c r="B1011" s="34"/>
      <c r="C1011" s="34"/>
      <c r="D1011" s="34"/>
      <c r="E1011" s="34"/>
      <c r="F1011" s="34"/>
      <c r="G1011" s="44"/>
      <c r="H1011" s="34"/>
      <c r="I1011" s="54"/>
      <c r="J1011" s="34"/>
      <c r="K1011" s="54"/>
      <c r="L1011" s="34"/>
      <c r="M1011" s="44"/>
      <c r="N1011" s="44"/>
      <c r="O1011" s="34"/>
      <c r="P1011" s="34"/>
      <c r="Q1011" s="34"/>
      <c r="R1011" s="34"/>
      <c r="U1011" s="44"/>
      <c r="W1011" s="95"/>
      <c r="X1011" s="54"/>
      <c r="Y1011" s="54"/>
      <c r="Z1011" s="34"/>
      <c r="AA1011" s="34"/>
      <c r="AB1011" s="34"/>
      <c r="AC1011" s="34"/>
      <c r="AD1011" s="34"/>
      <c r="AE1011" s="34"/>
      <c r="AF1011" s="34"/>
      <c r="AG1011" s="34"/>
      <c r="AH1011" s="52"/>
      <c r="AI1011" s="52"/>
      <c r="AK1011" s="34"/>
      <c r="AL1011" s="34"/>
      <c r="AM1011" s="34"/>
      <c r="AN1011" s="54"/>
      <c r="AO1011" s="34"/>
      <c r="AP1011" s="34"/>
      <c r="AQ1011" s="54"/>
      <c r="AR1011" s="54"/>
      <c r="AS1011" s="54"/>
      <c r="AT1011" s="54"/>
      <c r="AU1011" s="34"/>
      <c r="AV1011" s="34"/>
      <c r="AW1011" s="34"/>
      <c r="AX1011" s="34"/>
      <c r="AY1011" s="34"/>
      <c r="AZ1011" s="44"/>
      <c r="BA1011" s="34"/>
      <c r="BB1011" s="34"/>
    </row>
    <row r="1012" spans="1:54" x14ac:dyDescent="0.35" ht="15.0" customHeight="true">
      <c r="A1012" s="51"/>
      <c r="B1012" s="34"/>
      <c r="C1012" s="34"/>
      <c r="D1012" s="34"/>
      <c r="E1012" s="34"/>
      <c r="F1012" s="34"/>
      <c r="G1012" s="44"/>
      <c r="H1012" s="34"/>
      <c r="I1012" s="54"/>
      <c r="J1012" s="34"/>
      <c r="K1012" s="54"/>
      <c r="L1012" s="34"/>
      <c r="M1012" s="44"/>
      <c r="N1012" s="44"/>
      <c r="O1012" s="34"/>
      <c r="P1012" s="34"/>
      <c r="Q1012" s="34"/>
      <c r="R1012" s="34"/>
      <c r="U1012" s="44"/>
      <c r="W1012" s="95"/>
      <c r="X1012" s="54"/>
      <c r="Y1012" s="54"/>
      <c r="Z1012" s="34"/>
      <c r="AA1012" s="34"/>
      <c r="AB1012" s="34"/>
      <c r="AC1012" s="34"/>
      <c r="AD1012" s="34"/>
      <c r="AE1012" s="34"/>
      <c r="AF1012" s="34"/>
      <c r="AG1012" s="34"/>
      <c r="AH1012" s="52"/>
      <c r="AI1012" s="52"/>
      <c r="AK1012" s="34"/>
      <c r="AL1012" s="34"/>
      <c r="AM1012" s="34"/>
      <c r="AN1012" s="54"/>
      <c r="AO1012" s="34"/>
      <c r="AP1012" s="34"/>
      <c r="AQ1012" s="54"/>
      <c r="AR1012" s="54"/>
      <c r="AS1012" s="54"/>
      <c r="AT1012" s="54"/>
      <c r="AU1012" s="34"/>
      <c r="AV1012" s="34"/>
      <c r="AW1012" s="34"/>
      <c r="AX1012" s="34"/>
      <c r="AY1012" s="34"/>
      <c r="AZ1012" s="44"/>
      <c r="BA1012" s="34"/>
      <c r="BB1012" s="34"/>
    </row>
    <row r="1013" spans="1:54" x14ac:dyDescent="0.35" ht="15.0" customHeight="true">
      <c r="A1013" s="51"/>
      <c r="B1013" s="34"/>
      <c r="C1013" s="34"/>
      <c r="D1013" s="34"/>
      <c r="E1013" s="34"/>
      <c r="F1013" s="34"/>
      <c r="G1013" s="44"/>
      <c r="H1013" s="34"/>
      <c r="I1013" s="54"/>
      <c r="J1013" s="34"/>
      <c r="K1013" s="54"/>
      <c r="L1013" s="34"/>
      <c r="M1013" s="44"/>
      <c r="N1013" s="44"/>
      <c r="O1013" s="34"/>
      <c r="P1013" s="34"/>
      <c r="Q1013" s="34"/>
      <c r="R1013" s="34"/>
      <c r="U1013" s="44"/>
      <c r="W1013" s="95"/>
      <c r="X1013" s="54"/>
      <c r="Y1013" s="54"/>
      <c r="Z1013" s="34"/>
      <c r="AA1013" s="34"/>
      <c r="AB1013" s="34"/>
      <c r="AC1013" s="34"/>
      <c r="AD1013" s="34"/>
      <c r="AE1013" s="34"/>
      <c r="AF1013" s="34"/>
      <c r="AG1013" s="34"/>
      <c r="AH1013" s="52"/>
      <c r="AI1013" s="52"/>
      <c r="AK1013" s="34"/>
      <c r="AL1013" s="34"/>
      <c r="AM1013" s="34"/>
      <c r="AN1013" s="54"/>
      <c r="AO1013" s="34"/>
      <c r="AP1013" s="34"/>
      <c r="AQ1013" s="54"/>
      <c r="AR1013" s="54"/>
      <c r="AS1013" s="54"/>
      <c r="AT1013" s="54"/>
      <c r="AU1013" s="34"/>
      <c r="AV1013" s="34"/>
      <c r="AW1013" s="34"/>
      <c r="AX1013" s="34"/>
      <c r="AY1013" s="34"/>
      <c r="AZ1013" s="44"/>
      <c r="BA1013" s="34"/>
      <c r="BB1013" s="34"/>
    </row>
    <row r="1014" spans="1:54" x14ac:dyDescent="0.35" ht="15.0" customHeight="true">
      <c r="A1014" s="51"/>
      <c r="B1014" s="34"/>
      <c r="C1014" s="34"/>
      <c r="D1014" s="34"/>
      <c r="E1014" s="34"/>
      <c r="F1014" s="34"/>
      <c r="G1014" s="44"/>
      <c r="H1014" s="34"/>
      <c r="I1014" s="54"/>
      <c r="J1014" s="34"/>
      <c r="K1014" s="54"/>
      <c r="L1014" s="34"/>
      <c r="M1014" s="44"/>
      <c r="N1014" s="44"/>
      <c r="O1014" s="34"/>
      <c r="P1014" s="34"/>
      <c r="Q1014" s="34"/>
      <c r="R1014" s="34"/>
      <c r="U1014" s="44"/>
      <c r="W1014" s="95"/>
      <c r="X1014" s="54"/>
      <c r="Y1014" s="54"/>
      <c r="Z1014" s="34"/>
      <c r="AA1014" s="34"/>
      <c r="AB1014" s="34"/>
      <c r="AC1014" s="34"/>
      <c r="AD1014" s="34"/>
      <c r="AE1014" s="34"/>
      <c r="AF1014" s="34"/>
      <c r="AG1014" s="34"/>
      <c r="AH1014" s="52"/>
      <c r="AI1014" s="52"/>
      <c r="AK1014" s="34"/>
      <c r="AL1014" s="34"/>
      <c r="AM1014" s="34"/>
      <c r="AN1014" s="54"/>
      <c r="AO1014" s="34"/>
      <c r="AP1014" s="34"/>
      <c r="AQ1014" s="54"/>
      <c r="AR1014" s="54"/>
      <c r="AS1014" s="54"/>
      <c r="AT1014" s="54"/>
      <c r="AU1014" s="34"/>
      <c r="AV1014" s="34"/>
      <c r="AW1014" s="34"/>
      <c r="AX1014" s="34"/>
      <c r="AY1014" s="34"/>
      <c r="AZ1014" s="44"/>
      <c r="BA1014" s="34"/>
      <c r="BB1014" s="34"/>
    </row>
    <row r="1015" spans="1:54" x14ac:dyDescent="0.35" ht="15.0" customHeight="true">
      <c r="A1015" s="51"/>
      <c r="B1015" s="34"/>
      <c r="C1015" s="34"/>
      <c r="D1015" s="34"/>
      <c r="E1015" s="34"/>
      <c r="F1015" s="34"/>
      <c r="G1015" s="44"/>
      <c r="H1015" s="34"/>
      <c r="I1015" s="54"/>
      <c r="J1015" s="34"/>
      <c r="K1015" s="54"/>
      <c r="L1015" s="34"/>
      <c r="M1015" s="44"/>
      <c r="N1015" s="44"/>
      <c r="O1015" s="34"/>
      <c r="P1015" s="34"/>
      <c r="Q1015" s="34"/>
      <c r="R1015" s="34"/>
      <c r="U1015" s="44"/>
      <c r="W1015" s="95"/>
      <c r="X1015" s="54"/>
      <c r="Y1015" s="54"/>
      <c r="Z1015" s="34"/>
      <c r="AA1015" s="34"/>
      <c r="AB1015" s="34"/>
      <c r="AC1015" s="34"/>
      <c r="AD1015" s="34"/>
      <c r="AE1015" s="34"/>
      <c r="AF1015" s="34"/>
      <c r="AG1015" s="34"/>
      <c r="AH1015" s="52"/>
      <c r="AI1015" s="52"/>
      <c r="AK1015" s="34"/>
      <c r="AL1015" s="34"/>
      <c r="AM1015" s="34"/>
      <c r="AN1015" s="54"/>
      <c r="AO1015" s="34"/>
      <c r="AP1015" s="34"/>
      <c r="AQ1015" s="54"/>
      <c r="AR1015" s="54"/>
      <c r="AS1015" s="54"/>
      <c r="AT1015" s="54"/>
      <c r="AU1015" s="34"/>
      <c r="AV1015" s="34"/>
      <c r="AW1015" s="34"/>
      <c r="AX1015" s="34"/>
      <c r="AY1015" s="34"/>
      <c r="AZ1015" s="44"/>
      <c r="BA1015" s="34"/>
      <c r="BB1015" s="34"/>
    </row>
    <row r="1016" spans="1:54" x14ac:dyDescent="0.35" ht="15.0" customHeight="true">
      <c r="A1016" s="51"/>
      <c r="B1016" s="34"/>
      <c r="C1016" s="34"/>
      <c r="D1016" s="34"/>
      <c r="E1016" s="34"/>
      <c r="F1016" s="34"/>
      <c r="G1016" s="44"/>
      <c r="H1016" s="34"/>
      <c r="I1016" s="54"/>
      <c r="J1016" s="34"/>
      <c r="K1016" s="54"/>
      <c r="L1016" s="34"/>
      <c r="M1016" s="44"/>
      <c r="N1016" s="44"/>
      <c r="O1016" s="34"/>
      <c r="P1016" s="34"/>
      <c r="Q1016" s="34"/>
      <c r="R1016" s="34"/>
      <c r="U1016" s="44"/>
      <c r="W1016" s="95"/>
      <c r="X1016" s="54"/>
      <c r="Y1016" s="54"/>
      <c r="Z1016" s="34"/>
      <c r="AA1016" s="34"/>
      <c r="AB1016" s="34"/>
      <c r="AC1016" s="34"/>
      <c r="AD1016" s="34"/>
      <c r="AE1016" s="34"/>
      <c r="AF1016" s="34"/>
      <c r="AG1016" s="34"/>
      <c r="AH1016" s="52"/>
      <c r="AI1016" s="52"/>
      <c r="AK1016" s="34"/>
      <c r="AL1016" s="34"/>
      <c r="AM1016" s="34"/>
      <c r="AN1016" s="54"/>
      <c r="AO1016" s="34"/>
      <c r="AP1016" s="34"/>
      <c r="AQ1016" s="54"/>
      <c r="AR1016" s="54"/>
      <c r="AS1016" s="54"/>
      <c r="AT1016" s="54"/>
      <c r="AU1016" s="34"/>
      <c r="AV1016" s="34"/>
      <c r="AW1016" s="34"/>
      <c r="AX1016" s="34"/>
      <c r="AY1016" s="34"/>
      <c r="AZ1016" s="44"/>
      <c r="BA1016" s="34"/>
      <c r="BB1016" s="34"/>
    </row>
    <row r="1017" spans="1:54" x14ac:dyDescent="0.35" ht="15.0" customHeight="true">
      <c r="A1017" s="51"/>
      <c r="B1017" s="34"/>
      <c r="C1017" s="34"/>
      <c r="D1017" s="34"/>
      <c r="E1017" s="34"/>
      <c r="F1017" s="34"/>
      <c r="G1017" s="44"/>
      <c r="H1017" s="34"/>
      <c r="I1017" s="54"/>
      <c r="J1017" s="34"/>
      <c r="K1017" s="54"/>
      <c r="L1017" s="34"/>
      <c r="M1017" s="44"/>
      <c r="N1017" s="44"/>
      <c r="O1017" s="34"/>
      <c r="P1017" s="34"/>
      <c r="Q1017" s="34"/>
      <c r="R1017" s="34"/>
      <c r="U1017" s="44"/>
      <c r="W1017" s="95"/>
      <c r="X1017" s="54"/>
      <c r="Y1017" s="54"/>
      <c r="Z1017" s="34"/>
      <c r="AA1017" s="34"/>
      <c r="AB1017" s="34"/>
      <c r="AC1017" s="34"/>
      <c r="AD1017" s="34"/>
      <c r="AE1017" s="34"/>
      <c r="AF1017" s="34"/>
      <c r="AG1017" s="34"/>
      <c r="AH1017" s="52"/>
      <c r="AI1017" s="52"/>
      <c r="AK1017" s="34"/>
      <c r="AL1017" s="34"/>
      <c r="AM1017" s="34"/>
      <c r="AN1017" s="54"/>
      <c r="AO1017" s="34"/>
      <c r="AP1017" s="34"/>
      <c r="AQ1017" s="54"/>
      <c r="AR1017" s="54"/>
      <c r="AS1017" s="54"/>
      <c r="AT1017" s="54"/>
      <c r="AU1017" s="34"/>
      <c r="AV1017" s="34"/>
      <c r="AW1017" s="34"/>
      <c r="AX1017" s="34"/>
      <c r="AY1017" s="34"/>
      <c r="AZ1017" s="44"/>
      <c r="BA1017" s="34"/>
      <c r="BB1017" s="34"/>
    </row>
    <row r="1018" spans="1:54" x14ac:dyDescent="0.35" ht="15.0" customHeight="true">
      <c r="A1018" s="51"/>
      <c r="B1018" s="34"/>
      <c r="C1018" s="34"/>
      <c r="D1018" s="34"/>
      <c r="E1018" s="34"/>
      <c r="F1018" s="34"/>
      <c r="G1018" s="44"/>
      <c r="H1018" s="34"/>
      <c r="I1018" s="54"/>
      <c r="J1018" s="34"/>
      <c r="K1018" s="54"/>
      <c r="L1018" s="34"/>
      <c r="M1018" s="44"/>
      <c r="N1018" s="44"/>
      <c r="O1018" s="34"/>
      <c r="P1018" s="34"/>
      <c r="Q1018" s="34"/>
      <c r="R1018" s="34"/>
      <c r="U1018" s="44"/>
      <c r="W1018" s="95"/>
      <c r="X1018" s="54"/>
      <c r="Y1018" s="54"/>
      <c r="Z1018" s="34"/>
      <c r="AA1018" s="34"/>
      <c r="AB1018" s="34"/>
      <c r="AC1018" s="34"/>
      <c r="AD1018" s="34"/>
      <c r="AE1018" s="34"/>
      <c r="AF1018" s="34"/>
      <c r="AG1018" s="34"/>
      <c r="AH1018" s="52"/>
      <c r="AI1018" s="52"/>
      <c r="AK1018" s="34"/>
      <c r="AL1018" s="34"/>
      <c r="AM1018" s="34"/>
      <c r="AN1018" s="54"/>
      <c r="AO1018" s="34"/>
      <c r="AP1018" s="34"/>
      <c r="AQ1018" s="54"/>
      <c r="AR1018" s="54"/>
      <c r="AS1018" s="54"/>
      <c r="AT1018" s="54"/>
      <c r="AU1018" s="34"/>
      <c r="AV1018" s="34"/>
      <c r="AW1018" s="34"/>
      <c r="AX1018" s="34"/>
      <c r="AY1018" s="34"/>
      <c r="AZ1018" s="44"/>
      <c r="BA1018" s="34"/>
      <c r="BB1018" s="34"/>
    </row>
    <row r="1019" spans="1:54" x14ac:dyDescent="0.35" ht="15.0" customHeight="true">
      <c r="A1019" s="51"/>
      <c r="B1019" s="34"/>
      <c r="C1019" s="34"/>
      <c r="D1019" s="34"/>
      <c r="E1019" s="34"/>
      <c r="F1019" s="34"/>
      <c r="G1019" s="44"/>
      <c r="H1019" s="34"/>
      <c r="I1019" s="54"/>
      <c r="J1019" s="34"/>
      <c r="K1019" s="54"/>
      <c r="L1019" s="34"/>
      <c r="M1019" s="44"/>
      <c r="N1019" s="44"/>
      <c r="O1019" s="34"/>
      <c r="P1019" s="34"/>
      <c r="Q1019" s="34"/>
      <c r="R1019" s="34"/>
      <c r="U1019" s="44"/>
      <c r="W1019" s="95"/>
      <c r="X1019" s="54"/>
      <c r="Y1019" s="54"/>
      <c r="Z1019" s="34"/>
      <c r="AA1019" s="34"/>
      <c r="AB1019" s="34"/>
      <c r="AC1019" s="34"/>
      <c r="AD1019" s="34"/>
      <c r="AE1019" s="34"/>
      <c r="AF1019" s="34"/>
      <c r="AG1019" s="34"/>
      <c r="AH1019" s="52"/>
      <c r="AI1019" s="52"/>
      <c r="AK1019" s="34"/>
      <c r="AL1019" s="34"/>
      <c r="AM1019" s="34"/>
      <c r="AN1019" s="54"/>
      <c r="AO1019" s="34"/>
      <c r="AP1019" s="34"/>
      <c r="AQ1019" s="54"/>
      <c r="AR1019" s="54"/>
      <c r="AS1019" s="54"/>
      <c r="AT1019" s="54"/>
      <c r="AU1019" s="34"/>
      <c r="AV1019" s="34"/>
      <c r="AW1019" s="34"/>
      <c r="AX1019" s="34"/>
      <c r="AY1019" s="34"/>
      <c r="AZ1019" s="44"/>
      <c r="BA1019" s="34"/>
      <c r="BB1019" s="34"/>
    </row>
    <row r="1020" spans="1:54" x14ac:dyDescent="0.35" ht="15.0" customHeight="true">
      <c r="A1020" s="51"/>
      <c r="B1020" s="34"/>
      <c r="C1020" s="34"/>
      <c r="D1020" s="34"/>
      <c r="E1020" s="34"/>
      <c r="F1020" s="34"/>
      <c r="G1020" s="44"/>
      <c r="H1020" s="34"/>
      <c r="I1020" s="54"/>
      <c r="J1020" s="34"/>
      <c r="K1020" s="54"/>
      <c r="L1020" s="34"/>
      <c r="M1020" s="44"/>
      <c r="N1020" s="44"/>
      <c r="O1020" s="34"/>
      <c r="P1020" s="34"/>
      <c r="Q1020" s="34"/>
      <c r="R1020" s="34"/>
      <c r="U1020" s="44"/>
      <c r="W1020" s="95"/>
      <c r="X1020" s="54"/>
      <c r="Y1020" s="54"/>
      <c r="Z1020" s="34"/>
      <c r="AA1020" s="34"/>
      <c r="AB1020" s="34"/>
      <c r="AC1020" s="34"/>
      <c r="AD1020" s="34"/>
      <c r="AE1020" s="34"/>
      <c r="AF1020" s="34"/>
      <c r="AG1020" s="34"/>
      <c r="AH1020" s="52"/>
      <c r="AI1020" s="52"/>
      <c r="AK1020" s="34"/>
      <c r="AL1020" s="34"/>
      <c r="AM1020" s="34"/>
      <c r="AN1020" s="54"/>
      <c r="AO1020" s="34"/>
      <c r="AP1020" s="34"/>
      <c r="AQ1020" s="54"/>
      <c r="AR1020" s="54"/>
      <c r="AS1020" s="54"/>
      <c r="AT1020" s="54"/>
      <c r="AU1020" s="34"/>
      <c r="AV1020" s="34"/>
      <c r="AW1020" s="34"/>
      <c r="AX1020" s="34"/>
      <c r="AY1020" s="34"/>
      <c r="AZ1020" s="44"/>
      <c r="BA1020" s="34"/>
      <c r="BB1020" s="34"/>
    </row>
    <row r="1021" spans="1:54" x14ac:dyDescent="0.35" ht="15.0" customHeight="true">
      <c r="A1021" s="51"/>
      <c r="B1021" s="34"/>
      <c r="C1021" s="34"/>
      <c r="D1021" s="34"/>
      <c r="E1021" s="34"/>
      <c r="F1021" s="34"/>
      <c r="G1021" s="44"/>
      <c r="H1021" s="34"/>
      <c r="I1021" s="54"/>
      <c r="J1021" s="34"/>
      <c r="K1021" s="54"/>
      <c r="L1021" s="34"/>
      <c r="M1021" s="44"/>
      <c r="N1021" s="44"/>
      <c r="O1021" s="34"/>
      <c r="P1021" s="34"/>
      <c r="Q1021" s="34"/>
      <c r="R1021" s="34"/>
      <c r="U1021" s="44"/>
      <c r="W1021" s="95"/>
      <c r="X1021" s="54"/>
      <c r="Y1021" s="54"/>
      <c r="Z1021" s="34"/>
      <c r="AA1021" s="34"/>
      <c r="AB1021" s="34"/>
      <c r="AC1021" s="34"/>
      <c r="AD1021" s="34"/>
      <c r="AE1021" s="34"/>
      <c r="AF1021" s="34"/>
      <c r="AG1021" s="34"/>
      <c r="AH1021" s="52"/>
      <c r="AI1021" s="52"/>
      <c r="AK1021" s="34"/>
      <c r="AL1021" s="34"/>
      <c r="AM1021" s="34"/>
      <c r="AN1021" s="54"/>
      <c r="AO1021" s="34"/>
      <c r="AP1021" s="34"/>
      <c r="AQ1021" s="54"/>
      <c r="AR1021" s="54"/>
      <c r="AS1021" s="54"/>
      <c r="AT1021" s="54"/>
      <c r="AU1021" s="34"/>
      <c r="AV1021" s="34"/>
      <c r="AW1021" s="34"/>
      <c r="AX1021" s="34"/>
      <c r="AY1021" s="34"/>
      <c r="AZ1021" s="44"/>
      <c r="BA1021" s="34"/>
      <c r="BB1021" s="34"/>
    </row>
    <row r="1022" spans="1:54" x14ac:dyDescent="0.35" ht="15.0" customHeight="true">
      <c r="A1022" s="51"/>
      <c r="B1022" s="34"/>
      <c r="C1022" s="34"/>
      <c r="D1022" s="34"/>
      <c r="E1022" s="34"/>
      <c r="F1022" s="34"/>
      <c r="G1022" s="44"/>
      <c r="H1022" s="34"/>
      <c r="I1022" s="54"/>
      <c r="J1022" s="34"/>
      <c r="K1022" s="54"/>
      <c r="L1022" s="34"/>
      <c r="M1022" s="44"/>
      <c r="N1022" s="44"/>
      <c r="O1022" s="34"/>
      <c r="P1022" s="34"/>
      <c r="Q1022" s="34"/>
      <c r="R1022" s="34"/>
      <c r="U1022" s="44"/>
      <c r="W1022" s="95"/>
      <c r="X1022" s="54"/>
      <c r="Y1022" s="54"/>
      <c r="Z1022" s="34"/>
      <c r="AA1022" s="34"/>
      <c r="AB1022" s="34"/>
      <c r="AC1022" s="34"/>
      <c r="AD1022" s="34"/>
      <c r="AE1022" s="34"/>
      <c r="AF1022" s="34"/>
      <c r="AG1022" s="34"/>
      <c r="AH1022" s="52"/>
      <c r="AI1022" s="52"/>
      <c r="AK1022" s="34"/>
      <c r="AL1022" s="34"/>
      <c r="AM1022" s="34"/>
      <c r="AN1022" s="54"/>
      <c r="AO1022" s="34"/>
      <c r="AP1022" s="34"/>
      <c r="AQ1022" s="54"/>
      <c r="AR1022" s="54"/>
      <c r="AS1022" s="54"/>
      <c r="AT1022" s="54"/>
      <c r="AU1022" s="34"/>
      <c r="AV1022" s="34"/>
      <c r="AW1022" s="34"/>
      <c r="AX1022" s="34"/>
      <c r="AY1022" s="34"/>
      <c r="AZ1022" s="44"/>
      <c r="BA1022" s="34"/>
      <c r="BB1022" s="34"/>
    </row>
    <row r="1023" spans="1:54" x14ac:dyDescent="0.35" ht="15.0" customHeight="true">
      <c r="A1023" s="51"/>
      <c r="B1023" s="34"/>
      <c r="C1023" s="34"/>
      <c r="D1023" s="34"/>
      <c r="E1023" s="34"/>
      <c r="F1023" s="34"/>
      <c r="G1023" s="44"/>
      <c r="H1023" s="34"/>
      <c r="I1023" s="54"/>
      <c r="J1023" s="34"/>
      <c r="K1023" s="54"/>
      <c r="L1023" s="34"/>
      <c r="M1023" s="44"/>
      <c r="N1023" s="44"/>
      <c r="O1023" s="34"/>
      <c r="P1023" s="34"/>
      <c r="Q1023" s="34"/>
      <c r="R1023" s="34"/>
      <c r="U1023" s="44"/>
      <c r="W1023" s="95"/>
      <c r="X1023" s="54"/>
      <c r="Y1023" s="54"/>
      <c r="Z1023" s="34"/>
      <c r="AA1023" s="34"/>
      <c r="AB1023" s="34"/>
      <c r="AC1023" s="34"/>
      <c r="AD1023" s="34"/>
      <c r="AE1023" s="34"/>
      <c r="AF1023" s="34"/>
      <c r="AG1023" s="34"/>
      <c r="AH1023" s="52"/>
      <c r="AI1023" s="52"/>
      <c r="AK1023" s="34"/>
      <c r="AL1023" s="34"/>
      <c r="AM1023" s="34"/>
      <c r="AN1023" s="54"/>
      <c r="AO1023" s="34"/>
      <c r="AP1023" s="34"/>
      <c r="AQ1023" s="54"/>
      <c r="AR1023" s="54"/>
      <c r="AS1023" s="54"/>
      <c r="AT1023" s="54"/>
      <c r="AU1023" s="34"/>
      <c r="AV1023" s="34"/>
      <c r="AW1023" s="34"/>
      <c r="AX1023" s="34"/>
      <c r="AY1023" s="34"/>
      <c r="AZ1023" s="44"/>
      <c r="BA1023" s="34"/>
      <c r="BB1023" s="34"/>
    </row>
    <row r="1024" spans="1:54" x14ac:dyDescent="0.35" ht="15.0" customHeight="true">
      <c r="A1024" s="51"/>
      <c r="B1024" s="34"/>
      <c r="C1024" s="34"/>
      <c r="D1024" s="34"/>
      <c r="E1024" s="34"/>
      <c r="F1024" s="34"/>
      <c r="G1024" s="44"/>
      <c r="H1024" s="34"/>
      <c r="I1024" s="54"/>
      <c r="J1024" s="34"/>
      <c r="K1024" s="54"/>
      <c r="L1024" s="34"/>
      <c r="M1024" s="44"/>
      <c r="N1024" s="44"/>
      <c r="O1024" s="34"/>
      <c r="P1024" s="34"/>
      <c r="Q1024" s="34"/>
      <c r="R1024" s="34"/>
      <c r="U1024" s="44"/>
      <c r="W1024" s="95"/>
      <c r="X1024" s="54"/>
      <c r="Y1024" s="54"/>
      <c r="Z1024" s="34"/>
      <c r="AA1024" s="34"/>
      <c r="AB1024" s="34"/>
      <c r="AC1024" s="34"/>
      <c r="AD1024" s="34"/>
      <c r="AE1024" s="34"/>
      <c r="AF1024" s="34"/>
      <c r="AG1024" s="34"/>
      <c r="AH1024" s="52"/>
      <c r="AI1024" s="52"/>
      <c r="AK1024" s="34"/>
      <c r="AL1024" s="34"/>
      <c r="AM1024" s="34"/>
      <c r="AN1024" s="54"/>
      <c r="AO1024" s="34"/>
      <c r="AP1024" s="34"/>
      <c r="AQ1024" s="54"/>
      <c r="AR1024" s="54"/>
      <c r="AS1024" s="54"/>
      <c r="AT1024" s="54"/>
      <c r="AU1024" s="34"/>
      <c r="AV1024" s="34"/>
      <c r="AW1024" s="34"/>
      <c r="AX1024" s="34"/>
      <c r="AY1024" s="34"/>
      <c r="AZ1024" s="44"/>
      <c r="BA1024" s="34"/>
      <c r="BB1024" s="34"/>
    </row>
    <row r="1025" spans="1:54" x14ac:dyDescent="0.35" ht="15.0" customHeight="true">
      <c r="A1025" s="51"/>
      <c r="B1025" s="34"/>
      <c r="C1025" s="34"/>
      <c r="D1025" s="34"/>
      <c r="E1025" s="34"/>
      <c r="F1025" s="34"/>
      <c r="G1025" s="44"/>
      <c r="H1025" s="34"/>
      <c r="I1025" s="54"/>
      <c r="J1025" s="34"/>
      <c r="K1025" s="54"/>
      <c r="L1025" s="34"/>
      <c r="M1025" s="44"/>
      <c r="N1025" s="44"/>
      <c r="O1025" s="34"/>
      <c r="P1025" s="34"/>
      <c r="Q1025" s="34"/>
      <c r="R1025" s="34"/>
      <c r="U1025" s="44"/>
      <c r="W1025" s="95"/>
      <c r="X1025" s="54"/>
      <c r="Y1025" s="54"/>
      <c r="Z1025" s="34"/>
      <c r="AA1025" s="34"/>
      <c r="AB1025" s="34"/>
      <c r="AC1025" s="34"/>
      <c r="AD1025" s="34"/>
      <c r="AE1025" s="34"/>
      <c r="AF1025" s="34"/>
      <c r="AG1025" s="34"/>
      <c r="AH1025" s="52"/>
      <c r="AI1025" s="52"/>
      <c r="AK1025" s="34"/>
      <c r="AL1025" s="34"/>
      <c r="AM1025" s="34"/>
      <c r="AN1025" s="54"/>
      <c r="AO1025" s="34"/>
      <c r="AP1025" s="34"/>
      <c r="AQ1025" s="54"/>
      <c r="AR1025" s="54"/>
      <c r="AS1025" s="54"/>
      <c r="AT1025" s="54"/>
      <c r="AU1025" s="34"/>
      <c r="AV1025" s="34"/>
      <c r="AW1025" s="34"/>
      <c r="AX1025" s="34"/>
      <c r="AY1025" s="34"/>
      <c r="AZ1025" s="44"/>
      <c r="BA1025" s="34"/>
      <c r="BB1025" s="34"/>
    </row>
    <row r="1026" spans="1:54" x14ac:dyDescent="0.35" ht="15.0" customHeight="true">
      <c r="A1026" s="51"/>
      <c r="B1026" s="34"/>
      <c r="C1026" s="34"/>
      <c r="D1026" s="34"/>
      <c r="E1026" s="34"/>
      <c r="F1026" s="34"/>
      <c r="G1026" s="44"/>
      <c r="H1026" s="34"/>
      <c r="I1026" s="54"/>
      <c r="J1026" s="34"/>
      <c r="K1026" s="54"/>
      <c r="L1026" s="34"/>
      <c r="M1026" s="44"/>
      <c r="N1026" s="44"/>
      <c r="O1026" s="34"/>
      <c r="P1026" s="34"/>
      <c r="Q1026" s="34"/>
      <c r="R1026" s="34"/>
      <c r="U1026" s="44"/>
      <c r="W1026" s="95"/>
      <c r="X1026" s="54"/>
      <c r="Y1026" s="54"/>
      <c r="Z1026" s="34"/>
      <c r="AA1026" s="34"/>
      <c r="AB1026" s="34"/>
      <c r="AC1026" s="34"/>
      <c r="AD1026" s="34"/>
      <c r="AE1026" s="34"/>
      <c r="AF1026" s="34"/>
      <c r="AG1026" s="34"/>
      <c r="AH1026" s="52"/>
      <c r="AI1026" s="52"/>
      <c r="AK1026" s="34"/>
      <c r="AL1026" s="34"/>
      <c r="AM1026" s="34"/>
      <c r="AN1026" s="54"/>
      <c r="AO1026" s="34"/>
      <c r="AP1026" s="34"/>
      <c r="AQ1026" s="54"/>
      <c r="AR1026" s="54"/>
      <c r="AS1026" s="54"/>
      <c r="AT1026" s="54"/>
      <c r="AU1026" s="34"/>
      <c r="AV1026" s="34"/>
      <c r="AW1026" s="34"/>
      <c r="AX1026" s="34"/>
      <c r="AY1026" s="34"/>
      <c r="AZ1026" s="44"/>
      <c r="BA1026" s="34"/>
      <c r="BB1026" s="34"/>
    </row>
    <row r="1027" spans="1:54" x14ac:dyDescent="0.35" ht="15.0" customHeight="true">
      <c r="A1027" s="51"/>
      <c r="B1027" s="34"/>
      <c r="C1027" s="34"/>
      <c r="D1027" s="34"/>
      <c r="E1027" s="34"/>
      <c r="F1027" s="34"/>
      <c r="G1027" s="44"/>
      <c r="H1027" s="34"/>
      <c r="I1027" s="54"/>
      <c r="J1027" s="34"/>
      <c r="K1027" s="54"/>
      <c r="L1027" s="34"/>
      <c r="M1027" s="44"/>
      <c r="N1027" s="44"/>
      <c r="O1027" s="34"/>
      <c r="P1027" s="34"/>
      <c r="Q1027" s="34"/>
      <c r="R1027" s="34"/>
      <c r="U1027" s="44"/>
      <c r="W1027" s="95"/>
      <c r="X1027" s="54"/>
      <c r="Y1027" s="54"/>
      <c r="Z1027" s="34"/>
      <c r="AA1027" s="34"/>
      <c r="AB1027" s="34"/>
      <c r="AC1027" s="34"/>
      <c r="AD1027" s="34"/>
      <c r="AE1027" s="34"/>
      <c r="AF1027" s="34"/>
      <c r="AG1027" s="34"/>
      <c r="AH1027" s="52"/>
      <c r="AI1027" s="52"/>
      <c r="AK1027" s="34"/>
      <c r="AL1027" s="34"/>
      <c r="AM1027" s="34"/>
      <c r="AN1027" s="54"/>
      <c r="AO1027" s="34"/>
      <c r="AP1027" s="34"/>
      <c r="AQ1027" s="54"/>
      <c r="AR1027" s="54"/>
      <c r="AS1027" s="54"/>
      <c r="AT1027" s="54"/>
      <c r="AU1027" s="34"/>
      <c r="AV1027" s="34"/>
      <c r="AW1027" s="34"/>
      <c r="AX1027" s="34"/>
      <c r="AY1027" s="34"/>
      <c r="AZ1027" s="44"/>
      <c r="BA1027" s="34"/>
      <c r="BB1027" s="34"/>
    </row>
    <row r="1028" spans="1:54" x14ac:dyDescent="0.35" ht="15.0" customHeight="true">
      <c r="A1028" s="51"/>
      <c r="B1028" s="34"/>
      <c r="C1028" s="34"/>
      <c r="D1028" s="34"/>
      <c r="E1028" s="34"/>
      <c r="F1028" s="34"/>
      <c r="G1028" s="44"/>
      <c r="H1028" s="34"/>
      <c r="I1028" s="54"/>
      <c r="J1028" s="34"/>
      <c r="K1028" s="54"/>
      <c r="L1028" s="34"/>
      <c r="M1028" s="44"/>
      <c r="N1028" s="44"/>
      <c r="O1028" s="34"/>
      <c r="P1028" s="34"/>
      <c r="Q1028" s="34"/>
      <c r="R1028" s="34"/>
      <c r="U1028" s="44"/>
      <c r="W1028" s="95"/>
      <c r="X1028" s="54"/>
      <c r="Y1028" s="54"/>
      <c r="Z1028" s="34"/>
      <c r="AA1028" s="34"/>
      <c r="AB1028" s="34"/>
      <c r="AC1028" s="34"/>
      <c r="AD1028" s="34"/>
      <c r="AE1028" s="34"/>
      <c r="AF1028" s="34"/>
      <c r="AG1028" s="34"/>
      <c r="AH1028" s="52"/>
      <c r="AI1028" s="52"/>
      <c r="AK1028" s="34"/>
      <c r="AL1028" s="34"/>
      <c r="AM1028" s="34"/>
      <c r="AN1028" s="54"/>
      <c r="AO1028" s="34"/>
      <c r="AP1028" s="34"/>
      <c r="AQ1028" s="54"/>
      <c r="AR1028" s="54"/>
      <c r="AS1028" s="54"/>
      <c r="AT1028" s="54"/>
      <c r="AU1028" s="34"/>
      <c r="AV1028" s="34"/>
      <c r="AW1028" s="34"/>
      <c r="AX1028" s="34"/>
      <c r="AY1028" s="34"/>
      <c r="AZ1028" s="44"/>
      <c r="BA1028" s="34"/>
      <c r="BB1028" s="34"/>
    </row>
    <row r="1029" spans="1:54" x14ac:dyDescent="0.35" ht="15.0" customHeight="true">
      <c r="A1029" s="51"/>
      <c r="B1029" s="34"/>
      <c r="C1029" s="34"/>
      <c r="D1029" s="34"/>
      <c r="E1029" s="34"/>
      <c r="F1029" s="34"/>
      <c r="G1029" s="44"/>
      <c r="H1029" s="34"/>
      <c r="I1029" s="54"/>
      <c r="J1029" s="34"/>
      <c r="K1029" s="54"/>
      <c r="L1029" s="34"/>
      <c r="M1029" s="44"/>
      <c r="N1029" s="44"/>
      <c r="O1029" s="34"/>
      <c r="P1029" s="34"/>
      <c r="Q1029" s="34"/>
      <c r="R1029" s="34"/>
      <c r="U1029" s="44"/>
      <c r="W1029" s="95"/>
      <c r="X1029" s="54"/>
      <c r="Y1029" s="54"/>
      <c r="Z1029" s="34"/>
      <c r="AA1029" s="34"/>
      <c r="AB1029" s="34"/>
      <c r="AC1029" s="34"/>
      <c r="AD1029" s="34"/>
      <c r="AE1029" s="34"/>
      <c r="AF1029" s="34"/>
      <c r="AG1029" s="34"/>
      <c r="AH1029" s="52"/>
      <c r="AI1029" s="52"/>
      <c r="AK1029" s="34"/>
      <c r="AL1029" s="34"/>
      <c r="AM1029" s="34"/>
      <c r="AN1029" s="54"/>
      <c r="AO1029" s="34"/>
      <c r="AP1029" s="34"/>
      <c r="AQ1029" s="54"/>
      <c r="AR1029" s="54"/>
      <c r="AS1029" s="54"/>
      <c r="AT1029" s="54"/>
      <c r="AU1029" s="34"/>
      <c r="AV1029" s="34"/>
      <c r="AW1029" s="34"/>
      <c r="AX1029" s="34"/>
      <c r="AY1029" s="34"/>
      <c r="AZ1029" s="44"/>
      <c r="BA1029" s="34"/>
      <c r="BB1029" s="34"/>
    </row>
    <row r="1030" spans="1:54" x14ac:dyDescent="0.35" ht="15.0" customHeight="true">
      <c r="A1030" s="51"/>
      <c r="B1030" s="34"/>
      <c r="C1030" s="34"/>
      <c r="D1030" s="34"/>
      <c r="E1030" s="34"/>
      <c r="F1030" s="34"/>
      <c r="G1030" s="44"/>
      <c r="H1030" s="34"/>
      <c r="I1030" s="54"/>
      <c r="J1030" s="34"/>
      <c r="K1030" s="54"/>
      <c r="L1030" s="34"/>
      <c r="M1030" s="44"/>
      <c r="N1030" s="44"/>
      <c r="O1030" s="34"/>
      <c r="P1030" s="34"/>
      <c r="Q1030" s="34"/>
      <c r="R1030" s="34"/>
      <c r="U1030" s="44"/>
      <c r="W1030" s="95"/>
      <c r="X1030" s="54"/>
      <c r="Y1030" s="54"/>
      <c r="Z1030" s="34"/>
      <c r="AA1030" s="34"/>
      <c r="AB1030" s="34"/>
      <c r="AC1030" s="34"/>
      <c r="AD1030" s="34"/>
      <c r="AE1030" s="34"/>
      <c r="AF1030" s="34"/>
      <c r="AG1030" s="34"/>
      <c r="AH1030" s="52"/>
      <c r="AI1030" s="52"/>
      <c r="AK1030" s="34"/>
      <c r="AL1030" s="34"/>
      <c r="AM1030" s="34"/>
      <c r="AN1030" s="54"/>
      <c r="AO1030" s="34"/>
      <c r="AP1030" s="34"/>
      <c r="AQ1030" s="54"/>
      <c r="AR1030" s="54"/>
      <c r="AS1030" s="54"/>
      <c r="AT1030" s="54"/>
      <c r="AU1030" s="34"/>
      <c r="AV1030" s="34"/>
      <c r="AW1030" s="34"/>
      <c r="AX1030" s="34"/>
      <c r="AY1030" s="34"/>
      <c r="AZ1030" s="44"/>
      <c r="BA1030" s="34"/>
      <c r="BB1030" s="34"/>
    </row>
    <row r="1031" spans="1:54" x14ac:dyDescent="0.35" ht="15.0" customHeight="true">
      <c r="A1031" s="51"/>
      <c r="B1031" s="34"/>
      <c r="C1031" s="34"/>
      <c r="D1031" s="34"/>
      <c r="E1031" s="34"/>
      <c r="F1031" s="34"/>
      <c r="G1031" s="44"/>
      <c r="H1031" s="34"/>
      <c r="I1031" s="54"/>
      <c r="J1031" s="34"/>
      <c r="K1031" s="54"/>
      <c r="L1031" s="34"/>
      <c r="M1031" s="44"/>
      <c r="N1031" s="44"/>
      <c r="O1031" s="34"/>
      <c r="P1031" s="34"/>
      <c r="Q1031" s="34"/>
      <c r="R1031" s="34"/>
      <c r="U1031" s="44"/>
      <c r="W1031" s="95"/>
      <c r="X1031" s="54"/>
      <c r="Y1031" s="54"/>
      <c r="Z1031" s="34"/>
      <c r="AA1031" s="34"/>
      <c r="AB1031" s="34"/>
      <c r="AC1031" s="34"/>
      <c r="AD1031" s="34"/>
      <c r="AE1031" s="34"/>
      <c r="AF1031" s="34"/>
      <c r="AG1031" s="34"/>
      <c r="AH1031" s="52"/>
      <c r="AI1031" s="52"/>
      <c r="AK1031" s="34"/>
      <c r="AL1031" s="34"/>
      <c r="AM1031" s="34"/>
      <c r="AN1031" s="54"/>
      <c r="AO1031" s="34"/>
      <c r="AP1031" s="34"/>
      <c r="AQ1031" s="54"/>
      <c r="AR1031" s="54"/>
      <c r="AS1031" s="54"/>
      <c r="AT1031" s="54"/>
      <c r="AU1031" s="34"/>
      <c r="AV1031" s="34"/>
      <c r="AW1031" s="34"/>
      <c r="AX1031" s="34"/>
      <c r="AY1031" s="34"/>
      <c r="AZ1031" s="44"/>
      <c r="BA1031" s="34"/>
      <c r="BB1031" s="34"/>
    </row>
    <row r="1032" spans="1:54" x14ac:dyDescent="0.35" ht="15.0" customHeight="true">
      <c r="A1032" s="51"/>
      <c r="B1032" s="34"/>
      <c r="C1032" s="34"/>
      <c r="D1032" s="34"/>
      <c r="E1032" s="34"/>
      <c r="F1032" s="34"/>
      <c r="G1032" s="44"/>
      <c r="H1032" s="34"/>
      <c r="I1032" s="54"/>
      <c r="J1032" s="34"/>
      <c r="K1032" s="54"/>
      <c r="L1032" s="34"/>
      <c r="M1032" s="44"/>
      <c r="N1032" s="44"/>
      <c r="O1032" s="34"/>
      <c r="P1032" s="34"/>
      <c r="Q1032" s="34"/>
      <c r="R1032" s="34"/>
      <c r="U1032" s="44"/>
      <c r="W1032" s="95"/>
      <c r="X1032" s="54"/>
      <c r="Y1032" s="54"/>
      <c r="Z1032" s="34"/>
      <c r="AA1032" s="34"/>
      <c r="AB1032" s="34"/>
      <c r="AC1032" s="34"/>
      <c r="AD1032" s="34"/>
      <c r="AE1032" s="34"/>
      <c r="AF1032" s="34"/>
      <c r="AG1032" s="34"/>
      <c r="AH1032" s="52"/>
      <c r="AI1032" s="52"/>
      <c r="AK1032" s="34"/>
      <c r="AL1032" s="34"/>
      <c r="AM1032" s="34"/>
      <c r="AN1032" s="54"/>
      <c r="AO1032" s="34"/>
      <c r="AP1032" s="34"/>
      <c r="AQ1032" s="54"/>
      <c r="AR1032" s="54"/>
      <c r="AS1032" s="54"/>
      <c r="AT1032" s="54"/>
      <c r="AU1032" s="34"/>
      <c r="AV1032" s="34"/>
      <c r="AW1032" s="34"/>
      <c r="AX1032" s="34"/>
      <c r="AY1032" s="34"/>
      <c r="AZ1032" s="44"/>
      <c r="BA1032" s="34"/>
      <c r="BB1032" s="34"/>
    </row>
    <row r="1033" spans="1:54" x14ac:dyDescent="0.35" ht="15.0" customHeight="true">
      <c r="A1033" s="51"/>
      <c r="B1033" s="34"/>
      <c r="C1033" s="34"/>
      <c r="D1033" s="34"/>
      <c r="E1033" s="34"/>
      <c r="F1033" s="34"/>
      <c r="G1033" s="44"/>
      <c r="H1033" s="34"/>
      <c r="I1033" s="54"/>
      <c r="J1033" s="34"/>
      <c r="K1033" s="54"/>
      <c r="L1033" s="34"/>
      <c r="M1033" s="44"/>
      <c r="N1033" s="44"/>
      <c r="O1033" s="34"/>
      <c r="P1033" s="34"/>
      <c r="Q1033" s="34"/>
      <c r="R1033" s="34"/>
      <c r="U1033" s="44"/>
      <c r="W1033" s="95"/>
      <c r="X1033" s="54"/>
      <c r="Y1033" s="54"/>
      <c r="Z1033" s="34"/>
      <c r="AA1033" s="34"/>
      <c r="AB1033" s="34"/>
      <c r="AC1033" s="34"/>
      <c r="AD1033" s="34"/>
      <c r="AE1033" s="34"/>
      <c r="AF1033" s="34"/>
      <c r="AG1033" s="34"/>
      <c r="AH1033" s="52"/>
      <c r="AI1033" s="52"/>
      <c r="AK1033" s="34"/>
      <c r="AL1033" s="34"/>
      <c r="AM1033" s="34"/>
      <c r="AN1033" s="54"/>
      <c r="AO1033" s="34"/>
      <c r="AP1033" s="34"/>
      <c r="AQ1033" s="54"/>
      <c r="AR1033" s="54"/>
      <c r="AS1033" s="54"/>
      <c r="AT1033" s="54"/>
      <c r="AU1033" s="34"/>
      <c r="AV1033" s="34"/>
      <c r="AW1033" s="34"/>
      <c r="AX1033" s="34"/>
      <c r="AY1033" s="34"/>
      <c r="AZ1033" s="44"/>
      <c r="BA1033" s="34"/>
      <c r="BB1033" s="34"/>
    </row>
    <row r="1034" spans="1:54" x14ac:dyDescent="0.35" ht="15.0" customHeight="true">
      <c r="A1034" s="51"/>
      <c r="B1034" s="34"/>
      <c r="C1034" s="34"/>
      <c r="D1034" s="34"/>
      <c r="E1034" s="34"/>
      <c r="F1034" s="34"/>
      <c r="G1034" s="44"/>
      <c r="H1034" s="34"/>
      <c r="I1034" s="54"/>
      <c r="J1034" s="34"/>
      <c r="K1034" s="54"/>
      <c r="L1034" s="34"/>
      <c r="M1034" s="44"/>
      <c r="N1034" s="44"/>
      <c r="O1034" s="34"/>
      <c r="P1034" s="34"/>
      <c r="Q1034" s="34"/>
      <c r="R1034" s="34"/>
      <c r="U1034" s="44"/>
      <c r="W1034" s="95"/>
      <c r="X1034" s="54"/>
      <c r="Y1034" s="54"/>
      <c r="Z1034" s="34"/>
      <c r="AA1034" s="34"/>
      <c r="AB1034" s="34"/>
      <c r="AC1034" s="34"/>
      <c r="AD1034" s="34"/>
      <c r="AE1034" s="34"/>
      <c r="AF1034" s="34"/>
      <c r="AG1034" s="34"/>
      <c r="AH1034" s="52"/>
      <c r="AI1034" s="52"/>
      <c r="AK1034" s="34"/>
      <c r="AL1034" s="34"/>
      <c r="AM1034" s="34"/>
      <c r="AN1034" s="54"/>
      <c r="AO1034" s="34"/>
      <c r="AP1034" s="34"/>
      <c r="AQ1034" s="54"/>
      <c r="AR1034" s="54"/>
      <c r="AS1034" s="54"/>
      <c r="AT1034" s="54"/>
      <c r="AU1034" s="34"/>
      <c r="AV1034" s="34"/>
      <c r="AW1034" s="34"/>
      <c r="AX1034" s="34"/>
      <c r="AY1034" s="34"/>
      <c r="AZ1034" s="44"/>
      <c r="BA1034" s="34"/>
      <c r="BB1034" s="34"/>
    </row>
    <row r="1035" spans="1:54" x14ac:dyDescent="0.35" ht="15.0" customHeight="true">
      <c r="A1035" s="51"/>
      <c r="B1035" s="34"/>
      <c r="C1035" s="34"/>
      <c r="D1035" s="34"/>
      <c r="E1035" s="34"/>
      <c r="F1035" s="34"/>
      <c r="G1035" s="44"/>
      <c r="H1035" s="34"/>
      <c r="I1035" s="54"/>
      <c r="J1035" s="34"/>
      <c r="K1035" s="54"/>
      <c r="L1035" s="34"/>
      <c r="M1035" s="44"/>
      <c r="N1035" s="44"/>
      <c r="O1035" s="34"/>
      <c r="P1035" s="34"/>
      <c r="Q1035" s="34"/>
      <c r="R1035" s="34"/>
      <c r="U1035" s="44"/>
      <c r="W1035" s="95"/>
      <c r="X1035" s="54"/>
      <c r="Y1035" s="54"/>
      <c r="Z1035" s="34"/>
      <c r="AA1035" s="34"/>
      <c r="AB1035" s="34"/>
      <c r="AC1035" s="34"/>
      <c r="AD1035" s="34"/>
      <c r="AE1035" s="34"/>
      <c r="AF1035" s="34"/>
      <c r="AG1035" s="34"/>
      <c r="AH1035" s="52"/>
      <c r="AI1035" s="52"/>
      <c r="AK1035" s="34"/>
      <c r="AL1035" s="34"/>
      <c r="AM1035" s="34"/>
      <c r="AN1035" s="54"/>
      <c r="AO1035" s="34"/>
      <c r="AP1035" s="34"/>
      <c r="AQ1035" s="54"/>
      <c r="AR1035" s="54"/>
      <c r="AS1035" s="54"/>
      <c r="AT1035" s="54"/>
      <c r="AU1035" s="34"/>
      <c r="AV1035" s="34"/>
      <c r="AW1035" s="34"/>
      <c r="AX1035" s="34"/>
      <c r="AY1035" s="34"/>
      <c r="AZ1035" s="44"/>
      <c r="BA1035" s="34"/>
      <c r="BB1035" s="34"/>
    </row>
    <row r="1036" spans="1:54" x14ac:dyDescent="0.35" ht="15.0" customHeight="true">
      <c r="A1036" s="51"/>
      <c r="B1036" s="34"/>
      <c r="C1036" s="34"/>
      <c r="D1036" s="34"/>
      <c r="E1036" s="34"/>
      <c r="F1036" s="34"/>
      <c r="G1036" s="44"/>
      <c r="H1036" s="34"/>
      <c r="I1036" s="54"/>
      <c r="J1036" s="34"/>
      <c r="K1036" s="54"/>
      <c r="L1036" s="34"/>
      <c r="M1036" s="44"/>
      <c r="N1036" s="44"/>
      <c r="O1036" s="34"/>
      <c r="P1036" s="34"/>
      <c r="Q1036" s="34"/>
      <c r="R1036" s="34"/>
      <c r="U1036" s="44"/>
      <c r="W1036" s="95"/>
      <c r="X1036" s="54"/>
      <c r="Y1036" s="54"/>
      <c r="Z1036" s="34"/>
      <c r="AA1036" s="34"/>
      <c r="AB1036" s="34"/>
      <c r="AC1036" s="34"/>
      <c r="AD1036" s="34"/>
      <c r="AE1036" s="34"/>
      <c r="AF1036" s="34"/>
      <c r="AG1036" s="34"/>
      <c r="AH1036" s="52"/>
      <c r="AI1036" s="52"/>
      <c r="AK1036" s="34"/>
      <c r="AL1036" s="34"/>
      <c r="AM1036" s="34"/>
      <c r="AN1036" s="54"/>
      <c r="AO1036" s="34"/>
      <c r="AP1036" s="34"/>
      <c r="AQ1036" s="54"/>
      <c r="AR1036" s="54"/>
      <c r="AS1036" s="54"/>
      <c r="AT1036" s="54"/>
      <c r="AU1036" s="34"/>
      <c r="AV1036" s="34"/>
      <c r="AW1036" s="34"/>
      <c r="AX1036" s="34"/>
      <c r="AY1036" s="34"/>
      <c r="AZ1036" s="44"/>
      <c r="BA1036" s="34"/>
      <c r="BB1036" s="34"/>
    </row>
    <row r="1037" spans="1:54" x14ac:dyDescent="0.35" ht="15.0" customHeight="true">
      <c r="A1037" s="51"/>
      <c r="B1037" s="34"/>
      <c r="C1037" s="34"/>
      <c r="D1037" s="34"/>
      <c r="E1037" s="34"/>
      <c r="F1037" s="34"/>
      <c r="G1037" s="44"/>
      <c r="H1037" s="34"/>
      <c r="I1037" s="54"/>
      <c r="J1037" s="34"/>
      <c r="K1037" s="54"/>
      <c r="L1037" s="34"/>
      <c r="M1037" s="44"/>
      <c r="N1037" s="44"/>
      <c r="O1037" s="34"/>
      <c r="P1037" s="34"/>
      <c r="Q1037" s="34"/>
      <c r="R1037" s="34"/>
      <c r="U1037" s="44"/>
      <c r="W1037" s="95"/>
      <c r="X1037" s="54"/>
      <c r="Y1037" s="54"/>
      <c r="Z1037" s="34"/>
      <c r="AA1037" s="34"/>
      <c r="AB1037" s="34"/>
      <c r="AC1037" s="34"/>
      <c r="AD1037" s="34"/>
      <c r="AE1037" s="34"/>
      <c r="AF1037" s="34"/>
      <c r="AG1037" s="34"/>
      <c r="AH1037" s="52"/>
      <c r="AI1037" s="52"/>
      <c r="AK1037" s="34"/>
      <c r="AL1037" s="34"/>
      <c r="AM1037" s="34"/>
      <c r="AN1037" s="54"/>
      <c r="AO1037" s="34"/>
      <c r="AP1037" s="34"/>
      <c r="AQ1037" s="54"/>
      <c r="AR1037" s="54"/>
      <c r="AS1037" s="54"/>
      <c r="AT1037" s="54"/>
      <c r="AU1037" s="34"/>
      <c r="AV1037" s="34"/>
      <c r="AW1037" s="34"/>
      <c r="AX1037" s="34"/>
      <c r="AY1037" s="34"/>
      <c r="AZ1037" s="44"/>
      <c r="BA1037" s="34"/>
      <c r="BB1037" s="34"/>
    </row>
    <row r="1038" spans="1:54" x14ac:dyDescent="0.35" ht="15.0" customHeight="true">
      <c r="A1038" s="51"/>
      <c r="B1038" s="34"/>
      <c r="C1038" s="34"/>
      <c r="D1038" s="34"/>
      <c r="E1038" s="34"/>
      <c r="F1038" s="34"/>
      <c r="G1038" s="44"/>
      <c r="H1038" s="34"/>
      <c r="I1038" s="54"/>
      <c r="J1038" s="34"/>
      <c r="K1038" s="54"/>
      <c r="L1038" s="34"/>
      <c r="M1038" s="44"/>
      <c r="N1038" s="44"/>
      <c r="O1038" s="34"/>
      <c r="P1038" s="34"/>
      <c r="Q1038" s="34"/>
      <c r="R1038" s="34"/>
      <c r="U1038" s="44"/>
      <c r="W1038" s="95"/>
      <c r="X1038" s="54"/>
      <c r="Y1038" s="54"/>
      <c r="Z1038" s="34"/>
      <c r="AA1038" s="34"/>
      <c r="AB1038" s="34"/>
      <c r="AC1038" s="34"/>
      <c r="AD1038" s="34"/>
      <c r="AE1038" s="34"/>
      <c r="AF1038" s="34"/>
      <c r="AG1038" s="34"/>
      <c r="AH1038" s="52"/>
      <c r="AI1038" s="52"/>
      <c r="AK1038" s="34"/>
      <c r="AL1038" s="34"/>
      <c r="AM1038" s="34"/>
      <c r="AN1038" s="54"/>
      <c r="AO1038" s="34"/>
      <c r="AP1038" s="34"/>
      <c r="AQ1038" s="54"/>
      <c r="AR1038" s="54"/>
      <c r="AS1038" s="54"/>
      <c r="AT1038" s="54"/>
      <c r="AU1038" s="34"/>
      <c r="AV1038" s="34"/>
      <c r="AW1038" s="34"/>
      <c r="AX1038" s="34"/>
      <c r="AY1038" s="34"/>
      <c r="AZ1038" s="44"/>
      <c r="BA1038" s="34"/>
      <c r="BB1038" s="34"/>
    </row>
    <row r="1039" spans="1:54" x14ac:dyDescent="0.35" ht="15.0" customHeight="true">
      <c r="A1039" s="51"/>
      <c r="B1039" s="34"/>
      <c r="C1039" s="34"/>
      <c r="D1039" s="34"/>
      <c r="E1039" s="34"/>
      <c r="F1039" s="34"/>
      <c r="G1039" s="44"/>
      <c r="H1039" s="34"/>
      <c r="I1039" s="54"/>
      <c r="J1039" s="34"/>
      <c r="K1039" s="54"/>
      <c r="L1039" s="34"/>
      <c r="M1039" s="44"/>
      <c r="N1039" s="44"/>
      <c r="O1039" s="34"/>
      <c r="P1039" s="34"/>
      <c r="Q1039" s="34"/>
      <c r="R1039" s="34"/>
      <c r="U1039" s="44"/>
      <c r="W1039" s="95"/>
      <c r="X1039" s="54"/>
      <c r="Y1039" s="54"/>
      <c r="Z1039" s="34"/>
      <c r="AA1039" s="34"/>
      <c r="AB1039" s="34"/>
      <c r="AC1039" s="34"/>
      <c r="AD1039" s="34"/>
      <c r="AE1039" s="34"/>
      <c r="AF1039" s="34"/>
      <c r="AG1039" s="34"/>
      <c r="AH1039" s="52"/>
      <c r="AI1039" s="52"/>
      <c r="AK1039" s="34"/>
      <c r="AL1039" s="34"/>
      <c r="AM1039" s="34"/>
      <c r="AN1039" s="54"/>
      <c r="AO1039" s="34"/>
      <c r="AP1039" s="34"/>
      <c r="AQ1039" s="54"/>
      <c r="AR1039" s="54"/>
      <c r="AS1039" s="54"/>
      <c r="AT1039" s="54"/>
      <c r="AU1039" s="34"/>
      <c r="AV1039" s="34"/>
      <c r="AW1039" s="34"/>
      <c r="AX1039" s="34"/>
      <c r="AY1039" s="34"/>
      <c r="AZ1039" s="44"/>
      <c r="BA1039" s="34"/>
      <c r="BB1039" s="34"/>
    </row>
    <row r="1040" spans="1:54" x14ac:dyDescent="0.35" ht="15.0" customHeight="true">
      <c r="A1040" s="51"/>
      <c r="B1040" s="34"/>
      <c r="C1040" s="34"/>
      <c r="D1040" s="34"/>
      <c r="E1040" s="34"/>
      <c r="F1040" s="34"/>
      <c r="G1040" s="44"/>
      <c r="H1040" s="34"/>
      <c r="I1040" s="54"/>
      <c r="J1040" s="34"/>
      <c r="K1040" s="54"/>
      <c r="L1040" s="34"/>
      <c r="M1040" s="44"/>
      <c r="N1040" s="44"/>
      <c r="O1040" s="34"/>
      <c r="P1040" s="34"/>
      <c r="Q1040" s="34"/>
      <c r="R1040" s="34"/>
      <c r="U1040" s="44"/>
      <c r="W1040" s="95"/>
      <c r="X1040" s="54"/>
      <c r="Y1040" s="54"/>
      <c r="Z1040" s="34"/>
      <c r="AA1040" s="34"/>
      <c r="AB1040" s="34"/>
      <c r="AC1040" s="34"/>
      <c r="AD1040" s="34"/>
      <c r="AE1040" s="34"/>
      <c r="AF1040" s="34"/>
      <c r="AG1040" s="34"/>
      <c r="AH1040" s="52"/>
      <c r="AI1040" s="52"/>
      <c r="AK1040" s="34"/>
      <c r="AL1040" s="34"/>
      <c r="AM1040" s="34"/>
      <c r="AN1040" s="54"/>
      <c r="AO1040" s="34"/>
      <c r="AP1040" s="34"/>
      <c r="AQ1040" s="54"/>
      <c r="AR1040" s="54"/>
      <c r="AS1040" s="54"/>
      <c r="AT1040" s="54"/>
      <c r="AU1040" s="34"/>
      <c r="AV1040" s="34"/>
      <c r="AW1040" s="34"/>
      <c r="AX1040" s="34"/>
      <c r="AY1040" s="34"/>
      <c r="AZ1040" s="44"/>
      <c r="BA1040" s="34"/>
      <c r="BB1040" s="34"/>
    </row>
    <row r="1041" spans="1:54" x14ac:dyDescent="0.35" ht="15.0" customHeight="true">
      <c r="A1041" s="51"/>
      <c r="B1041" s="34"/>
      <c r="C1041" s="34"/>
      <c r="D1041" s="34"/>
      <c r="E1041" s="34"/>
      <c r="F1041" s="34"/>
      <c r="G1041" s="44"/>
      <c r="H1041" s="34"/>
      <c r="I1041" s="54"/>
      <c r="J1041" s="34"/>
      <c r="K1041" s="54"/>
      <c r="L1041" s="34"/>
      <c r="M1041" s="44"/>
      <c r="N1041" s="44"/>
      <c r="O1041" s="34"/>
      <c r="P1041" s="34"/>
      <c r="Q1041" s="34"/>
      <c r="R1041" s="34"/>
      <c r="U1041" s="44"/>
      <c r="W1041" s="95"/>
      <c r="X1041" s="54"/>
      <c r="Y1041" s="54"/>
      <c r="Z1041" s="34"/>
      <c r="AA1041" s="34"/>
      <c r="AB1041" s="34"/>
      <c r="AC1041" s="34"/>
      <c r="AD1041" s="34"/>
      <c r="AE1041" s="34"/>
      <c r="AF1041" s="34"/>
      <c r="AG1041" s="34"/>
      <c r="AH1041" s="52"/>
      <c r="AI1041" s="52"/>
      <c r="AK1041" s="34"/>
      <c r="AL1041" s="34"/>
      <c r="AM1041" s="34"/>
      <c r="AN1041" s="54"/>
      <c r="AO1041" s="34"/>
      <c r="AP1041" s="34"/>
      <c r="AQ1041" s="54"/>
      <c r="AR1041" s="54"/>
      <c r="AS1041" s="54"/>
      <c r="AT1041" s="54"/>
      <c r="AU1041" s="34"/>
      <c r="AV1041" s="34"/>
      <c r="AW1041" s="34"/>
      <c r="AX1041" s="34"/>
      <c r="AY1041" s="34"/>
      <c r="AZ1041" s="44"/>
      <c r="BA1041" s="34"/>
      <c r="BB1041" s="34"/>
    </row>
    <row r="1042" spans="1:54" x14ac:dyDescent="0.35" ht="15.0" customHeight="true">
      <c r="A1042" s="51"/>
      <c r="B1042" s="34"/>
      <c r="C1042" s="34"/>
      <c r="D1042" s="34"/>
      <c r="E1042" s="34"/>
      <c r="F1042" s="34"/>
      <c r="G1042" s="44"/>
      <c r="H1042" s="34"/>
      <c r="I1042" s="54"/>
      <c r="J1042" s="34"/>
      <c r="K1042" s="54"/>
      <c r="L1042" s="34"/>
      <c r="M1042" s="44"/>
      <c r="N1042" s="44"/>
      <c r="O1042" s="34"/>
      <c r="P1042" s="34"/>
      <c r="Q1042" s="34"/>
      <c r="R1042" s="34"/>
      <c r="U1042" s="44"/>
      <c r="W1042" s="95"/>
      <c r="X1042" s="54"/>
      <c r="Y1042" s="54"/>
      <c r="Z1042" s="34"/>
      <c r="AA1042" s="34"/>
      <c r="AB1042" s="34"/>
      <c r="AC1042" s="34"/>
      <c r="AD1042" s="34"/>
      <c r="AE1042" s="34"/>
      <c r="AF1042" s="34"/>
      <c r="AG1042" s="34"/>
      <c r="AH1042" s="52"/>
      <c r="AI1042" s="52"/>
      <c r="AK1042" s="34"/>
      <c r="AL1042" s="34"/>
      <c r="AM1042" s="34"/>
      <c r="AN1042" s="54"/>
      <c r="AO1042" s="34"/>
      <c r="AP1042" s="34"/>
      <c r="AQ1042" s="54"/>
      <c r="AR1042" s="54"/>
      <c r="AS1042" s="54"/>
      <c r="AT1042" s="54"/>
      <c r="AU1042" s="34"/>
      <c r="AV1042" s="34"/>
      <c r="AW1042" s="34"/>
      <c r="AX1042" s="34"/>
      <c r="AY1042" s="34"/>
      <c r="AZ1042" s="44"/>
      <c r="BA1042" s="34"/>
      <c r="BB1042" s="34"/>
    </row>
    <row r="1043" spans="1:54" x14ac:dyDescent="0.35" ht="15.0" customHeight="true">
      <c r="A1043" s="51"/>
      <c r="B1043" s="34"/>
      <c r="C1043" s="34"/>
      <c r="D1043" s="34"/>
      <c r="E1043" s="34"/>
      <c r="F1043" s="34"/>
      <c r="G1043" s="44"/>
      <c r="H1043" s="34"/>
      <c r="I1043" s="54"/>
      <c r="J1043" s="34"/>
      <c r="K1043" s="54"/>
      <c r="L1043" s="34"/>
      <c r="M1043" s="44"/>
      <c r="N1043" s="44"/>
      <c r="O1043" s="34"/>
      <c r="P1043" s="34"/>
      <c r="Q1043" s="34"/>
      <c r="R1043" s="34"/>
      <c r="U1043" s="44"/>
      <c r="W1043" s="95"/>
      <c r="X1043" s="54"/>
      <c r="Y1043" s="54"/>
      <c r="Z1043" s="34"/>
      <c r="AA1043" s="34"/>
      <c r="AB1043" s="34"/>
      <c r="AC1043" s="34"/>
      <c r="AD1043" s="34"/>
      <c r="AE1043" s="34"/>
      <c r="AF1043" s="34"/>
      <c r="AG1043" s="34"/>
      <c r="AH1043" s="52"/>
      <c r="AI1043" s="52"/>
      <c r="AK1043" s="34"/>
      <c r="AL1043" s="34"/>
      <c r="AM1043" s="34"/>
      <c r="AN1043" s="54"/>
      <c r="AO1043" s="34"/>
      <c r="AP1043" s="34"/>
      <c r="AQ1043" s="54"/>
      <c r="AR1043" s="54"/>
      <c r="AS1043" s="54"/>
      <c r="AT1043" s="54"/>
      <c r="AU1043" s="34"/>
      <c r="AV1043" s="34"/>
      <c r="AW1043" s="34"/>
      <c r="AX1043" s="34"/>
      <c r="AY1043" s="34"/>
      <c r="AZ1043" s="44"/>
      <c r="BA1043" s="34"/>
      <c r="BB1043" s="34"/>
    </row>
    <row r="1044" spans="1:54" x14ac:dyDescent="0.35" ht="15.0" customHeight="true">
      <c r="A1044" s="51"/>
      <c r="B1044" s="34"/>
      <c r="C1044" s="34"/>
      <c r="D1044" s="34"/>
      <c r="E1044" s="34"/>
      <c r="F1044" s="34"/>
      <c r="G1044" s="44"/>
      <c r="H1044" s="34"/>
      <c r="I1044" s="54"/>
      <c r="J1044" s="34"/>
      <c r="K1044" s="54"/>
      <c r="L1044" s="34"/>
      <c r="M1044" s="44"/>
      <c r="N1044" s="44"/>
      <c r="O1044" s="34"/>
      <c r="P1044" s="34"/>
      <c r="Q1044" s="34"/>
      <c r="R1044" s="34"/>
      <c r="U1044" s="44"/>
      <c r="W1044" s="95"/>
      <c r="X1044" s="54"/>
      <c r="Y1044" s="54"/>
      <c r="Z1044" s="34"/>
      <c r="AA1044" s="34"/>
      <c r="AB1044" s="34"/>
      <c r="AC1044" s="34"/>
      <c r="AD1044" s="34"/>
      <c r="AE1044" s="34"/>
      <c r="AF1044" s="34"/>
      <c r="AG1044" s="34"/>
      <c r="AH1044" s="52"/>
      <c r="AI1044" s="52"/>
      <c r="AK1044" s="34"/>
      <c r="AL1044" s="34"/>
      <c r="AM1044" s="34"/>
      <c r="AN1044" s="54"/>
      <c r="AO1044" s="34"/>
      <c r="AP1044" s="34"/>
      <c r="AQ1044" s="54"/>
      <c r="AR1044" s="54"/>
      <c r="AS1044" s="54"/>
      <c r="AT1044" s="54"/>
      <c r="AU1044" s="34"/>
      <c r="AV1044" s="34"/>
      <c r="AW1044" s="34"/>
      <c r="AX1044" s="34"/>
      <c r="AY1044" s="34"/>
      <c r="AZ1044" s="44"/>
      <c r="BA1044" s="34"/>
      <c r="BB1044" s="34"/>
    </row>
    <row r="1045" spans="1:54" x14ac:dyDescent="0.35" ht="15.0" customHeight="true">
      <c r="A1045" s="51"/>
      <c r="B1045" s="34"/>
      <c r="C1045" s="34"/>
      <c r="D1045" s="34"/>
      <c r="E1045" s="34"/>
      <c r="F1045" s="34"/>
      <c r="G1045" s="44"/>
      <c r="H1045" s="34"/>
      <c r="I1045" s="54"/>
      <c r="J1045" s="34"/>
      <c r="K1045" s="54"/>
      <c r="L1045" s="34"/>
      <c r="M1045" s="44"/>
      <c r="N1045" s="44"/>
      <c r="O1045" s="34"/>
      <c r="P1045" s="34"/>
      <c r="Q1045" s="34"/>
      <c r="R1045" s="34"/>
      <c r="U1045" s="44"/>
      <c r="W1045" s="95"/>
      <c r="X1045" s="54"/>
      <c r="Y1045" s="54"/>
      <c r="Z1045" s="34"/>
      <c r="AA1045" s="34"/>
      <c r="AB1045" s="34"/>
      <c r="AC1045" s="34"/>
      <c r="AD1045" s="34"/>
      <c r="AE1045" s="34"/>
      <c r="AF1045" s="34"/>
      <c r="AG1045" s="34"/>
      <c r="AH1045" s="52"/>
      <c r="AI1045" s="52"/>
      <c r="AK1045" s="34"/>
      <c r="AL1045" s="34"/>
      <c r="AM1045" s="34"/>
      <c r="AN1045" s="54"/>
      <c r="AO1045" s="34"/>
      <c r="AP1045" s="34"/>
      <c r="AQ1045" s="54"/>
      <c r="AR1045" s="54"/>
      <c r="AS1045" s="54"/>
      <c r="AT1045" s="54"/>
      <c r="AU1045" s="34"/>
      <c r="AV1045" s="34"/>
      <c r="AW1045" s="34"/>
      <c r="AX1045" s="34"/>
      <c r="AY1045" s="34"/>
      <c r="AZ1045" s="44"/>
      <c r="BA1045" s="34"/>
      <c r="BB1045" s="34"/>
    </row>
    <row r="1046" spans="1:54" x14ac:dyDescent="0.35" ht="15.0" customHeight="true">
      <c r="A1046" s="51"/>
      <c r="B1046" s="34"/>
      <c r="C1046" s="34"/>
      <c r="D1046" s="34"/>
      <c r="E1046" s="34"/>
      <c r="F1046" s="34"/>
      <c r="G1046" s="44"/>
      <c r="H1046" s="34"/>
      <c r="I1046" s="54"/>
      <c r="J1046" s="34"/>
      <c r="K1046" s="54"/>
      <c r="L1046" s="34"/>
      <c r="M1046" s="44"/>
      <c r="N1046" s="44"/>
      <c r="O1046" s="34"/>
      <c r="P1046" s="34"/>
      <c r="Q1046" s="34"/>
      <c r="R1046" s="34"/>
      <c r="U1046" s="44"/>
      <c r="W1046" s="95"/>
      <c r="X1046" s="54"/>
      <c r="Y1046" s="54"/>
      <c r="Z1046" s="34"/>
      <c r="AA1046" s="34"/>
      <c r="AB1046" s="34"/>
      <c r="AC1046" s="34"/>
      <c r="AD1046" s="34"/>
      <c r="AE1046" s="34"/>
      <c r="AF1046" s="34"/>
      <c r="AG1046" s="34"/>
      <c r="AH1046" s="52"/>
      <c r="AI1046" s="52"/>
      <c r="AK1046" s="34"/>
      <c r="AL1046" s="34"/>
      <c r="AM1046" s="34"/>
      <c r="AN1046" s="54"/>
      <c r="AO1046" s="34"/>
      <c r="AP1046" s="34"/>
      <c r="AQ1046" s="54"/>
      <c r="AR1046" s="54"/>
      <c r="AS1046" s="54"/>
      <c r="AT1046" s="54"/>
      <c r="AU1046" s="34"/>
      <c r="AV1046" s="34"/>
      <c r="AW1046" s="34"/>
      <c r="AX1046" s="34"/>
      <c r="AY1046" s="34"/>
      <c r="AZ1046" s="44"/>
      <c r="BA1046" s="34"/>
      <c r="BB1046" s="34"/>
    </row>
    <row r="1047" spans="1:54" x14ac:dyDescent="0.35" ht="15.0" customHeight="true">
      <c r="A1047" s="51"/>
      <c r="B1047" s="34"/>
      <c r="C1047" s="34"/>
      <c r="D1047" s="34"/>
      <c r="E1047" s="34"/>
      <c r="F1047" s="34"/>
      <c r="G1047" s="44"/>
      <c r="H1047" s="34"/>
      <c r="I1047" s="54"/>
      <c r="J1047" s="34"/>
      <c r="K1047" s="54"/>
      <c r="L1047" s="34"/>
      <c r="M1047" s="44"/>
      <c r="N1047" s="44"/>
      <c r="O1047" s="34"/>
      <c r="P1047" s="34"/>
      <c r="Q1047" s="34"/>
      <c r="R1047" s="34"/>
      <c r="U1047" s="44"/>
      <c r="W1047" s="95"/>
      <c r="X1047" s="54"/>
      <c r="Y1047" s="54"/>
      <c r="Z1047" s="34"/>
      <c r="AA1047" s="34"/>
      <c r="AB1047" s="34"/>
      <c r="AC1047" s="34"/>
      <c r="AD1047" s="34"/>
      <c r="AE1047" s="34"/>
      <c r="AF1047" s="34"/>
      <c r="AG1047" s="34"/>
      <c r="AH1047" s="52"/>
      <c r="AI1047" s="52"/>
      <c r="AK1047" s="34"/>
      <c r="AL1047" s="34"/>
      <c r="AM1047" s="34"/>
      <c r="AN1047" s="54"/>
      <c r="AO1047" s="34"/>
      <c r="AP1047" s="34"/>
      <c r="AQ1047" s="54"/>
      <c r="AR1047" s="54"/>
      <c r="AS1047" s="54"/>
      <c r="AT1047" s="54"/>
      <c r="AU1047" s="34"/>
      <c r="AV1047" s="34"/>
      <c r="AW1047" s="34"/>
      <c r="AX1047" s="34"/>
      <c r="AY1047" s="34"/>
      <c r="AZ1047" s="44"/>
      <c r="BA1047" s="34"/>
      <c r="BB1047" s="34"/>
    </row>
    <row r="1048" spans="1:54" x14ac:dyDescent="0.35" ht="15.0" customHeight="true">
      <c r="A1048" s="51"/>
      <c r="B1048" s="34"/>
      <c r="C1048" s="34"/>
      <c r="D1048" s="34"/>
      <c r="E1048" s="34"/>
      <c r="F1048" s="34"/>
      <c r="G1048" s="44"/>
      <c r="H1048" s="34"/>
      <c r="I1048" s="54"/>
      <c r="J1048" s="34"/>
      <c r="K1048" s="54"/>
      <c r="L1048" s="34"/>
      <c r="M1048" s="44"/>
      <c r="N1048" s="44"/>
      <c r="O1048" s="34"/>
      <c r="P1048" s="34"/>
      <c r="Q1048" s="34"/>
      <c r="R1048" s="34"/>
      <c r="U1048" s="44"/>
      <c r="W1048" s="95"/>
      <c r="X1048" s="54"/>
      <c r="Y1048" s="54"/>
      <c r="Z1048" s="34"/>
      <c r="AA1048" s="34"/>
      <c r="AB1048" s="34"/>
      <c r="AC1048" s="34"/>
      <c r="AD1048" s="34"/>
      <c r="AE1048" s="34"/>
      <c r="AF1048" s="34"/>
      <c r="AG1048" s="34"/>
      <c r="AH1048" s="52"/>
      <c r="AI1048" s="52"/>
      <c r="AK1048" s="34"/>
      <c r="AL1048" s="34"/>
      <c r="AM1048" s="34"/>
      <c r="AN1048" s="54"/>
      <c r="AO1048" s="34"/>
      <c r="AP1048" s="34"/>
      <c r="AQ1048" s="54"/>
      <c r="AR1048" s="54"/>
      <c r="AS1048" s="54"/>
      <c r="AT1048" s="54"/>
      <c r="AU1048" s="34"/>
      <c r="AV1048" s="34"/>
      <c r="AW1048" s="34"/>
      <c r="AX1048" s="34"/>
      <c r="AY1048" s="34"/>
      <c r="AZ1048" s="44"/>
      <c r="BA1048" s="34"/>
      <c r="BB1048" s="34"/>
    </row>
    <row r="1049" spans="1:54" x14ac:dyDescent="0.35" ht="15.0" customHeight="true">
      <c r="A1049" s="51"/>
      <c r="B1049" s="34"/>
      <c r="C1049" s="34"/>
      <c r="D1049" s="34"/>
      <c r="E1049" s="34"/>
      <c r="F1049" s="34"/>
      <c r="G1049" s="44"/>
      <c r="H1049" s="34"/>
      <c r="I1049" s="54"/>
      <c r="J1049" s="34"/>
      <c r="K1049" s="54"/>
      <c r="L1049" s="34"/>
      <c r="M1049" s="44"/>
      <c r="N1049" s="44"/>
      <c r="O1049" s="34"/>
      <c r="P1049" s="34"/>
      <c r="Q1049" s="34"/>
      <c r="R1049" s="34"/>
      <c r="U1049" s="44"/>
      <c r="W1049" s="95"/>
      <c r="X1049" s="54"/>
      <c r="Y1049" s="54"/>
      <c r="Z1049" s="34"/>
      <c r="AA1049" s="34"/>
      <c r="AB1049" s="34"/>
      <c r="AC1049" s="34"/>
      <c r="AD1049" s="34"/>
      <c r="AE1049" s="34"/>
      <c r="AF1049" s="34"/>
      <c r="AG1049" s="34"/>
      <c r="AH1049" s="52"/>
      <c r="AI1049" s="52"/>
      <c r="AK1049" s="34"/>
      <c r="AL1049" s="34"/>
      <c r="AM1049" s="34"/>
      <c r="AN1049" s="54"/>
      <c r="AO1049" s="34"/>
      <c r="AP1049" s="34"/>
      <c r="AQ1049" s="54"/>
      <c r="AR1049" s="54"/>
      <c r="AS1049" s="54"/>
      <c r="AT1049" s="54"/>
      <c r="AU1049" s="34"/>
      <c r="AV1049" s="34"/>
      <c r="AW1049" s="34"/>
      <c r="AX1049" s="34"/>
      <c r="AY1049" s="34"/>
      <c r="AZ1049" s="44"/>
      <c r="BA1049" s="34"/>
      <c r="BB1049" s="34"/>
    </row>
    <row r="1050" spans="1:54" x14ac:dyDescent="0.35" ht="15.0" customHeight="true">
      <c r="A1050" s="51"/>
      <c r="B1050" s="34"/>
      <c r="C1050" s="34"/>
      <c r="D1050" s="34"/>
      <c r="E1050" s="34"/>
      <c r="F1050" s="34"/>
      <c r="G1050" s="44"/>
      <c r="H1050" s="34"/>
      <c r="I1050" s="54"/>
      <c r="J1050" s="34"/>
      <c r="K1050" s="54"/>
      <c r="L1050" s="34"/>
      <c r="M1050" s="44"/>
      <c r="N1050" s="44"/>
      <c r="O1050" s="34"/>
      <c r="P1050" s="34"/>
      <c r="Q1050" s="34"/>
      <c r="R1050" s="34"/>
      <c r="U1050" s="44"/>
      <c r="W1050" s="95"/>
      <c r="X1050" s="54"/>
      <c r="Y1050" s="54"/>
      <c r="Z1050" s="34"/>
      <c r="AA1050" s="34"/>
      <c r="AB1050" s="34"/>
      <c r="AC1050" s="34"/>
      <c r="AD1050" s="34"/>
      <c r="AE1050" s="34"/>
      <c r="AF1050" s="34"/>
      <c r="AG1050" s="34"/>
      <c r="AH1050" s="52"/>
      <c r="AI1050" s="52"/>
      <c r="AK1050" s="34"/>
      <c r="AL1050" s="34"/>
      <c r="AM1050" s="34"/>
      <c r="AN1050" s="54"/>
      <c r="AO1050" s="34"/>
      <c r="AP1050" s="34"/>
      <c r="AQ1050" s="54"/>
      <c r="AR1050" s="54"/>
      <c r="AS1050" s="54"/>
      <c r="AT1050" s="54"/>
      <c r="AU1050" s="34"/>
      <c r="AV1050" s="34"/>
      <c r="AW1050" s="34"/>
      <c r="AX1050" s="34"/>
      <c r="AY1050" s="34"/>
      <c r="AZ1050" s="44"/>
      <c r="BA1050" s="34"/>
      <c r="BB1050" s="34"/>
    </row>
    <row r="1051" spans="1:54" x14ac:dyDescent="0.35" ht="15.0" customHeight="true">
      <c r="A1051" s="51"/>
      <c r="B1051" s="34"/>
      <c r="C1051" s="34"/>
      <c r="D1051" s="34"/>
      <c r="E1051" s="34"/>
      <c r="F1051" s="34"/>
      <c r="G1051" s="44"/>
      <c r="H1051" s="34"/>
      <c r="I1051" s="54"/>
      <c r="J1051" s="34"/>
      <c r="K1051" s="54"/>
      <c r="L1051" s="34"/>
      <c r="M1051" s="44"/>
      <c r="N1051" s="44"/>
      <c r="O1051" s="34"/>
      <c r="P1051" s="34"/>
      <c r="Q1051" s="34"/>
      <c r="R1051" s="34"/>
      <c r="U1051" s="44"/>
      <c r="W1051" s="95"/>
      <c r="X1051" s="54"/>
      <c r="Y1051" s="54"/>
      <c r="Z1051" s="34"/>
      <c r="AA1051" s="34"/>
      <c r="AB1051" s="34"/>
      <c r="AC1051" s="34"/>
      <c r="AD1051" s="34"/>
      <c r="AE1051" s="34"/>
      <c r="AF1051" s="34"/>
      <c r="AG1051" s="34"/>
      <c r="AH1051" s="52"/>
      <c r="AI1051" s="52"/>
      <c r="AK1051" s="34"/>
      <c r="AL1051" s="34"/>
      <c r="AM1051" s="34"/>
      <c r="AN1051" s="54"/>
      <c r="AO1051" s="34"/>
      <c r="AP1051" s="34"/>
      <c r="AQ1051" s="54"/>
      <c r="AR1051" s="54"/>
      <c r="AS1051" s="54"/>
      <c r="AT1051" s="54"/>
      <c r="AU1051" s="34"/>
      <c r="AV1051" s="34"/>
      <c r="AW1051" s="34"/>
      <c r="AX1051" s="34"/>
      <c r="AY1051" s="34"/>
      <c r="AZ1051" s="44"/>
      <c r="BA1051" s="34"/>
      <c r="BB1051" s="34"/>
    </row>
    <row r="1052" spans="1:54" x14ac:dyDescent="0.35" ht="15.0" customHeight="true">
      <c r="A1052" s="51"/>
      <c r="B1052" s="34"/>
      <c r="C1052" s="34"/>
      <c r="D1052" s="34"/>
      <c r="E1052" s="34"/>
      <c r="F1052" s="34"/>
      <c r="G1052" s="44"/>
      <c r="H1052" s="34"/>
      <c r="I1052" s="54"/>
      <c r="J1052" s="34"/>
      <c r="K1052" s="54"/>
      <c r="L1052" s="34"/>
      <c r="M1052" s="44"/>
      <c r="N1052" s="44"/>
      <c r="O1052" s="34"/>
      <c r="P1052" s="34"/>
      <c r="Q1052" s="34"/>
      <c r="R1052" s="34"/>
      <c r="U1052" s="44"/>
      <c r="W1052" s="95"/>
      <c r="X1052" s="54"/>
      <c r="Y1052" s="54"/>
      <c r="Z1052" s="34"/>
      <c r="AA1052" s="34"/>
      <c r="AB1052" s="34"/>
      <c r="AC1052" s="34"/>
      <c r="AD1052" s="34"/>
      <c r="AE1052" s="34"/>
      <c r="AF1052" s="34"/>
      <c r="AG1052" s="34"/>
      <c r="AH1052" s="52"/>
      <c r="AI1052" s="52"/>
      <c r="AK1052" s="34"/>
      <c r="AL1052" s="34"/>
      <c r="AM1052" s="34"/>
      <c r="AN1052" s="54"/>
      <c r="AO1052" s="34"/>
      <c r="AP1052" s="34"/>
      <c r="AQ1052" s="54"/>
      <c r="AR1052" s="54"/>
      <c r="AS1052" s="54"/>
      <c r="AT1052" s="54"/>
      <c r="AU1052" s="34"/>
      <c r="AV1052" s="34"/>
      <c r="AW1052" s="34"/>
      <c r="AX1052" s="34"/>
      <c r="AY1052" s="34"/>
      <c r="AZ1052" s="44"/>
      <c r="BA1052" s="34"/>
      <c r="BB1052" s="34"/>
    </row>
    <row r="1053" spans="1:54" x14ac:dyDescent="0.35" ht="15.0" customHeight="true">
      <c r="A1053" s="51"/>
      <c r="B1053" s="34"/>
      <c r="C1053" s="34"/>
      <c r="D1053" s="34"/>
      <c r="E1053" s="34"/>
      <c r="F1053" s="34"/>
      <c r="G1053" s="44"/>
      <c r="H1053" s="34"/>
      <c r="I1053" s="54"/>
      <c r="J1053" s="34"/>
      <c r="K1053" s="54"/>
      <c r="L1053" s="34"/>
      <c r="M1053" s="44"/>
      <c r="N1053" s="44"/>
      <c r="O1053" s="34"/>
      <c r="P1053" s="34"/>
      <c r="Q1053" s="34"/>
      <c r="R1053" s="34"/>
      <c r="U1053" s="44"/>
      <c r="W1053" s="95"/>
      <c r="X1053" s="54"/>
      <c r="Y1053" s="54"/>
      <c r="Z1053" s="34"/>
      <c r="AA1053" s="34"/>
      <c r="AB1053" s="34"/>
      <c r="AC1053" s="34"/>
      <c r="AD1053" s="34"/>
      <c r="AE1053" s="34"/>
      <c r="AF1053" s="34"/>
      <c r="AG1053" s="34"/>
      <c r="AH1053" s="52"/>
      <c r="AI1053" s="52"/>
      <c r="AK1053" s="34"/>
      <c r="AL1053" s="34"/>
      <c r="AM1053" s="34"/>
      <c r="AN1053" s="54"/>
      <c r="AO1053" s="34"/>
      <c r="AP1053" s="34"/>
      <c r="AQ1053" s="54"/>
      <c r="AR1053" s="54"/>
      <c r="AS1053" s="54"/>
      <c r="AT1053" s="54"/>
      <c r="AU1053" s="34"/>
      <c r="AV1053" s="34"/>
      <c r="AW1053" s="34"/>
      <c r="AX1053" s="34"/>
      <c r="AY1053" s="34"/>
      <c r="AZ1053" s="44"/>
      <c r="BA1053" s="34"/>
      <c r="BB1053" s="34"/>
    </row>
    <row r="1054" spans="1:54" x14ac:dyDescent="0.35" ht="15.0" customHeight="true">
      <c r="A1054" s="51"/>
      <c r="B1054" s="34"/>
      <c r="C1054" s="34"/>
      <c r="D1054" s="34"/>
      <c r="E1054" s="34"/>
      <c r="F1054" s="34"/>
      <c r="G1054" s="44"/>
      <c r="H1054" s="34"/>
      <c r="I1054" s="54"/>
      <c r="J1054" s="34"/>
      <c r="K1054" s="54"/>
      <c r="L1054" s="34"/>
      <c r="M1054" s="44"/>
      <c r="N1054" s="44"/>
      <c r="O1054" s="34"/>
      <c r="P1054" s="34"/>
      <c r="Q1054" s="34"/>
      <c r="R1054" s="34"/>
      <c r="U1054" s="44"/>
      <c r="W1054" s="95"/>
      <c r="X1054" s="54"/>
      <c r="Y1054" s="54"/>
      <c r="Z1054" s="34"/>
      <c r="AA1054" s="34"/>
      <c r="AB1054" s="34"/>
      <c r="AC1054" s="34"/>
      <c r="AD1054" s="34"/>
      <c r="AE1054" s="34"/>
      <c r="AF1054" s="34"/>
      <c r="AG1054" s="34"/>
      <c r="AH1054" s="52"/>
      <c r="AI1054" s="52"/>
      <c r="AK1054" s="34"/>
      <c r="AL1054" s="34"/>
      <c r="AM1054" s="34"/>
      <c r="AN1054" s="54"/>
      <c r="AO1054" s="34"/>
      <c r="AP1054" s="34"/>
      <c r="AQ1054" s="54"/>
      <c r="AR1054" s="54"/>
      <c r="AS1054" s="54"/>
      <c r="AT1054" s="54"/>
      <c r="AU1054" s="34"/>
      <c r="AV1054" s="34"/>
      <c r="AW1054" s="34"/>
      <c r="AX1054" s="34"/>
      <c r="AY1054" s="34"/>
      <c r="AZ1054" s="44"/>
      <c r="BA1054" s="34"/>
      <c r="BB1054" s="34"/>
    </row>
    <row r="1055" spans="1:54" x14ac:dyDescent="0.35" ht="15.0" customHeight="true">
      <c r="A1055" s="51"/>
      <c r="B1055" s="34"/>
      <c r="C1055" s="34"/>
      <c r="D1055" s="34"/>
      <c r="E1055" s="34"/>
      <c r="F1055" s="34"/>
      <c r="G1055" s="44"/>
      <c r="H1055" s="34"/>
      <c r="I1055" s="54"/>
      <c r="J1055" s="34"/>
      <c r="K1055" s="54"/>
      <c r="L1055" s="34"/>
      <c r="M1055" s="44"/>
      <c r="N1055" s="44"/>
      <c r="O1055" s="34"/>
      <c r="P1055" s="34"/>
      <c r="Q1055" s="34"/>
      <c r="R1055" s="34"/>
      <c r="U1055" s="44"/>
      <c r="W1055" s="95"/>
      <c r="X1055" s="54"/>
      <c r="Y1055" s="54"/>
      <c r="Z1055" s="34"/>
      <c r="AA1055" s="34"/>
      <c r="AB1055" s="34"/>
      <c r="AC1055" s="34"/>
      <c r="AD1055" s="34"/>
      <c r="AE1055" s="34"/>
      <c r="AF1055" s="34"/>
      <c r="AG1055" s="34"/>
      <c r="AH1055" s="52"/>
      <c r="AI1055" s="52"/>
      <c r="AK1055" s="34"/>
      <c r="AL1055" s="34"/>
      <c r="AM1055" s="34"/>
      <c r="AN1055" s="54"/>
      <c r="AO1055" s="34"/>
      <c r="AP1055" s="34"/>
      <c r="AQ1055" s="54"/>
      <c r="AR1055" s="54"/>
      <c r="AS1055" s="54"/>
      <c r="AT1055" s="54"/>
      <c r="AU1055" s="34"/>
      <c r="AV1055" s="34"/>
      <c r="AW1055" s="34"/>
      <c r="AX1055" s="34"/>
      <c r="AY1055" s="34"/>
      <c r="AZ1055" s="44"/>
      <c r="BA1055" s="34"/>
      <c r="BB1055" s="34"/>
    </row>
    <row r="1056" spans="1:54" x14ac:dyDescent="0.35" ht="15.0" customHeight="true">
      <c r="A1056" s="51"/>
      <c r="B1056" s="34"/>
      <c r="C1056" s="34"/>
      <c r="D1056" s="34"/>
      <c r="E1056" s="34"/>
      <c r="F1056" s="34"/>
      <c r="G1056" s="44"/>
      <c r="H1056" s="34"/>
      <c r="I1056" s="54"/>
      <c r="J1056" s="34"/>
      <c r="K1056" s="54"/>
      <c r="L1056" s="34"/>
      <c r="M1056" s="44"/>
      <c r="N1056" s="44"/>
      <c r="O1056" s="34"/>
      <c r="P1056" s="34"/>
      <c r="Q1056" s="34"/>
      <c r="R1056" s="34"/>
      <c r="U1056" s="44"/>
      <c r="W1056" s="95"/>
      <c r="X1056" s="54"/>
      <c r="Y1056" s="54"/>
      <c r="Z1056" s="34"/>
      <c r="AA1056" s="34"/>
      <c r="AB1056" s="34"/>
      <c r="AC1056" s="34"/>
      <c r="AD1056" s="34"/>
      <c r="AE1056" s="34"/>
      <c r="AF1056" s="34"/>
      <c r="AG1056" s="34"/>
      <c r="AH1056" s="52"/>
      <c r="AI1056" s="52"/>
      <c r="AK1056" s="34"/>
      <c r="AL1056" s="34"/>
      <c r="AM1056" s="34"/>
      <c r="AN1056" s="54"/>
      <c r="AO1056" s="34"/>
      <c r="AP1056" s="34"/>
      <c r="AQ1056" s="54"/>
      <c r="AR1056" s="54"/>
      <c r="AS1056" s="54"/>
      <c r="AT1056" s="54"/>
      <c r="AU1056" s="34"/>
      <c r="AV1056" s="34"/>
      <c r="AW1056" s="34"/>
      <c r="AX1056" s="34"/>
      <c r="AY1056" s="34"/>
      <c r="AZ1056" s="44"/>
      <c r="BA1056" s="34"/>
      <c r="BB1056" s="34"/>
    </row>
    <row r="1057" spans="1:54" x14ac:dyDescent="0.35" ht="15.0" customHeight="true">
      <c r="A1057" s="51"/>
      <c r="B1057" s="34"/>
      <c r="C1057" s="34"/>
      <c r="D1057" s="34"/>
      <c r="E1057" s="34"/>
      <c r="F1057" s="34"/>
      <c r="G1057" s="44"/>
      <c r="H1057" s="34"/>
      <c r="I1057" s="54"/>
      <c r="J1057" s="34"/>
      <c r="K1057" s="54"/>
      <c r="L1057" s="34"/>
      <c r="M1057" s="44"/>
      <c r="N1057" s="44"/>
      <c r="O1057" s="34"/>
      <c r="P1057" s="34"/>
      <c r="Q1057" s="34"/>
      <c r="R1057" s="34"/>
      <c r="U1057" s="44"/>
      <c r="W1057" s="95"/>
      <c r="X1057" s="54"/>
      <c r="Y1057" s="54"/>
      <c r="Z1057" s="34"/>
      <c r="AA1057" s="34"/>
      <c r="AB1057" s="34"/>
      <c r="AC1057" s="34"/>
      <c r="AD1057" s="34"/>
      <c r="AE1057" s="34"/>
      <c r="AF1057" s="34"/>
      <c r="AG1057" s="34"/>
      <c r="AH1057" s="52"/>
      <c r="AI1057" s="52"/>
      <c r="AK1057" s="34"/>
      <c r="AL1057" s="34"/>
      <c r="AM1057" s="34"/>
      <c r="AN1057" s="54"/>
      <c r="AO1057" s="34"/>
      <c r="AP1057" s="34"/>
      <c r="AQ1057" s="54"/>
      <c r="AR1057" s="54"/>
      <c r="AS1057" s="54"/>
      <c r="AT1057" s="54"/>
      <c r="AU1057" s="34"/>
      <c r="AV1057" s="34"/>
      <c r="AW1057" s="34"/>
      <c r="AX1057" s="34"/>
      <c r="AY1057" s="34"/>
      <c r="AZ1057" s="44"/>
      <c r="BA1057" s="34"/>
      <c r="BB1057" s="34"/>
    </row>
    <row r="1058" spans="1:54" x14ac:dyDescent="0.35" ht="15.0" customHeight="true">
      <c r="A1058" s="51"/>
      <c r="B1058" s="34"/>
      <c r="C1058" s="34"/>
      <c r="D1058" s="34"/>
      <c r="E1058" s="34"/>
      <c r="F1058" s="34"/>
      <c r="G1058" s="44"/>
      <c r="H1058" s="34"/>
      <c r="I1058" s="54"/>
      <c r="J1058" s="34"/>
      <c r="K1058" s="54"/>
      <c r="L1058" s="34"/>
      <c r="M1058" s="44"/>
      <c r="N1058" s="44"/>
      <c r="O1058" s="34"/>
      <c r="P1058" s="34"/>
      <c r="Q1058" s="34"/>
      <c r="R1058" s="34"/>
      <c r="U1058" s="44"/>
      <c r="W1058" s="95"/>
      <c r="X1058" s="54"/>
      <c r="Y1058" s="54"/>
      <c r="Z1058" s="34"/>
      <c r="AA1058" s="34"/>
      <c r="AB1058" s="34"/>
      <c r="AC1058" s="34"/>
      <c r="AD1058" s="34"/>
      <c r="AE1058" s="34"/>
      <c r="AF1058" s="34"/>
      <c r="AG1058" s="34"/>
      <c r="AH1058" s="52"/>
      <c r="AI1058" s="52"/>
      <c r="AK1058" s="34"/>
      <c r="AL1058" s="34"/>
      <c r="AM1058" s="34"/>
      <c r="AN1058" s="54"/>
      <c r="AO1058" s="34"/>
      <c r="AP1058" s="34"/>
      <c r="AQ1058" s="54"/>
      <c r="AR1058" s="54"/>
      <c r="AS1058" s="54"/>
      <c r="AT1058" s="54"/>
      <c r="AU1058" s="34"/>
      <c r="AV1058" s="34"/>
      <c r="AW1058" s="34"/>
      <c r="AX1058" s="34"/>
      <c r="AY1058" s="34"/>
      <c r="AZ1058" s="44"/>
      <c r="BA1058" s="34"/>
      <c r="BB1058" s="34"/>
    </row>
    <row r="1059" spans="1:54" x14ac:dyDescent="0.35" ht="15.0" customHeight="true">
      <c r="A1059" s="51"/>
      <c r="B1059" s="34"/>
      <c r="C1059" s="34"/>
      <c r="D1059" s="34"/>
      <c r="E1059" s="34"/>
      <c r="F1059" s="34"/>
      <c r="G1059" s="44"/>
      <c r="H1059" s="34"/>
      <c r="I1059" s="54"/>
      <c r="J1059" s="34"/>
      <c r="K1059" s="54"/>
      <c r="L1059" s="34"/>
      <c r="M1059" s="44"/>
      <c r="N1059" s="44"/>
      <c r="O1059" s="34"/>
      <c r="P1059" s="34"/>
      <c r="Q1059" s="34"/>
      <c r="R1059" s="34"/>
      <c r="U1059" s="44"/>
      <c r="W1059" s="95"/>
      <c r="X1059" s="54"/>
      <c r="Y1059" s="54"/>
      <c r="Z1059" s="34"/>
      <c r="AA1059" s="34"/>
      <c r="AB1059" s="34"/>
      <c r="AC1059" s="34"/>
      <c r="AD1059" s="34"/>
      <c r="AE1059" s="34"/>
      <c r="AF1059" s="34"/>
      <c r="AG1059" s="34"/>
      <c r="AH1059" s="52"/>
      <c r="AI1059" s="52"/>
      <c r="AK1059" s="34"/>
      <c r="AL1059" s="34"/>
      <c r="AM1059" s="34"/>
      <c r="AN1059" s="54"/>
      <c r="AO1059" s="34"/>
      <c r="AP1059" s="34"/>
      <c r="AQ1059" s="54"/>
      <c r="AR1059" s="54"/>
      <c r="AS1059" s="54"/>
      <c r="AT1059" s="54"/>
      <c r="AU1059" s="34"/>
      <c r="AV1059" s="34"/>
      <c r="AW1059" s="34"/>
      <c r="AX1059" s="34"/>
      <c r="AY1059" s="34"/>
      <c r="AZ1059" s="44"/>
      <c r="BA1059" s="34"/>
      <c r="BB1059" s="34"/>
    </row>
    <row r="1060" spans="1:54" x14ac:dyDescent="0.35" ht="15.0" customHeight="true">
      <c r="A1060" s="51"/>
      <c r="B1060" s="34"/>
      <c r="C1060" s="34"/>
      <c r="D1060" s="34"/>
      <c r="E1060" s="34"/>
      <c r="F1060" s="34"/>
      <c r="G1060" s="44"/>
      <c r="H1060" s="34"/>
      <c r="I1060" s="54"/>
      <c r="J1060" s="34"/>
      <c r="K1060" s="54"/>
      <c r="L1060" s="34"/>
      <c r="M1060" s="44"/>
      <c r="N1060" s="44"/>
      <c r="O1060" s="34"/>
      <c r="P1060" s="34"/>
      <c r="Q1060" s="34"/>
      <c r="R1060" s="34"/>
      <c r="U1060" s="44"/>
      <c r="W1060" s="95"/>
      <c r="X1060" s="54"/>
      <c r="Y1060" s="54"/>
      <c r="Z1060" s="34"/>
      <c r="AA1060" s="34"/>
      <c r="AB1060" s="34"/>
      <c r="AC1060" s="34"/>
      <c r="AD1060" s="34"/>
      <c r="AE1060" s="34"/>
      <c r="AF1060" s="34"/>
      <c r="AG1060" s="34"/>
      <c r="AH1060" s="52"/>
      <c r="AI1060" s="52"/>
      <c r="AK1060" s="34"/>
      <c r="AL1060" s="34"/>
      <c r="AM1060" s="34"/>
      <c r="AN1060" s="54"/>
      <c r="AO1060" s="34"/>
      <c r="AP1060" s="34"/>
      <c r="AQ1060" s="54"/>
      <c r="AR1060" s="54"/>
      <c r="AS1060" s="54"/>
      <c r="AT1060" s="54"/>
      <c r="AU1060" s="34"/>
      <c r="AV1060" s="34"/>
      <c r="AW1060" s="34"/>
      <c r="AX1060" s="34"/>
      <c r="AY1060" s="34"/>
      <c r="AZ1060" s="44"/>
      <c r="BA1060" s="34"/>
      <c r="BB1060" s="34"/>
    </row>
    <row r="1061" spans="1:54" x14ac:dyDescent="0.35" ht="15.0" customHeight="true">
      <c r="A1061" s="51"/>
      <c r="B1061" s="34"/>
      <c r="C1061" s="34"/>
      <c r="D1061" s="34"/>
      <c r="E1061" s="34"/>
      <c r="F1061" s="34"/>
      <c r="G1061" s="44"/>
      <c r="H1061" s="34"/>
      <c r="I1061" s="54"/>
      <c r="J1061" s="34"/>
      <c r="K1061" s="54"/>
      <c r="L1061" s="34"/>
      <c r="M1061" s="44"/>
      <c r="N1061" s="44"/>
      <c r="O1061" s="34"/>
      <c r="P1061" s="34"/>
      <c r="Q1061" s="34"/>
      <c r="R1061" s="34"/>
      <c r="U1061" s="44"/>
      <c r="W1061" s="95"/>
      <c r="X1061" s="54"/>
      <c r="Y1061" s="54"/>
      <c r="Z1061" s="34"/>
      <c r="AA1061" s="34"/>
      <c r="AB1061" s="34"/>
      <c r="AC1061" s="34"/>
      <c r="AD1061" s="34"/>
      <c r="AE1061" s="34"/>
      <c r="AF1061" s="34"/>
      <c r="AG1061" s="34"/>
      <c r="AH1061" s="52"/>
      <c r="AI1061" s="52"/>
      <c r="AK1061" s="34"/>
      <c r="AL1061" s="34"/>
      <c r="AM1061" s="34"/>
      <c r="AN1061" s="54"/>
      <c r="AO1061" s="34"/>
      <c r="AP1061" s="34"/>
      <c r="AQ1061" s="54"/>
      <c r="AR1061" s="54"/>
      <c r="AS1061" s="54"/>
      <c r="AT1061" s="54"/>
      <c r="AU1061" s="34"/>
      <c r="AV1061" s="34"/>
      <c r="AW1061" s="34"/>
      <c r="AX1061" s="34"/>
      <c r="AY1061" s="34"/>
      <c r="AZ1061" s="44"/>
      <c r="BA1061" s="34"/>
      <c r="BB1061" s="34"/>
    </row>
    <row r="1062" spans="1:54" x14ac:dyDescent="0.35" ht="15.0" customHeight="true">
      <c r="A1062" s="51"/>
      <c r="B1062" s="34"/>
      <c r="C1062" s="34"/>
      <c r="D1062" s="34"/>
      <c r="E1062" s="34"/>
      <c r="F1062" s="34"/>
      <c r="G1062" s="44"/>
      <c r="H1062" s="34"/>
      <c r="I1062" s="54"/>
      <c r="J1062" s="34"/>
      <c r="K1062" s="54"/>
      <c r="L1062" s="34"/>
      <c r="M1062" s="44"/>
      <c r="N1062" s="44"/>
      <c r="O1062" s="34"/>
      <c r="P1062" s="34"/>
      <c r="Q1062" s="34"/>
      <c r="R1062" s="34"/>
      <c r="U1062" s="44"/>
      <c r="W1062" s="95"/>
      <c r="X1062" s="54"/>
      <c r="Y1062" s="54"/>
      <c r="Z1062" s="34"/>
      <c r="AA1062" s="34"/>
      <c r="AB1062" s="34"/>
      <c r="AC1062" s="34"/>
      <c r="AD1062" s="34"/>
      <c r="AE1062" s="34"/>
      <c r="AF1062" s="34"/>
      <c r="AG1062" s="34"/>
      <c r="AH1062" s="52"/>
      <c r="AI1062" s="52"/>
      <c r="AK1062" s="34"/>
      <c r="AL1062" s="34"/>
      <c r="AM1062" s="34"/>
      <c r="AN1062" s="54"/>
      <c r="AO1062" s="34"/>
      <c r="AP1062" s="34"/>
      <c r="AQ1062" s="54"/>
      <c r="AR1062" s="54"/>
      <c r="AS1062" s="54"/>
      <c r="AT1062" s="54"/>
      <c r="AU1062" s="34"/>
      <c r="AV1062" s="34"/>
      <c r="AW1062" s="34"/>
      <c r="AX1062" s="34"/>
      <c r="AY1062" s="34"/>
      <c r="AZ1062" s="44"/>
      <c r="BA1062" s="34"/>
      <c r="BB1062" s="34"/>
    </row>
    <row r="1063" spans="1:54" x14ac:dyDescent="0.35" ht="15.0" customHeight="true">
      <c r="A1063" s="51"/>
      <c r="B1063" s="34"/>
      <c r="C1063" s="34"/>
      <c r="D1063" s="34"/>
      <c r="E1063" s="34"/>
      <c r="F1063" s="34"/>
      <c r="G1063" s="44"/>
      <c r="H1063" s="34"/>
      <c r="I1063" s="54"/>
      <c r="J1063" s="34"/>
      <c r="K1063" s="54"/>
      <c r="L1063" s="34"/>
      <c r="M1063" s="44"/>
      <c r="N1063" s="44"/>
      <c r="O1063" s="34"/>
      <c r="P1063" s="34"/>
      <c r="Q1063" s="34"/>
      <c r="R1063" s="34"/>
      <c r="U1063" s="44"/>
      <c r="W1063" s="95"/>
      <c r="X1063" s="54"/>
      <c r="Y1063" s="54"/>
      <c r="Z1063" s="34"/>
      <c r="AA1063" s="34"/>
      <c r="AB1063" s="34"/>
      <c r="AC1063" s="34"/>
      <c r="AD1063" s="34"/>
      <c r="AE1063" s="34"/>
      <c r="AF1063" s="34"/>
      <c r="AG1063" s="34"/>
      <c r="AH1063" s="52"/>
      <c r="AI1063" s="52"/>
      <c r="AK1063" s="34"/>
      <c r="AL1063" s="34"/>
      <c r="AM1063" s="34"/>
      <c r="AN1063" s="54"/>
      <c r="AO1063" s="34"/>
      <c r="AP1063" s="34"/>
      <c r="AQ1063" s="54"/>
      <c r="AR1063" s="54"/>
      <c r="AS1063" s="54"/>
      <c r="AT1063" s="54"/>
      <c r="AU1063" s="34"/>
      <c r="AV1063" s="34"/>
      <c r="AW1063" s="34"/>
      <c r="AX1063" s="34"/>
      <c r="AY1063" s="34"/>
      <c r="AZ1063" s="44"/>
      <c r="BA1063" s="34"/>
      <c r="BB1063" s="34"/>
    </row>
    <row r="1064" spans="1:54" x14ac:dyDescent="0.35" ht="15.0" customHeight="true">
      <c r="A1064" s="51"/>
      <c r="B1064" s="34"/>
      <c r="C1064" s="34"/>
      <c r="D1064" s="34"/>
      <c r="E1064" s="34"/>
      <c r="F1064" s="34"/>
      <c r="G1064" s="44"/>
      <c r="H1064" s="34"/>
      <c r="I1064" s="54"/>
      <c r="J1064" s="34"/>
      <c r="K1064" s="54"/>
      <c r="L1064" s="34"/>
      <c r="M1064" s="44"/>
      <c r="N1064" s="44"/>
      <c r="O1064" s="34"/>
      <c r="P1064" s="34"/>
      <c r="Q1064" s="34"/>
      <c r="R1064" s="34"/>
      <c r="U1064" s="44"/>
      <c r="W1064" s="95"/>
      <c r="X1064" s="54"/>
      <c r="Y1064" s="54"/>
      <c r="Z1064" s="34"/>
      <c r="AA1064" s="34"/>
      <c r="AB1064" s="34"/>
      <c r="AC1064" s="34"/>
      <c r="AD1064" s="34"/>
      <c r="AE1064" s="34"/>
      <c r="AF1064" s="34"/>
      <c r="AG1064" s="34"/>
      <c r="AH1064" s="52"/>
      <c r="AI1064" s="52"/>
      <c r="AK1064" s="34"/>
      <c r="AL1064" s="34"/>
      <c r="AM1064" s="34"/>
      <c r="AN1064" s="54"/>
      <c r="AO1064" s="34"/>
      <c r="AP1064" s="34"/>
      <c r="AQ1064" s="54"/>
      <c r="AR1064" s="54"/>
      <c r="AS1064" s="54"/>
      <c r="AT1064" s="54"/>
      <c r="AU1064" s="34"/>
      <c r="AV1064" s="34"/>
      <c r="AW1064" s="34"/>
      <c r="AX1064" s="34"/>
      <c r="AY1064" s="34"/>
      <c r="AZ1064" s="44"/>
      <c r="BA1064" s="34"/>
      <c r="BB1064" s="34"/>
    </row>
    <row r="1065" spans="1:54" x14ac:dyDescent="0.35" ht="15.0" customHeight="true">
      <c r="A1065" s="51"/>
      <c r="B1065" s="34"/>
      <c r="C1065" s="34"/>
      <c r="D1065" s="34"/>
      <c r="E1065" s="34"/>
      <c r="F1065" s="34"/>
      <c r="G1065" s="44"/>
      <c r="H1065" s="34"/>
      <c r="I1065" s="54"/>
      <c r="J1065" s="34"/>
      <c r="K1065" s="54"/>
      <c r="L1065" s="34"/>
      <c r="M1065" s="44"/>
      <c r="N1065" s="44"/>
      <c r="O1065" s="34"/>
      <c r="P1065" s="34"/>
      <c r="Q1065" s="34"/>
      <c r="R1065" s="34"/>
      <c r="U1065" s="44"/>
      <c r="W1065" s="95"/>
      <c r="X1065" s="54"/>
      <c r="Y1065" s="54"/>
      <c r="Z1065" s="34"/>
      <c r="AA1065" s="34"/>
      <c r="AB1065" s="34"/>
      <c r="AC1065" s="34"/>
      <c r="AD1065" s="34"/>
      <c r="AE1065" s="34"/>
      <c r="AF1065" s="34"/>
      <c r="AG1065" s="34"/>
      <c r="AH1065" s="52"/>
      <c r="AI1065" s="52"/>
      <c r="AK1065" s="34"/>
      <c r="AL1065" s="34"/>
      <c r="AM1065" s="34"/>
      <c r="AN1065" s="54"/>
      <c r="AO1065" s="34"/>
      <c r="AP1065" s="34"/>
      <c r="AQ1065" s="54"/>
      <c r="AR1065" s="54"/>
      <c r="AS1065" s="54"/>
      <c r="AT1065" s="54"/>
      <c r="AU1065" s="34"/>
      <c r="AV1065" s="34"/>
      <c r="AW1065" s="34"/>
      <c r="AX1065" s="34"/>
      <c r="AY1065" s="34"/>
      <c r="AZ1065" s="44"/>
      <c r="BA1065" s="34"/>
      <c r="BB1065" s="34"/>
    </row>
    <row r="1066" spans="1:54" x14ac:dyDescent="0.35" ht="15.0" customHeight="true">
      <c r="A1066" s="51"/>
      <c r="B1066" s="34"/>
      <c r="C1066" s="34"/>
      <c r="D1066" s="34"/>
      <c r="E1066" s="34"/>
      <c r="F1066" s="34"/>
      <c r="G1066" s="44"/>
      <c r="H1066" s="34"/>
      <c r="I1066" s="54"/>
      <c r="J1066" s="34"/>
      <c r="K1066" s="54"/>
      <c r="L1066" s="34"/>
      <c r="M1066" s="44"/>
      <c r="N1066" s="44"/>
      <c r="O1066" s="34"/>
      <c r="P1066" s="34"/>
      <c r="Q1066" s="34"/>
      <c r="R1066" s="34"/>
      <c r="U1066" s="44"/>
      <c r="W1066" s="95"/>
      <c r="X1066" s="54"/>
      <c r="Y1066" s="54"/>
      <c r="Z1066" s="34"/>
      <c r="AA1066" s="34"/>
      <c r="AB1066" s="34"/>
      <c r="AC1066" s="34"/>
      <c r="AD1066" s="34"/>
      <c r="AE1066" s="34"/>
      <c r="AF1066" s="34"/>
      <c r="AG1066" s="34"/>
      <c r="AH1066" s="52"/>
      <c r="AI1066" s="52"/>
      <c r="AK1066" s="34"/>
      <c r="AL1066" s="34"/>
      <c r="AM1066" s="34"/>
      <c r="AN1066" s="54"/>
      <c r="AO1066" s="34"/>
      <c r="AP1066" s="34"/>
      <c r="AQ1066" s="54"/>
      <c r="AR1066" s="54"/>
      <c r="AS1066" s="54"/>
      <c r="AT1066" s="54"/>
      <c r="AU1066" s="34"/>
      <c r="AV1066" s="34"/>
      <c r="AW1066" s="34"/>
      <c r="AX1066" s="34"/>
      <c r="AY1066" s="34"/>
      <c r="AZ1066" s="44"/>
      <c r="BA1066" s="34"/>
      <c r="BB1066" s="34"/>
    </row>
    <row r="1067" spans="1:54" x14ac:dyDescent="0.35" ht="15.0" customHeight="true">
      <c r="A1067" s="51"/>
      <c r="B1067" s="34"/>
      <c r="C1067" s="34"/>
      <c r="D1067" s="34"/>
      <c r="E1067" s="34"/>
      <c r="F1067" s="34"/>
      <c r="G1067" s="44"/>
      <c r="H1067" s="34"/>
      <c r="I1067" s="54"/>
      <c r="J1067" s="34"/>
      <c r="K1067" s="54"/>
      <c r="L1067" s="34"/>
      <c r="M1067" s="44"/>
      <c r="N1067" s="44"/>
      <c r="O1067" s="34"/>
      <c r="P1067" s="34"/>
      <c r="Q1067" s="34"/>
      <c r="R1067" s="34"/>
      <c r="U1067" s="44"/>
      <c r="W1067" s="95"/>
      <c r="X1067" s="54"/>
      <c r="Y1067" s="54"/>
      <c r="Z1067" s="34"/>
      <c r="AA1067" s="34"/>
      <c r="AB1067" s="34"/>
      <c r="AC1067" s="34"/>
      <c r="AD1067" s="34"/>
      <c r="AE1067" s="34"/>
      <c r="AF1067" s="34"/>
      <c r="AG1067" s="34"/>
      <c r="AH1067" s="52"/>
      <c r="AI1067" s="52"/>
      <c r="AK1067" s="34"/>
      <c r="AL1067" s="34"/>
      <c r="AM1067" s="34"/>
      <c r="AN1067" s="54"/>
      <c r="AO1067" s="34"/>
      <c r="AP1067" s="34"/>
      <c r="AQ1067" s="54"/>
      <c r="AR1067" s="54"/>
      <c r="AS1067" s="54"/>
      <c r="AT1067" s="54"/>
      <c r="AU1067" s="34"/>
      <c r="AV1067" s="34"/>
      <c r="AW1067" s="34"/>
      <c r="AX1067" s="34"/>
      <c r="AY1067" s="34"/>
      <c r="AZ1067" s="44"/>
      <c r="BA1067" s="34"/>
      <c r="BB1067" s="34"/>
    </row>
    <row r="1068" spans="1:54" x14ac:dyDescent="0.35" ht="15.0" customHeight="true">
      <c r="A1068" s="51"/>
      <c r="B1068" s="34"/>
      <c r="C1068" s="34"/>
      <c r="D1068" s="34"/>
      <c r="E1068" s="34"/>
      <c r="F1068" s="34"/>
      <c r="G1068" s="44"/>
      <c r="H1068" s="34"/>
      <c r="I1068" s="54"/>
      <c r="J1068" s="34"/>
      <c r="K1068" s="54"/>
      <c r="L1068" s="34"/>
      <c r="M1068" s="44"/>
      <c r="N1068" s="44"/>
      <c r="O1068" s="34"/>
      <c r="P1068" s="34"/>
      <c r="Q1068" s="34"/>
      <c r="R1068" s="34"/>
      <c r="U1068" s="44"/>
      <c r="W1068" s="95"/>
      <c r="X1068" s="54"/>
      <c r="Y1068" s="54"/>
      <c r="Z1068" s="34"/>
      <c r="AA1068" s="34"/>
      <c r="AB1068" s="34"/>
      <c r="AC1068" s="34"/>
      <c r="AD1068" s="34"/>
      <c r="AE1068" s="34"/>
      <c r="AF1068" s="34"/>
      <c r="AG1068" s="34"/>
      <c r="AH1068" s="52"/>
      <c r="AI1068" s="52"/>
      <c r="AK1068" s="34"/>
      <c r="AL1068" s="34"/>
      <c r="AM1068" s="34"/>
      <c r="AN1068" s="54"/>
      <c r="AO1068" s="34"/>
      <c r="AP1068" s="34"/>
      <c r="AQ1068" s="54"/>
      <c r="AR1068" s="54"/>
      <c r="AS1068" s="54"/>
      <c r="AT1068" s="54"/>
      <c r="AU1068" s="34"/>
      <c r="AV1068" s="34"/>
      <c r="AW1068" s="34"/>
      <c r="AX1068" s="34"/>
      <c r="AY1068" s="34"/>
      <c r="AZ1068" s="44"/>
      <c r="BA1068" s="34"/>
      <c r="BB1068" s="34"/>
    </row>
    <row r="1069" spans="1:54" x14ac:dyDescent="0.35" ht="15.0" customHeight="true">
      <c r="A1069" s="51"/>
      <c r="B1069" s="34"/>
      <c r="C1069" s="34"/>
      <c r="D1069" s="34"/>
      <c r="E1069" s="34"/>
      <c r="F1069" s="34"/>
      <c r="G1069" s="44"/>
      <c r="H1069" s="34"/>
      <c r="I1069" s="54"/>
      <c r="J1069" s="34"/>
      <c r="K1069" s="54"/>
      <c r="L1069" s="34"/>
      <c r="M1069" s="44"/>
      <c r="N1069" s="44"/>
      <c r="O1069" s="34"/>
      <c r="P1069" s="34"/>
      <c r="Q1069" s="34"/>
      <c r="R1069" s="34"/>
      <c r="U1069" s="44"/>
      <c r="W1069" s="95"/>
      <c r="X1069" s="54"/>
      <c r="Y1069" s="54"/>
      <c r="Z1069" s="34"/>
      <c r="AA1069" s="34"/>
      <c r="AB1069" s="34"/>
      <c r="AC1069" s="34"/>
      <c r="AD1069" s="34"/>
      <c r="AE1069" s="34"/>
      <c r="AF1069" s="34"/>
      <c r="AG1069" s="34"/>
      <c r="AH1069" s="52"/>
      <c r="AI1069" s="52"/>
      <c r="AK1069" s="34"/>
      <c r="AL1069" s="34"/>
      <c r="AM1069" s="34"/>
      <c r="AN1069" s="54"/>
      <c r="AO1069" s="34"/>
      <c r="AP1069" s="34"/>
      <c r="AQ1069" s="54"/>
      <c r="AR1069" s="54"/>
      <c r="AS1069" s="54"/>
      <c r="AT1069" s="54"/>
      <c r="AU1069" s="34"/>
      <c r="AV1069" s="34"/>
      <c r="AW1069" s="34"/>
      <c r="AX1069" s="34"/>
      <c r="AY1069" s="34"/>
      <c r="AZ1069" s="44"/>
      <c r="BA1069" s="34"/>
      <c r="BB1069" s="34"/>
    </row>
    <row r="1070" spans="1:54" x14ac:dyDescent="0.35" ht="15.0" customHeight="true">
      <c r="A1070" s="51"/>
      <c r="B1070" s="34"/>
      <c r="C1070" s="34"/>
      <c r="D1070" s="34"/>
      <c r="E1070" s="34"/>
      <c r="F1070" s="34"/>
      <c r="G1070" s="44"/>
      <c r="H1070" s="34"/>
      <c r="I1070" s="54"/>
      <c r="J1070" s="34"/>
      <c r="K1070" s="54"/>
      <c r="L1070" s="34"/>
      <c r="M1070" s="44"/>
      <c r="N1070" s="44"/>
      <c r="O1070" s="34"/>
      <c r="P1070" s="34"/>
      <c r="Q1070" s="34"/>
      <c r="R1070" s="34"/>
      <c r="U1070" s="44"/>
      <c r="W1070" s="95"/>
      <c r="X1070" s="54"/>
      <c r="Y1070" s="54"/>
      <c r="Z1070" s="34"/>
      <c r="AA1070" s="34"/>
      <c r="AB1070" s="34"/>
      <c r="AC1070" s="34"/>
      <c r="AD1070" s="34"/>
      <c r="AE1070" s="34"/>
      <c r="AF1070" s="34"/>
      <c r="AG1070" s="34"/>
      <c r="AH1070" s="52"/>
      <c r="AI1070" s="52"/>
      <c r="AK1070" s="34"/>
      <c r="AL1070" s="34"/>
      <c r="AM1070" s="34"/>
      <c r="AN1070" s="54"/>
      <c r="AO1070" s="34"/>
      <c r="AP1070" s="34"/>
      <c r="AQ1070" s="54"/>
      <c r="AR1070" s="54"/>
      <c r="AS1070" s="54"/>
      <c r="AT1070" s="54"/>
      <c r="AU1070" s="34"/>
      <c r="AV1070" s="34"/>
      <c r="AW1070" s="34"/>
      <c r="AX1070" s="34"/>
      <c r="AY1070" s="34"/>
      <c r="AZ1070" s="44"/>
      <c r="BA1070" s="34"/>
      <c r="BB1070" s="34"/>
    </row>
    <row r="1071" spans="1:54" x14ac:dyDescent="0.35" ht="15.0" customHeight="true">
      <c r="A1071" s="51"/>
      <c r="B1071" s="34"/>
      <c r="C1071" s="34"/>
      <c r="D1071" s="34"/>
      <c r="E1071" s="34"/>
      <c r="F1071" s="34"/>
      <c r="G1071" s="44"/>
      <c r="H1071" s="34"/>
      <c r="I1071" s="54"/>
      <c r="J1071" s="34"/>
      <c r="K1071" s="54"/>
      <c r="L1071" s="34"/>
      <c r="M1071" s="44"/>
      <c r="N1071" s="44"/>
      <c r="O1071" s="34"/>
      <c r="P1071" s="34"/>
      <c r="Q1071" s="34"/>
      <c r="R1071" s="34"/>
      <c r="U1071" s="44"/>
      <c r="W1071" s="95"/>
      <c r="X1071" s="54"/>
      <c r="Y1071" s="54"/>
      <c r="Z1071" s="34"/>
      <c r="AA1071" s="34"/>
      <c r="AB1071" s="34"/>
      <c r="AC1071" s="34"/>
      <c r="AD1071" s="34"/>
      <c r="AE1071" s="34"/>
      <c r="AF1071" s="34"/>
      <c r="AG1071" s="34"/>
      <c r="AH1071" s="52"/>
      <c r="AI1071" s="52"/>
      <c r="AK1071" s="34"/>
      <c r="AL1071" s="34"/>
      <c r="AM1071" s="34"/>
      <c r="AN1071" s="54"/>
      <c r="AO1071" s="34"/>
      <c r="AP1071" s="34"/>
      <c r="AQ1071" s="54"/>
      <c r="AR1071" s="54"/>
      <c r="AS1071" s="54"/>
      <c r="AT1071" s="54"/>
      <c r="AU1071" s="34"/>
      <c r="AV1071" s="34"/>
      <c r="AW1071" s="34"/>
      <c r="AX1071" s="34"/>
      <c r="AY1071" s="34"/>
      <c r="AZ1071" s="44"/>
      <c r="BA1071" s="34"/>
      <c r="BB1071" s="34"/>
    </row>
    <row r="1072" spans="1:54" x14ac:dyDescent="0.35" ht="15.0" customHeight="true">
      <c r="A1072" s="51"/>
      <c r="B1072" s="34"/>
      <c r="C1072" s="34"/>
      <c r="D1072" s="34"/>
      <c r="E1072" s="34"/>
      <c r="F1072" s="34"/>
      <c r="G1072" s="44"/>
      <c r="H1072" s="34"/>
      <c r="I1072" s="54"/>
      <c r="J1072" s="34"/>
      <c r="K1072" s="54"/>
      <c r="L1072" s="34"/>
      <c r="M1072" s="44"/>
      <c r="N1072" s="44"/>
      <c r="O1072" s="34"/>
      <c r="P1072" s="34"/>
      <c r="Q1072" s="34"/>
      <c r="R1072" s="34"/>
      <c r="U1072" s="44"/>
      <c r="W1072" s="95"/>
      <c r="X1072" s="54"/>
      <c r="Y1072" s="54"/>
      <c r="Z1072" s="34"/>
      <c r="AA1072" s="34"/>
      <c r="AB1072" s="34"/>
      <c r="AC1072" s="34"/>
      <c r="AD1072" s="34"/>
      <c r="AE1072" s="34"/>
      <c r="AF1072" s="34"/>
      <c r="AG1072" s="34"/>
      <c r="AH1072" s="52"/>
      <c r="AI1072" s="52"/>
      <c r="AK1072" s="34"/>
      <c r="AL1072" s="34"/>
      <c r="AM1072" s="34"/>
      <c r="AN1072" s="54"/>
      <c r="AO1072" s="34"/>
      <c r="AP1072" s="34"/>
      <c r="AQ1072" s="54"/>
      <c r="AR1072" s="54"/>
      <c r="AS1072" s="54"/>
      <c r="AT1072" s="54"/>
      <c r="AU1072" s="34"/>
      <c r="AV1072" s="34"/>
      <c r="AW1072" s="34"/>
      <c r="AX1072" s="34"/>
      <c r="AY1072" s="34"/>
      <c r="AZ1072" s="44"/>
      <c r="BA1072" s="34"/>
      <c r="BB1072" s="34"/>
    </row>
    <row r="1073" spans="1:54" x14ac:dyDescent="0.35" ht="15.0" customHeight="true">
      <c r="A1073" s="51"/>
      <c r="B1073" s="34"/>
      <c r="C1073" s="34"/>
      <c r="D1073" s="34"/>
      <c r="E1073" s="34"/>
      <c r="F1073" s="34"/>
      <c r="G1073" s="44"/>
      <c r="H1073" s="34"/>
      <c r="I1073" s="54"/>
      <c r="J1073" s="34"/>
      <c r="K1073" s="54"/>
      <c r="L1073" s="34"/>
      <c r="M1073" s="44"/>
      <c r="N1073" s="44"/>
      <c r="O1073" s="34"/>
      <c r="P1073" s="34"/>
      <c r="Q1073" s="34"/>
      <c r="R1073" s="34"/>
      <c r="U1073" s="44"/>
      <c r="W1073" s="95"/>
      <c r="X1073" s="54"/>
      <c r="Y1073" s="54"/>
      <c r="Z1073" s="34"/>
      <c r="AA1073" s="34"/>
      <c r="AB1073" s="34"/>
      <c r="AC1073" s="34"/>
      <c r="AD1073" s="34"/>
      <c r="AE1073" s="34"/>
      <c r="AF1073" s="34"/>
      <c r="AG1073" s="34"/>
      <c r="AH1073" s="52"/>
      <c r="AI1073" s="52"/>
      <c r="AK1073" s="34"/>
      <c r="AL1073" s="34"/>
      <c r="AM1073" s="34"/>
      <c r="AN1073" s="54"/>
      <c r="AO1073" s="34"/>
      <c r="AP1073" s="34"/>
      <c r="AQ1073" s="54"/>
      <c r="AR1073" s="54"/>
      <c r="AS1073" s="54"/>
      <c r="AT1073" s="54"/>
      <c r="AU1073" s="34"/>
      <c r="AV1073" s="34"/>
      <c r="AW1073" s="34"/>
      <c r="AX1073" s="34"/>
      <c r="AY1073" s="34"/>
      <c r="AZ1073" s="44"/>
      <c r="BA1073" s="34"/>
      <c r="BB1073" s="34"/>
    </row>
    <row r="1074" spans="1:54" x14ac:dyDescent="0.35" ht="15.0" customHeight="true">
      <c r="A1074" s="51"/>
      <c r="B1074" s="34"/>
      <c r="C1074" s="34"/>
      <c r="D1074" s="34"/>
      <c r="E1074" s="34"/>
      <c r="F1074" s="34"/>
      <c r="G1074" s="44"/>
      <c r="H1074" s="34"/>
      <c r="I1074" s="54"/>
      <c r="J1074" s="34"/>
      <c r="K1074" s="54"/>
      <c r="L1074" s="34"/>
      <c r="M1074" s="44"/>
      <c r="N1074" s="44"/>
      <c r="O1074" s="34"/>
      <c r="P1074" s="34"/>
      <c r="Q1074" s="34"/>
      <c r="R1074" s="34"/>
      <c r="U1074" s="44"/>
      <c r="W1074" s="95"/>
      <c r="X1074" s="54"/>
      <c r="Y1074" s="54"/>
      <c r="Z1074" s="34"/>
      <c r="AA1074" s="34"/>
      <c r="AB1074" s="34"/>
      <c r="AC1074" s="34"/>
      <c r="AD1074" s="34"/>
      <c r="AE1074" s="34"/>
      <c r="AF1074" s="34"/>
      <c r="AG1074" s="34"/>
      <c r="AH1074" s="52"/>
      <c r="AI1074" s="52"/>
      <c r="AK1074" s="34"/>
      <c r="AL1074" s="34"/>
      <c r="AM1074" s="34"/>
      <c r="AN1074" s="54"/>
      <c r="AO1074" s="34"/>
      <c r="AP1074" s="34"/>
      <c r="AQ1074" s="54"/>
      <c r="AR1074" s="54"/>
      <c r="AS1074" s="54"/>
      <c r="AT1074" s="54"/>
      <c r="AU1074" s="34"/>
      <c r="AV1074" s="34"/>
      <c r="AW1074" s="34"/>
      <c r="AX1074" s="34"/>
      <c r="AY1074" s="34"/>
      <c r="AZ1074" s="44"/>
      <c r="BA1074" s="34"/>
      <c r="BB1074" s="34"/>
    </row>
    <row r="1075" spans="1:54" x14ac:dyDescent="0.35" ht="15.0" customHeight="true">
      <c r="A1075" s="51"/>
      <c r="B1075" s="34"/>
      <c r="C1075" s="34"/>
      <c r="D1075" s="34"/>
      <c r="E1075" s="34"/>
      <c r="F1075" s="34"/>
      <c r="G1075" s="44"/>
      <c r="H1075" s="34"/>
      <c r="I1075" s="54"/>
      <c r="J1075" s="34"/>
      <c r="K1075" s="54"/>
      <c r="L1075" s="34"/>
      <c r="M1075" s="44"/>
      <c r="N1075" s="44"/>
      <c r="O1075" s="34"/>
      <c r="P1075" s="34"/>
      <c r="Q1075" s="34"/>
      <c r="R1075" s="34"/>
      <c r="U1075" s="44"/>
      <c r="W1075" s="95"/>
      <c r="X1075" s="54"/>
      <c r="Y1075" s="54"/>
      <c r="Z1075" s="34"/>
      <c r="AA1075" s="34"/>
      <c r="AB1075" s="34"/>
      <c r="AC1075" s="34"/>
      <c r="AD1075" s="34"/>
      <c r="AE1075" s="34"/>
      <c r="AF1075" s="34"/>
      <c r="AG1075" s="34"/>
      <c r="AH1075" s="52"/>
      <c r="AI1075" s="52"/>
      <c r="AK1075" s="34"/>
      <c r="AL1075" s="34"/>
      <c r="AM1075" s="34"/>
      <c r="AN1075" s="54"/>
      <c r="AO1075" s="34"/>
      <c r="AP1075" s="34"/>
      <c r="AQ1075" s="54"/>
      <c r="AR1075" s="54"/>
      <c r="AS1075" s="54"/>
      <c r="AT1075" s="54"/>
      <c r="AU1075" s="34"/>
      <c r="AV1075" s="34"/>
      <c r="AW1075" s="34"/>
      <c r="AX1075" s="34"/>
      <c r="AY1075" s="34"/>
      <c r="AZ1075" s="44"/>
      <c r="BA1075" s="34"/>
      <c r="BB1075" s="34"/>
    </row>
    <row r="1076" spans="1:54" x14ac:dyDescent="0.35" ht="15.0" customHeight="true">
      <c r="A1076" s="51"/>
      <c r="B1076" s="34"/>
      <c r="C1076" s="34"/>
      <c r="D1076" s="34"/>
      <c r="E1076" s="34"/>
      <c r="F1076" s="34"/>
      <c r="G1076" s="44"/>
      <c r="H1076" s="34"/>
      <c r="I1076" s="54"/>
      <c r="J1076" s="34"/>
      <c r="K1076" s="54"/>
      <c r="L1076" s="34"/>
      <c r="M1076" s="44"/>
      <c r="N1076" s="44"/>
      <c r="O1076" s="34"/>
      <c r="P1076" s="34"/>
      <c r="Q1076" s="34"/>
      <c r="R1076" s="34"/>
      <c r="U1076" s="44"/>
      <c r="W1076" s="95"/>
      <c r="X1076" s="54"/>
      <c r="Y1076" s="54"/>
      <c r="Z1076" s="34"/>
      <c r="AA1076" s="34"/>
      <c r="AB1076" s="34"/>
      <c r="AC1076" s="34"/>
      <c r="AD1076" s="34"/>
      <c r="AE1076" s="34"/>
      <c r="AF1076" s="34"/>
      <c r="AG1076" s="34"/>
      <c r="AH1076" s="52"/>
      <c r="AI1076" s="52"/>
      <c r="AK1076" s="34"/>
      <c r="AL1076" s="34"/>
      <c r="AM1076" s="34"/>
      <c r="AN1076" s="54"/>
      <c r="AO1076" s="34"/>
      <c r="AP1076" s="34"/>
      <c r="AQ1076" s="54"/>
      <c r="AR1076" s="54"/>
      <c r="AS1076" s="54"/>
      <c r="AT1076" s="54"/>
      <c r="AU1076" s="34"/>
      <c r="AV1076" s="34"/>
      <c r="AW1076" s="34"/>
      <c r="AX1076" s="34"/>
      <c r="AY1076" s="34"/>
      <c r="AZ1076" s="44"/>
      <c r="BA1076" s="34"/>
      <c r="BB1076" s="34"/>
    </row>
    <row r="1077" spans="1:54" x14ac:dyDescent="0.35" ht="15.0" customHeight="true">
      <c r="A1077" s="51"/>
      <c r="B1077" s="34"/>
      <c r="C1077" s="34"/>
      <c r="D1077" s="34"/>
      <c r="E1077" s="34"/>
      <c r="F1077" s="34"/>
      <c r="G1077" s="44"/>
      <c r="H1077" s="34"/>
      <c r="I1077" s="54"/>
      <c r="J1077" s="34"/>
      <c r="K1077" s="54"/>
      <c r="L1077" s="34"/>
      <c r="M1077" s="44"/>
      <c r="N1077" s="44"/>
      <c r="O1077" s="34"/>
      <c r="P1077" s="34"/>
      <c r="Q1077" s="34"/>
      <c r="R1077" s="34"/>
      <c r="U1077" s="44"/>
      <c r="W1077" s="95"/>
      <c r="X1077" s="54"/>
      <c r="Y1077" s="54"/>
      <c r="Z1077" s="34"/>
      <c r="AA1077" s="34"/>
      <c r="AB1077" s="34"/>
      <c r="AC1077" s="34"/>
      <c r="AD1077" s="34"/>
      <c r="AE1077" s="34"/>
      <c r="AF1077" s="34"/>
      <c r="AG1077" s="34"/>
      <c r="AH1077" s="52"/>
      <c r="AI1077" s="52"/>
      <c r="AK1077" s="34"/>
      <c r="AL1077" s="34"/>
      <c r="AM1077" s="34"/>
      <c r="AN1077" s="54"/>
      <c r="AO1077" s="34"/>
      <c r="AP1077" s="34"/>
      <c r="AQ1077" s="54"/>
      <c r="AR1077" s="54"/>
      <c r="AS1077" s="54"/>
      <c r="AT1077" s="54"/>
      <c r="AU1077" s="34"/>
      <c r="AV1077" s="34"/>
      <c r="AW1077" s="34"/>
      <c r="AX1077" s="34"/>
      <c r="AY1077" s="34"/>
      <c r="AZ1077" s="44"/>
      <c r="BA1077" s="34"/>
      <c r="BB1077" s="34"/>
    </row>
    <row r="1078" spans="1:54" x14ac:dyDescent="0.35" ht="15.0" customHeight="true">
      <c r="A1078" s="51"/>
      <c r="B1078" s="34"/>
      <c r="C1078" s="34"/>
      <c r="D1078" s="34"/>
      <c r="E1078" s="34"/>
      <c r="F1078" s="34"/>
      <c r="G1078" s="44"/>
      <c r="H1078" s="34"/>
      <c r="I1078" s="54"/>
      <c r="J1078" s="34"/>
      <c r="K1078" s="54"/>
      <c r="L1078" s="34"/>
      <c r="M1078" s="44"/>
      <c r="N1078" s="44"/>
      <c r="O1078" s="34"/>
      <c r="P1078" s="34"/>
      <c r="Q1078" s="34"/>
      <c r="R1078" s="34"/>
      <c r="U1078" s="44"/>
      <c r="W1078" s="95"/>
      <c r="X1078" s="54"/>
      <c r="Y1078" s="54"/>
      <c r="Z1078" s="34"/>
      <c r="AA1078" s="34"/>
      <c r="AB1078" s="34"/>
      <c r="AC1078" s="34"/>
      <c r="AD1078" s="34"/>
      <c r="AE1078" s="34"/>
      <c r="AF1078" s="34"/>
      <c r="AG1078" s="34"/>
      <c r="AH1078" s="52"/>
      <c r="AI1078" s="52"/>
      <c r="AK1078" s="34"/>
      <c r="AL1078" s="34"/>
      <c r="AM1078" s="34"/>
      <c r="AN1078" s="54"/>
      <c r="AO1078" s="34"/>
      <c r="AP1078" s="34"/>
      <c r="AQ1078" s="54"/>
      <c r="AR1078" s="54"/>
      <c r="AS1078" s="54"/>
      <c r="AT1078" s="54"/>
      <c r="AU1078" s="34"/>
      <c r="AV1078" s="34"/>
      <c r="AW1078" s="34"/>
      <c r="AX1078" s="34"/>
      <c r="AY1078" s="34"/>
      <c r="AZ1078" s="44"/>
      <c r="BA1078" s="34"/>
      <c r="BB1078" s="34"/>
    </row>
    <row r="1079" spans="1:54" x14ac:dyDescent="0.35" ht="15.0" customHeight="true">
      <c r="A1079" s="51"/>
      <c r="B1079" s="34"/>
      <c r="C1079" s="34"/>
      <c r="D1079" s="34"/>
      <c r="E1079" s="34"/>
      <c r="F1079" s="34"/>
      <c r="G1079" s="44"/>
      <c r="H1079" s="34"/>
      <c r="I1079" s="54"/>
      <c r="J1079" s="34"/>
      <c r="K1079" s="54"/>
      <c r="L1079" s="34"/>
      <c r="M1079" s="44"/>
      <c r="N1079" s="44"/>
      <c r="O1079" s="34"/>
      <c r="P1079" s="34"/>
      <c r="Q1079" s="34"/>
      <c r="R1079" s="34"/>
      <c r="U1079" s="44"/>
      <c r="W1079" s="95"/>
      <c r="X1079" s="54"/>
      <c r="Y1079" s="54"/>
      <c r="Z1079" s="34"/>
      <c r="AA1079" s="34"/>
      <c r="AB1079" s="34"/>
      <c r="AC1079" s="34"/>
      <c r="AD1079" s="34"/>
      <c r="AE1079" s="34"/>
      <c r="AF1079" s="34"/>
      <c r="AG1079" s="34"/>
      <c r="AH1079" s="52"/>
      <c r="AI1079" s="52"/>
      <c r="AK1079" s="34"/>
      <c r="AL1079" s="34"/>
      <c r="AM1079" s="34"/>
      <c r="AN1079" s="54"/>
      <c r="AO1079" s="34"/>
      <c r="AP1079" s="34"/>
      <c r="AQ1079" s="54"/>
      <c r="AR1079" s="54"/>
      <c r="AS1079" s="54"/>
      <c r="AT1079" s="54"/>
      <c r="AU1079" s="34"/>
      <c r="AV1079" s="34"/>
      <c r="AW1079" s="34"/>
      <c r="AX1079" s="34"/>
      <c r="AY1079" s="34"/>
      <c r="AZ1079" s="44"/>
      <c r="BA1079" s="34"/>
      <c r="BB1079" s="34"/>
    </row>
    <row r="1080" spans="1:54" x14ac:dyDescent="0.35" ht="15.0" customHeight="true">
      <c r="A1080" s="51"/>
      <c r="B1080" s="34"/>
      <c r="C1080" s="34"/>
      <c r="D1080" s="34"/>
      <c r="E1080" s="34"/>
      <c r="F1080" s="34"/>
      <c r="G1080" s="44"/>
      <c r="H1080" s="34"/>
      <c r="I1080" s="54"/>
      <c r="J1080" s="34"/>
      <c r="K1080" s="54"/>
      <c r="L1080" s="34"/>
      <c r="M1080" s="44"/>
      <c r="N1080" s="44"/>
      <c r="O1080" s="34"/>
      <c r="P1080" s="34"/>
      <c r="Q1080" s="34"/>
      <c r="R1080" s="34"/>
      <c r="U1080" s="44"/>
      <c r="W1080" s="95"/>
      <c r="X1080" s="54"/>
      <c r="Y1080" s="54"/>
      <c r="Z1080" s="34"/>
      <c r="AA1080" s="34"/>
      <c r="AB1080" s="34"/>
      <c r="AC1080" s="34"/>
      <c r="AD1080" s="34"/>
      <c r="AE1080" s="34"/>
      <c r="AF1080" s="34"/>
      <c r="AG1080" s="34"/>
      <c r="AH1080" s="52"/>
      <c r="AI1080" s="52"/>
      <c r="AK1080" s="34"/>
      <c r="AL1080" s="34"/>
      <c r="AM1080" s="34"/>
      <c r="AN1080" s="54"/>
      <c r="AO1080" s="34"/>
      <c r="AP1080" s="34"/>
      <c r="AQ1080" s="54"/>
      <c r="AR1080" s="54"/>
      <c r="AS1080" s="54"/>
      <c r="AT1080" s="54"/>
      <c r="AU1080" s="34"/>
      <c r="AV1080" s="34"/>
      <c r="AW1080" s="34"/>
      <c r="AX1080" s="34"/>
      <c r="AY1080" s="34"/>
      <c r="AZ1080" s="44"/>
      <c r="BA1080" s="34"/>
      <c r="BB1080" s="34"/>
    </row>
    <row r="1081" spans="1:54" x14ac:dyDescent="0.35" ht="15.0" customHeight="true">
      <c r="A1081" s="51"/>
      <c r="B1081" s="34"/>
      <c r="C1081" s="34"/>
      <c r="D1081" s="34"/>
      <c r="E1081" s="34"/>
      <c r="F1081" s="34"/>
      <c r="G1081" s="44"/>
      <c r="H1081" s="34"/>
      <c r="I1081" s="54"/>
      <c r="J1081" s="34"/>
      <c r="K1081" s="54"/>
      <c r="L1081" s="34"/>
      <c r="M1081" s="44"/>
      <c r="N1081" s="44"/>
      <c r="O1081" s="34"/>
      <c r="P1081" s="34"/>
      <c r="Q1081" s="34"/>
      <c r="R1081" s="34"/>
      <c r="U1081" s="44"/>
      <c r="W1081" s="95"/>
      <c r="X1081" s="54"/>
      <c r="Y1081" s="54"/>
      <c r="Z1081" s="34"/>
      <c r="AA1081" s="34"/>
      <c r="AB1081" s="34"/>
      <c r="AC1081" s="34"/>
      <c r="AD1081" s="34"/>
      <c r="AE1081" s="34"/>
      <c r="AF1081" s="34"/>
      <c r="AG1081" s="34"/>
      <c r="AH1081" s="52"/>
      <c r="AI1081" s="52"/>
      <c r="AK1081" s="34"/>
      <c r="AL1081" s="34"/>
      <c r="AM1081" s="34"/>
      <c r="AN1081" s="54"/>
      <c r="AO1081" s="34"/>
      <c r="AP1081" s="34"/>
      <c r="AQ1081" s="54"/>
      <c r="AR1081" s="54"/>
      <c r="AS1081" s="54"/>
      <c r="AT1081" s="54"/>
      <c r="AU1081" s="34"/>
      <c r="AV1081" s="34"/>
      <c r="AW1081" s="34"/>
      <c r="AX1081" s="34"/>
      <c r="AY1081" s="34"/>
      <c r="AZ1081" s="44"/>
      <c r="BA1081" s="34"/>
      <c r="BB1081" s="34"/>
    </row>
    <row r="1082" spans="1:54" x14ac:dyDescent="0.35" ht="15.0" customHeight="true">
      <c r="A1082" s="51"/>
      <c r="B1082" s="34"/>
      <c r="C1082" s="34"/>
      <c r="D1082" s="34"/>
      <c r="E1082" s="34"/>
      <c r="F1082" s="34"/>
      <c r="G1082" s="44"/>
      <c r="H1082" s="34"/>
      <c r="I1082" s="54"/>
      <c r="J1082" s="34"/>
      <c r="K1082" s="54"/>
      <c r="L1082" s="34"/>
      <c r="M1082" s="44"/>
      <c r="N1082" s="44"/>
      <c r="O1082" s="34"/>
      <c r="P1082" s="34"/>
      <c r="Q1082" s="34"/>
      <c r="R1082" s="34"/>
      <c r="U1082" s="44"/>
      <c r="W1082" s="95"/>
      <c r="X1082" s="54"/>
      <c r="Y1082" s="54"/>
      <c r="Z1082" s="34"/>
      <c r="AA1082" s="34"/>
      <c r="AB1082" s="34"/>
      <c r="AC1082" s="34"/>
      <c r="AD1082" s="34"/>
      <c r="AE1082" s="34"/>
      <c r="AF1082" s="34"/>
      <c r="AG1082" s="34"/>
      <c r="AH1082" s="52"/>
      <c r="AI1082" s="52"/>
      <c r="AK1082" s="34"/>
      <c r="AL1082" s="34"/>
      <c r="AM1082" s="34"/>
      <c r="AN1082" s="54"/>
      <c r="AO1082" s="34"/>
      <c r="AP1082" s="34"/>
      <c r="AQ1082" s="54"/>
      <c r="AR1082" s="54"/>
      <c r="AS1082" s="54"/>
      <c r="AT1082" s="54"/>
      <c r="AU1082" s="34"/>
      <c r="AV1082" s="34"/>
      <c r="AW1082" s="34"/>
      <c r="AX1082" s="34"/>
      <c r="AY1082" s="34"/>
      <c r="AZ1082" s="44"/>
      <c r="BA1082" s="34"/>
      <c r="BB1082" s="34"/>
    </row>
    <row r="1083" spans="1:54" x14ac:dyDescent="0.35" ht="15.0" customHeight="true">
      <c r="A1083" s="51"/>
      <c r="B1083" s="34"/>
      <c r="C1083" s="34"/>
      <c r="D1083" s="34"/>
      <c r="E1083" s="34"/>
      <c r="F1083" s="34"/>
      <c r="G1083" s="44"/>
      <c r="H1083" s="34"/>
      <c r="I1083" s="54"/>
      <c r="J1083" s="34"/>
      <c r="K1083" s="54"/>
      <c r="L1083" s="34"/>
      <c r="M1083" s="44"/>
      <c r="N1083" s="44"/>
      <c r="O1083" s="34"/>
      <c r="P1083" s="34"/>
      <c r="Q1083" s="34"/>
      <c r="R1083" s="34"/>
      <c r="U1083" s="44"/>
      <c r="W1083" s="95"/>
      <c r="X1083" s="54"/>
      <c r="Y1083" s="54"/>
      <c r="Z1083" s="34"/>
      <c r="AA1083" s="34"/>
      <c r="AB1083" s="34"/>
      <c r="AC1083" s="34"/>
      <c r="AD1083" s="34"/>
      <c r="AE1083" s="34"/>
      <c r="AF1083" s="34"/>
      <c r="AG1083" s="34"/>
      <c r="AH1083" s="52"/>
      <c r="AI1083" s="52"/>
      <c r="AK1083" s="34"/>
      <c r="AL1083" s="34"/>
      <c r="AM1083" s="34"/>
      <c r="AN1083" s="54"/>
      <c r="AO1083" s="34"/>
      <c r="AP1083" s="34"/>
      <c r="AQ1083" s="54"/>
      <c r="AR1083" s="54"/>
      <c r="AS1083" s="54"/>
      <c r="AT1083" s="54"/>
      <c r="AU1083" s="34"/>
      <c r="AV1083" s="34"/>
      <c r="AW1083" s="34"/>
      <c r="AX1083" s="34"/>
      <c r="AY1083" s="34"/>
      <c r="AZ1083" s="44"/>
      <c r="BA1083" s="34"/>
      <c r="BB1083" s="34"/>
    </row>
    <row r="1084" spans="1:54" x14ac:dyDescent="0.35" ht="15.0" customHeight="true">
      <c r="A1084" s="51"/>
      <c r="B1084" s="34"/>
      <c r="C1084" s="34"/>
      <c r="D1084" s="34"/>
      <c r="E1084" s="34"/>
      <c r="F1084" s="34"/>
      <c r="G1084" s="44"/>
      <c r="H1084" s="34"/>
      <c r="I1084" s="54"/>
      <c r="J1084" s="34"/>
      <c r="K1084" s="54"/>
      <c r="L1084" s="34"/>
      <c r="M1084" s="44"/>
      <c r="N1084" s="44"/>
      <c r="O1084" s="34"/>
      <c r="P1084" s="34"/>
      <c r="Q1084" s="34"/>
      <c r="R1084" s="34"/>
      <c r="U1084" s="44"/>
      <c r="W1084" s="95"/>
      <c r="X1084" s="54"/>
      <c r="Y1084" s="54"/>
      <c r="Z1084" s="34"/>
      <c r="AA1084" s="34"/>
      <c r="AB1084" s="34"/>
      <c r="AC1084" s="34"/>
      <c r="AD1084" s="34"/>
      <c r="AE1084" s="34"/>
      <c r="AF1084" s="34"/>
      <c r="AG1084" s="34"/>
      <c r="AH1084" s="52"/>
      <c r="AI1084" s="52"/>
      <c r="AK1084" s="34"/>
      <c r="AL1084" s="34"/>
      <c r="AM1084" s="34"/>
      <c r="AN1084" s="54"/>
      <c r="AO1084" s="34"/>
      <c r="AP1084" s="34"/>
      <c r="AQ1084" s="54"/>
      <c r="AR1084" s="54"/>
      <c r="AS1084" s="54"/>
      <c r="AT1084" s="54"/>
      <c r="AU1084" s="34"/>
      <c r="AV1084" s="34"/>
      <c r="AW1084" s="34"/>
      <c r="AX1084" s="34"/>
      <c r="AY1084" s="34"/>
      <c r="AZ1084" s="44"/>
      <c r="BA1084" s="34"/>
      <c r="BB1084" s="34"/>
    </row>
    <row r="1085" spans="1:54" x14ac:dyDescent="0.35" ht="15.0" customHeight="true">
      <c r="A1085" s="51"/>
      <c r="B1085" s="34"/>
      <c r="C1085" s="34"/>
      <c r="D1085" s="34"/>
      <c r="E1085" s="34"/>
      <c r="F1085" s="34"/>
      <c r="G1085" s="44"/>
      <c r="H1085" s="34"/>
      <c r="I1085" s="54"/>
      <c r="J1085" s="34"/>
      <c r="K1085" s="54"/>
      <c r="L1085" s="34"/>
      <c r="M1085" s="44"/>
      <c r="N1085" s="44"/>
      <c r="O1085" s="34"/>
      <c r="P1085" s="34"/>
      <c r="Q1085" s="34"/>
      <c r="R1085" s="34"/>
      <c r="U1085" s="44"/>
      <c r="W1085" s="95"/>
      <c r="X1085" s="54"/>
      <c r="Y1085" s="54"/>
      <c r="Z1085" s="34"/>
      <c r="AA1085" s="34"/>
      <c r="AB1085" s="34"/>
      <c r="AC1085" s="34"/>
      <c r="AD1085" s="34"/>
      <c r="AE1085" s="34"/>
      <c r="AF1085" s="34"/>
      <c r="AG1085" s="34"/>
      <c r="AH1085" s="52"/>
      <c r="AI1085" s="52"/>
      <c r="AK1085" s="34"/>
      <c r="AL1085" s="34"/>
      <c r="AM1085" s="34"/>
      <c r="AN1085" s="54"/>
      <c r="AO1085" s="34"/>
      <c r="AP1085" s="34"/>
      <c r="AQ1085" s="54"/>
      <c r="AR1085" s="54"/>
      <c r="AS1085" s="54"/>
      <c r="AT1085" s="54"/>
      <c r="AU1085" s="34"/>
      <c r="AV1085" s="34"/>
      <c r="AW1085" s="34"/>
      <c r="AX1085" s="34"/>
      <c r="AY1085" s="34"/>
      <c r="AZ1085" s="44"/>
      <c r="BA1085" s="34"/>
      <c r="BB1085" s="34"/>
    </row>
    <row r="1086" spans="1:54" x14ac:dyDescent="0.35" ht="15.0" customHeight="true">
      <c r="A1086" s="51"/>
      <c r="B1086" s="34"/>
      <c r="C1086" s="34"/>
      <c r="D1086" s="34"/>
      <c r="E1086" s="34"/>
      <c r="F1086" s="34"/>
      <c r="G1086" s="44"/>
      <c r="H1086" s="34"/>
      <c r="I1086" s="54"/>
      <c r="J1086" s="34"/>
      <c r="K1086" s="54"/>
      <c r="L1086" s="34"/>
      <c r="M1086" s="44"/>
      <c r="N1086" s="44"/>
      <c r="O1086" s="34"/>
      <c r="P1086" s="34"/>
      <c r="Q1086" s="34"/>
      <c r="R1086" s="34"/>
      <c r="U1086" s="44"/>
      <c r="W1086" s="95"/>
      <c r="X1086" s="54"/>
      <c r="Y1086" s="54"/>
      <c r="Z1086" s="34"/>
      <c r="AA1086" s="34"/>
      <c r="AB1086" s="34"/>
      <c r="AC1086" s="34"/>
      <c r="AD1086" s="34"/>
      <c r="AE1086" s="34"/>
      <c r="AF1086" s="34"/>
      <c r="AG1086" s="34"/>
      <c r="AH1086" s="52"/>
      <c r="AI1086" s="52"/>
      <c r="AK1086" s="34"/>
      <c r="AL1086" s="34"/>
      <c r="AM1086" s="34"/>
      <c r="AN1086" s="54"/>
      <c r="AO1086" s="34"/>
      <c r="AP1086" s="34"/>
      <c r="AQ1086" s="54"/>
      <c r="AR1086" s="54"/>
      <c r="AS1086" s="54"/>
      <c r="AT1086" s="54"/>
      <c r="AU1086" s="34"/>
      <c r="AV1086" s="34"/>
      <c r="AW1086" s="34"/>
      <c r="AX1086" s="34"/>
      <c r="AY1086" s="34"/>
      <c r="AZ1086" s="44"/>
      <c r="BA1086" s="34"/>
      <c r="BB1086" s="34"/>
    </row>
    <row r="1087" spans="1:54" x14ac:dyDescent="0.35" ht="15.0" customHeight="true">
      <c r="A1087" s="51"/>
      <c r="B1087" s="34"/>
      <c r="C1087" s="34"/>
      <c r="D1087" s="34"/>
      <c r="E1087" s="34"/>
      <c r="F1087" s="34"/>
      <c r="G1087" s="44"/>
      <c r="H1087" s="34"/>
      <c r="I1087" s="54"/>
      <c r="J1087" s="34"/>
      <c r="K1087" s="54"/>
      <c r="L1087" s="34"/>
      <c r="M1087" s="44"/>
      <c r="N1087" s="44"/>
      <c r="O1087" s="34"/>
      <c r="P1087" s="34"/>
      <c r="Q1087" s="34"/>
      <c r="R1087" s="34"/>
      <c r="U1087" s="44"/>
      <c r="W1087" s="95"/>
      <c r="X1087" s="54"/>
      <c r="Y1087" s="54"/>
      <c r="Z1087" s="34"/>
      <c r="AA1087" s="34"/>
      <c r="AB1087" s="34"/>
      <c r="AC1087" s="34"/>
      <c r="AD1087" s="34"/>
      <c r="AE1087" s="34"/>
      <c r="AF1087" s="34"/>
      <c r="AG1087" s="34"/>
      <c r="AH1087" s="52"/>
      <c r="AI1087" s="52"/>
      <c r="AK1087" s="34"/>
      <c r="AL1087" s="34"/>
      <c r="AM1087" s="34"/>
      <c r="AN1087" s="54"/>
      <c r="AO1087" s="34"/>
      <c r="AP1087" s="34"/>
      <c r="AQ1087" s="54"/>
      <c r="AR1087" s="54"/>
      <c r="AS1087" s="54"/>
      <c r="AT1087" s="54"/>
      <c r="AU1087" s="34"/>
      <c r="AV1087" s="34"/>
      <c r="AW1087" s="34"/>
      <c r="AX1087" s="34"/>
      <c r="AY1087" s="34"/>
      <c r="AZ1087" s="44"/>
      <c r="BA1087" s="34"/>
      <c r="BB1087" s="34"/>
    </row>
    <row r="1088" spans="1:54" x14ac:dyDescent="0.35" ht="15.0" customHeight="true">
      <c r="A1088" s="51"/>
      <c r="B1088" s="34"/>
      <c r="C1088" s="34"/>
      <c r="D1088" s="34"/>
      <c r="E1088" s="34"/>
      <c r="F1088" s="34"/>
      <c r="G1088" s="44"/>
      <c r="H1088" s="34"/>
      <c r="I1088" s="54"/>
      <c r="J1088" s="34"/>
      <c r="K1088" s="54"/>
      <c r="L1088" s="34"/>
      <c r="M1088" s="44"/>
      <c r="N1088" s="44"/>
      <c r="O1088" s="34"/>
      <c r="P1088" s="34"/>
      <c r="Q1088" s="34"/>
      <c r="R1088" s="34"/>
      <c r="U1088" s="44"/>
      <c r="W1088" s="95"/>
      <c r="X1088" s="54"/>
      <c r="Y1088" s="54"/>
      <c r="Z1088" s="34"/>
      <c r="AA1088" s="34"/>
      <c r="AB1088" s="34"/>
      <c r="AC1088" s="34"/>
      <c r="AD1088" s="34"/>
      <c r="AE1088" s="34"/>
      <c r="AF1088" s="34"/>
      <c r="AG1088" s="34"/>
      <c r="AH1088" s="52"/>
      <c r="AI1088" s="52"/>
      <c r="AK1088" s="34"/>
      <c r="AL1088" s="34"/>
      <c r="AM1088" s="34"/>
      <c r="AN1088" s="54"/>
      <c r="AO1088" s="34"/>
      <c r="AP1088" s="34"/>
      <c r="AQ1088" s="54"/>
      <c r="AR1088" s="54"/>
      <c r="AS1088" s="54"/>
      <c r="AT1088" s="54"/>
      <c r="AU1088" s="34"/>
      <c r="AV1088" s="34"/>
      <c r="AW1088" s="34"/>
      <c r="AX1088" s="34"/>
      <c r="AY1088" s="34"/>
      <c r="AZ1088" s="44"/>
      <c r="BA1088" s="34"/>
      <c r="BB1088" s="34"/>
    </row>
    <row r="1089" spans="1:54" x14ac:dyDescent="0.35" ht="15.0" customHeight="true">
      <c r="A1089" s="51"/>
      <c r="B1089" s="34"/>
      <c r="C1089" s="34"/>
      <c r="D1089" s="34"/>
      <c r="E1089" s="34"/>
      <c r="F1089" s="34"/>
      <c r="G1089" s="44"/>
      <c r="H1089" s="34"/>
      <c r="I1089" s="54"/>
      <c r="J1089" s="34"/>
      <c r="K1089" s="54"/>
      <c r="L1089" s="34"/>
      <c r="M1089" s="44"/>
      <c r="N1089" s="44"/>
      <c r="O1089" s="34"/>
      <c r="P1089" s="34"/>
      <c r="Q1089" s="34"/>
      <c r="R1089" s="34"/>
      <c r="U1089" s="44"/>
      <c r="W1089" s="95"/>
      <c r="X1089" s="54"/>
      <c r="Y1089" s="54"/>
      <c r="Z1089" s="34"/>
      <c r="AA1089" s="34"/>
      <c r="AB1089" s="34"/>
      <c r="AC1089" s="34"/>
      <c r="AD1089" s="34"/>
      <c r="AE1089" s="34"/>
      <c r="AF1089" s="34"/>
      <c r="AG1089" s="34"/>
      <c r="AH1089" s="52"/>
      <c r="AI1089" s="52"/>
      <c r="AK1089" s="34"/>
      <c r="AL1089" s="34"/>
      <c r="AM1089" s="34"/>
      <c r="AN1089" s="54"/>
      <c r="AO1089" s="34"/>
      <c r="AP1089" s="34"/>
      <c r="AQ1089" s="54"/>
      <c r="AR1089" s="54"/>
      <c r="AS1089" s="54"/>
      <c r="AT1089" s="54"/>
      <c r="AU1089" s="34"/>
      <c r="AV1089" s="34"/>
      <c r="AW1089" s="34"/>
      <c r="AX1089" s="34"/>
      <c r="AY1089" s="34"/>
      <c r="AZ1089" s="44"/>
      <c r="BA1089" s="34"/>
      <c r="BB1089" s="34"/>
    </row>
    <row r="1090" spans="1:54" x14ac:dyDescent="0.35" ht="15.0" customHeight="true">
      <c r="A1090" s="51"/>
      <c r="B1090" s="34"/>
      <c r="C1090" s="34"/>
      <c r="D1090" s="34"/>
      <c r="E1090" s="34"/>
      <c r="F1090" s="34"/>
      <c r="G1090" s="44"/>
      <c r="H1090" s="34"/>
      <c r="I1090" s="54"/>
      <c r="J1090" s="34"/>
      <c r="K1090" s="54"/>
      <c r="L1090" s="34"/>
      <c r="M1090" s="44"/>
      <c r="N1090" s="44"/>
      <c r="O1090" s="34"/>
      <c r="P1090" s="34"/>
      <c r="Q1090" s="34"/>
      <c r="R1090" s="34"/>
      <c r="U1090" s="44"/>
      <c r="W1090" s="95"/>
      <c r="X1090" s="54"/>
      <c r="Y1090" s="54"/>
      <c r="Z1090" s="34"/>
      <c r="AA1090" s="34"/>
      <c r="AB1090" s="34"/>
      <c r="AC1090" s="34"/>
      <c r="AD1090" s="34"/>
      <c r="AE1090" s="34"/>
      <c r="AF1090" s="34"/>
      <c r="AG1090" s="34"/>
      <c r="AH1090" s="52"/>
      <c r="AI1090" s="52"/>
      <c r="AK1090" s="34"/>
      <c r="AL1090" s="34"/>
      <c r="AM1090" s="34"/>
      <c r="AN1090" s="54"/>
      <c r="AO1090" s="34"/>
      <c r="AP1090" s="34"/>
      <c r="AQ1090" s="54"/>
      <c r="AR1090" s="54"/>
      <c r="AS1090" s="54"/>
      <c r="AT1090" s="54"/>
      <c r="AU1090" s="34"/>
      <c r="AV1090" s="34"/>
      <c r="AW1090" s="34"/>
      <c r="AX1090" s="34"/>
      <c r="AY1090" s="34"/>
      <c r="AZ1090" s="44"/>
      <c r="BA1090" s="34"/>
      <c r="BB1090" s="34"/>
    </row>
    <row r="1091" spans="1:54" x14ac:dyDescent="0.35" ht="15.0" customHeight="true">
      <c r="A1091" s="51"/>
      <c r="B1091" s="34"/>
      <c r="C1091" s="34"/>
      <c r="D1091" s="34"/>
      <c r="E1091" s="34"/>
      <c r="F1091" s="34"/>
      <c r="G1091" s="44"/>
      <c r="H1091" s="34"/>
      <c r="I1091" s="54"/>
      <c r="J1091" s="34"/>
      <c r="K1091" s="54"/>
      <c r="L1091" s="34"/>
      <c r="M1091" s="44"/>
      <c r="N1091" s="44"/>
      <c r="O1091" s="34"/>
      <c r="P1091" s="34"/>
      <c r="Q1091" s="34"/>
      <c r="R1091" s="34"/>
      <c r="U1091" s="44"/>
      <c r="W1091" s="95"/>
      <c r="X1091" s="54"/>
      <c r="Y1091" s="54"/>
      <c r="Z1091" s="34"/>
      <c r="AA1091" s="34"/>
      <c r="AB1091" s="34"/>
      <c r="AC1091" s="34"/>
      <c r="AD1091" s="34"/>
      <c r="AE1091" s="34"/>
      <c r="AF1091" s="34"/>
      <c r="AG1091" s="34"/>
      <c r="AH1091" s="52"/>
      <c r="AI1091" s="52"/>
      <c r="AK1091" s="34"/>
      <c r="AL1091" s="34"/>
      <c r="AM1091" s="34"/>
      <c r="AN1091" s="54"/>
      <c r="AO1091" s="34"/>
      <c r="AP1091" s="34"/>
      <c r="AQ1091" s="54"/>
      <c r="AR1091" s="54"/>
      <c r="AS1091" s="54"/>
      <c r="AT1091" s="54"/>
      <c r="AU1091" s="34"/>
      <c r="AV1091" s="34"/>
      <c r="AW1091" s="34"/>
      <c r="AX1091" s="34"/>
      <c r="AY1091" s="34"/>
      <c r="AZ1091" s="44"/>
      <c r="BA1091" s="34"/>
      <c r="BB1091" s="34"/>
    </row>
    <row r="1092" spans="1:54" x14ac:dyDescent="0.35" ht="15.0" customHeight="true">
      <c r="A1092" s="51"/>
      <c r="B1092" s="34"/>
      <c r="C1092" s="34"/>
      <c r="D1092" s="34"/>
      <c r="E1092" s="34"/>
      <c r="F1092" s="34"/>
      <c r="G1092" s="44"/>
      <c r="H1092" s="34"/>
      <c r="I1092" s="54"/>
      <c r="J1092" s="34"/>
      <c r="K1092" s="54"/>
      <c r="L1092" s="34"/>
      <c r="M1092" s="44"/>
      <c r="N1092" s="44"/>
      <c r="O1092" s="34"/>
      <c r="P1092" s="34"/>
      <c r="Q1092" s="34"/>
      <c r="R1092" s="34"/>
      <c r="U1092" s="44"/>
      <c r="W1092" s="95"/>
      <c r="X1092" s="54"/>
      <c r="Y1092" s="54"/>
      <c r="Z1092" s="34"/>
      <c r="AA1092" s="34"/>
      <c r="AB1092" s="34"/>
      <c r="AC1092" s="34"/>
      <c r="AD1092" s="34"/>
      <c r="AE1092" s="34"/>
      <c r="AF1092" s="34"/>
      <c r="AG1092" s="34"/>
      <c r="AH1092" s="52"/>
      <c r="AI1092" s="52"/>
      <c r="AK1092" s="34"/>
      <c r="AL1092" s="34"/>
      <c r="AM1092" s="34"/>
      <c r="AN1092" s="54"/>
      <c r="AO1092" s="34"/>
      <c r="AP1092" s="34"/>
      <c r="AQ1092" s="54"/>
      <c r="AR1092" s="54"/>
      <c r="AS1092" s="54"/>
      <c r="AT1092" s="54"/>
      <c r="AU1092" s="34"/>
      <c r="AV1092" s="34"/>
      <c r="AW1092" s="34"/>
      <c r="AX1092" s="34"/>
      <c r="AY1092" s="34"/>
      <c r="AZ1092" s="44"/>
      <c r="BA1092" s="34"/>
      <c r="BB1092" s="34"/>
    </row>
    <row r="1093" spans="1:54" x14ac:dyDescent="0.35" ht="15.0" customHeight="true">
      <c r="A1093" s="51"/>
      <c r="B1093" s="34"/>
      <c r="C1093" s="34"/>
      <c r="D1093" s="34"/>
      <c r="E1093" s="34"/>
      <c r="F1093" s="34"/>
      <c r="G1093" s="44"/>
      <c r="H1093" s="34"/>
      <c r="I1093" s="54"/>
      <c r="J1093" s="34"/>
      <c r="K1093" s="54"/>
      <c r="L1093" s="34"/>
      <c r="M1093" s="44"/>
      <c r="N1093" s="44"/>
      <c r="O1093" s="34"/>
      <c r="P1093" s="34"/>
      <c r="Q1093" s="34"/>
      <c r="R1093" s="34"/>
      <c r="U1093" s="44"/>
      <c r="W1093" s="95"/>
      <c r="X1093" s="54"/>
      <c r="Y1093" s="54"/>
      <c r="Z1093" s="34"/>
      <c r="AA1093" s="34"/>
      <c r="AB1093" s="34"/>
      <c r="AC1093" s="34"/>
      <c r="AD1093" s="34"/>
      <c r="AE1093" s="34"/>
      <c r="AF1093" s="34"/>
      <c r="AG1093" s="34"/>
      <c r="AH1093" s="52"/>
      <c r="AI1093" s="52"/>
      <c r="AK1093" s="34"/>
      <c r="AL1093" s="34"/>
      <c r="AM1093" s="34"/>
      <c r="AN1093" s="54"/>
      <c r="AO1093" s="34"/>
      <c r="AP1093" s="34"/>
      <c r="AQ1093" s="54"/>
      <c r="AR1093" s="54"/>
      <c r="AS1093" s="54"/>
      <c r="AT1093" s="54"/>
      <c r="AU1093" s="34"/>
      <c r="AV1093" s="34"/>
      <c r="AW1093" s="34"/>
      <c r="AX1093" s="34"/>
      <c r="AY1093" s="34"/>
      <c r="AZ1093" s="44"/>
      <c r="BA1093" s="34"/>
      <c r="BB1093" s="34"/>
    </row>
    <row r="1094" spans="1:54" x14ac:dyDescent="0.35" ht="15.0" customHeight="true">
      <c r="A1094" s="51"/>
      <c r="B1094" s="34"/>
      <c r="C1094" s="34"/>
      <c r="D1094" s="34"/>
      <c r="E1094" s="34"/>
      <c r="F1094" s="34"/>
      <c r="G1094" s="44"/>
      <c r="H1094" s="34"/>
      <c r="I1094" s="54"/>
      <c r="J1094" s="34"/>
      <c r="K1094" s="54"/>
      <c r="L1094" s="34"/>
      <c r="M1094" s="44"/>
      <c r="N1094" s="44"/>
      <c r="O1094" s="34"/>
      <c r="P1094" s="34"/>
      <c r="Q1094" s="34"/>
      <c r="R1094" s="34"/>
      <c r="U1094" s="44"/>
      <c r="W1094" s="95"/>
      <c r="X1094" s="54"/>
      <c r="Y1094" s="54"/>
      <c r="Z1094" s="34"/>
      <c r="AA1094" s="34"/>
      <c r="AB1094" s="34"/>
      <c r="AC1094" s="34"/>
      <c r="AD1094" s="34"/>
      <c r="AE1094" s="34"/>
      <c r="AF1094" s="34"/>
      <c r="AG1094" s="34"/>
      <c r="AH1094" s="52"/>
      <c r="AI1094" s="52"/>
      <c r="AK1094" s="34"/>
      <c r="AL1094" s="34"/>
      <c r="AM1094" s="34"/>
      <c r="AN1094" s="54"/>
      <c r="AO1094" s="34"/>
      <c r="AP1094" s="34"/>
      <c r="AQ1094" s="54"/>
      <c r="AR1094" s="54"/>
      <c r="AS1094" s="54"/>
      <c r="AT1094" s="54"/>
      <c r="AU1094" s="34"/>
      <c r="AV1094" s="34"/>
      <c r="AW1094" s="34"/>
      <c r="AX1094" s="34"/>
      <c r="AY1094" s="34"/>
      <c r="AZ1094" s="44"/>
      <c r="BA1094" s="34"/>
      <c r="BB1094" s="34"/>
    </row>
    <row r="1095" spans="1:54" x14ac:dyDescent="0.35" ht="15.0" customHeight="true">
      <c r="A1095" s="51"/>
      <c r="B1095" s="34"/>
      <c r="C1095" s="34"/>
      <c r="D1095" s="34"/>
      <c r="E1095" s="34"/>
      <c r="F1095" s="34"/>
      <c r="G1095" s="44"/>
      <c r="H1095" s="34"/>
      <c r="I1095" s="54"/>
      <c r="J1095" s="34"/>
      <c r="K1095" s="54"/>
      <c r="L1095" s="34"/>
      <c r="M1095" s="44"/>
      <c r="N1095" s="44"/>
      <c r="O1095" s="34"/>
      <c r="P1095" s="34"/>
      <c r="Q1095" s="34"/>
      <c r="R1095" s="34"/>
      <c r="U1095" s="44"/>
      <c r="W1095" s="95"/>
      <c r="X1095" s="54"/>
      <c r="Y1095" s="54"/>
      <c r="Z1095" s="34"/>
      <c r="AA1095" s="34"/>
      <c r="AB1095" s="34"/>
      <c r="AC1095" s="34"/>
      <c r="AD1095" s="34"/>
      <c r="AE1095" s="34"/>
      <c r="AF1095" s="34"/>
      <c r="AG1095" s="34"/>
      <c r="AH1095" s="52"/>
      <c r="AI1095" s="52"/>
      <c r="AK1095" s="34"/>
      <c r="AL1095" s="34"/>
      <c r="AM1095" s="34"/>
      <c r="AN1095" s="54"/>
      <c r="AO1095" s="34"/>
      <c r="AP1095" s="34"/>
      <c r="AQ1095" s="54"/>
      <c r="AR1095" s="54"/>
      <c r="AS1095" s="54"/>
      <c r="AT1095" s="54"/>
      <c r="AU1095" s="34"/>
      <c r="AV1095" s="34"/>
      <c r="AW1095" s="34"/>
      <c r="AX1095" s="34"/>
      <c r="AY1095" s="34"/>
      <c r="AZ1095" s="44"/>
      <c r="BA1095" s="34"/>
      <c r="BB1095" s="34"/>
    </row>
    <row r="1096" spans="1:54" x14ac:dyDescent="0.35" ht="15.0" customHeight="true">
      <c r="A1096" s="51"/>
      <c r="B1096" s="34"/>
      <c r="C1096" s="34"/>
      <c r="D1096" s="34"/>
      <c r="E1096" s="34"/>
      <c r="F1096" s="34"/>
      <c r="G1096" s="44"/>
      <c r="H1096" s="34"/>
      <c r="I1096" s="54"/>
      <c r="J1096" s="34"/>
      <c r="K1096" s="54"/>
      <c r="L1096" s="34"/>
      <c r="M1096" s="44"/>
      <c r="N1096" s="44"/>
      <c r="O1096" s="34"/>
      <c r="P1096" s="34"/>
      <c r="Q1096" s="34"/>
      <c r="R1096" s="34"/>
      <c r="U1096" s="44"/>
      <c r="W1096" s="95"/>
      <c r="X1096" s="54"/>
      <c r="Y1096" s="54"/>
      <c r="Z1096" s="34"/>
      <c r="AA1096" s="34"/>
      <c r="AB1096" s="34"/>
      <c r="AC1096" s="34"/>
      <c r="AD1096" s="34"/>
      <c r="AE1096" s="34"/>
      <c r="AF1096" s="34"/>
      <c r="AG1096" s="34"/>
      <c r="AH1096" s="52"/>
      <c r="AI1096" s="52"/>
      <c r="AK1096" s="34"/>
      <c r="AL1096" s="34"/>
      <c r="AM1096" s="34"/>
      <c r="AN1096" s="54"/>
      <c r="AO1096" s="34"/>
      <c r="AP1096" s="34"/>
      <c r="AQ1096" s="54"/>
      <c r="AR1096" s="54"/>
      <c r="AS1096" s="54"/>
      <c r="AT1096" s="54"/>
      <c r="AU1096" s="34"/>
      <c r="AV1096" s="34"/>
      <c r="AW1096" s="34"/>
      <c r="AX1096" s="34"/>
      <c r="AY1096" s="34"/>
      <c r="AZ1096" s="44"/>
      <c r="BA1096" s="34"/>
      <c r="BB1096" s="34"/>
    </row>
    <row r="1097" spans="1:54" x14ac:dyDescent="0.35" ht="15.0" customHeight="true">
      <c r="A1097" s="51"/>
      <c r="B1097" s="34"/>
      <c r="C1097" s="34"/>
      <c r="D1097" s="34"/>
      <c r="E1097" s="34"/>
      <c r="F1097" s="34"/>
      <c r="G1097" s="44"/>
      <c r="H1097" s="34"/>
      <c r="I1097" s="54"/>
      <c r="J1097" s="34"/>
      <c r="K1097" s="54"/>
      <c r="L1097" s="34"/>
      <c r="M1097" s="44"/>
      <c r="N1097" s="44"/>
      <c r="O1097" s="34"/>
      <c r="P1097" s="34"/>
      <c r="Q1097" s="34"/>
      <c r="R1097" s="34"/>
      <c r="U1097" s="44"/>
      <c r="W1097" s="95"/>
      <c r="X1097" s="54"/>
      <c r="Y1097" s="54"/>
      <c r="Z1097" s="34"/>
      <c r="AA1097" s="34"/>
      <c r="AB1097" s="34"/>
      <c r="AC1097" s="34"/>
      <c r="AD1097" s="34"/>
      <c r="AE1097" s="34"/>
      <c r="AF1097" s="34"/>
      <c r="AG1097" s="34"/>
      <c r="AH1097" s="52"/>
      <c r="AI1097" s="52"/>
      <c r="AK1097" s="34"/>
      <c r="AL1097" s="34"/>
      <c r="AM1097" s="34"/>
      <c r="AN1097" s="54"/>
      <c r="AO1097" s="34"/>
      <c r="AP1097" s="34"/>
      <c r="AQ1097" s="54"/>
      <c r="AR1097" s="54"/>
      <c r="AS1097" s="54"/>
      <c r="AT1097" s="54"/>
      <c r="AU1097" s="34"/>
      <c r="AV1097" s="34"/>
      <c r="AW1097" s="34"/>
      <c r="AX1097" s="34"/>
      <c r="AY1097" s="34"/>
      <c r="AZ1097" s="44"/>
      <c r="BA1097" s="34"/>
      <c r="BB1097" s="34"/>
    </row>
    <row r="1098" spans="1:54" x14ac:dyDescent="0.35" ht="15.0" customHeight="true">
      <c r="A1098" s="51"/>
      <c r="B1098" s="34"/>
      <c r="C1098" s="34"/>
      <c r="D1098" s="34"/>
      <c r="E1098" s="34"/>
      <c r="F1098" s="34"/>
      <c r="G1098" s="44"/>
      <c r="H1098" s="34"/>
      <c r="I1098" s="54"/>
      <c r="J1098" s="34"/>
      <c r="K1098" s="54"/>
      <c r="L1098" s="34"/>
      <c r="M1098" s="44"/>
      <c r="N1098" s="44"/>
      <c r="O1098" s="34"/>
      <c r="P1098" s="34"/>
      <c r="Q1098" s="34"/>
      <c r="R1098" s="34"/>
      <c r="U1098" s="44"/>
      <c r="W1098" s="95"/>
      <c r="X1098" s="54"/>
      <c r="Y1098" s="54"/>
      <c r="Z1098" s="34"/>
      <c r="AA1098" s="34"/>
      <c r="AB1098" s="34"/>
      <c r="AC1098" s="34"/>
      <c r="AD1098" s="34"/>
      <c r="AE1098" s="34"/>
      <c r="AF1098" s="34"/>
      <c r="AG1098" s="34"/>
      <c r="AH1098" s="52"/>
      <c r="AI1098" s="52"/>
      <c r="AK1098" s="34"/>
      <c r="AL1098" s="34"/>
      <c r="AM1098" s="34"/>
      <c r="AN1098" s="54"/>
      <c r="AO1098" s="34"/>
      <c r="AP1098" s="34"/>
      <c r="AQ1098" s="54"/>
      <c r="AR1098" s="54"/>
      <c r="AS1098" s="54"/>
      <c r="AT1098" s="54"/>
      <c r="AU1098" s="34"/>
      <c r="AV1098" s="34"/>
      <c r="AW1098" s="34"/>
      <c r="AX1098" s="34"/>
      <c r="AY1098" s="34"/>
      <c r="AZ1098" s="44"/>
      <c r="BA1098" s="34"/>
      <c r="BB1098" s="34"/>
    </row>
    <row r="1099" spans="1:54" x14ac:dyDescent="0.35" ht="15.0" customHeight="true">
      <c r="A1099" s="51"/>
      <c r="B1099" s="34"/>
      <c r="C1099" s="34"/>
      <c r="D1099" s="34"/>
      <c r="E1099" s="34"/>
      <c r="F1099" s="34"/>
      <c r="G1099" s="44"/>
      <c r="H1099" s="34"/>
      <c r="I1099" s="54"/>
      <c r="J1099" s="34"/>
      <c r="K1099" s="54"/>
      <c r="L1099" s="34"/>
      <c r="M1099" s="44"/>
      <c r="N1099" s="44"/>
      <c r="O1099" s="34"/>
      <c r="P1099" s="34"/>
      <c r="Q1099" s="34"/>
      <c r="R1099" s="34"/>
      <c r="U1099" s="44"/>
      <c r="W1099" s="95"/>
      <c r="X1099" s="54"/>
      <c r="Y1099" s="54"/>
      <c r="Z1099" s="34"/>
      <c r="AA1099" s="34"/>
      <c r="AB1099" s="34"/>
      <c r="AC1099" s="34"/>
      <c r="AD1099" s="34"/>
      <c r="AE1099" s="34"/>
      <c r="AF1099" s="34"/>
      <c r="AG1099" s="34"/>
      <c r="AH1099" s="52"/>
      <c r="AI1099" s="52"/>
      <c r="AK1099" s="34"/>
      <c r="AL1099" s="34"/>
      <c r="AM1099" s="34"/>
      <c r="AN1099" s="54"/>
      <c r="AO1099" s="34"/>
      <c r="AP1099" s="34"/>
      <c r="AQ1099" s="54"/>
      <c r="AR1099" s="54"/>
      <c r="AS1099" s="54"/>
      <c r="AT1099" s="54"/>
      <c r="AU1099" s="34"/>
      <c r="AV1099" s="34"/>
      <c r="AW1099" s="34"/>
      <c r="AX1099" s="34"/>
      <c r="AY1099" s="34"/>
      <c r="AZ1099" s="44"/>
      <c r="BA1099" s="34"/>
      <c r="BB1099" s="34"/>
    </row>
    <row r="1100" spans="1:54" x14ac:dyDescent="0.35" ht="15.0" customHeight="true">
      <c r="A1100" s="51"/>
      <c r="B1100" s="34"/>
      <c r="C1100" s="34"/>
      <c r="D1100" s="34"/>
      <c r="E1100" s="34"/>
      <c r="F1100" s="34"/>
      <c r="G1100" s="44"/>
      <c r="H1100" s="34"/>
      <c r="I1100" s="54"/>
      <c r="J1100" s="34"/>
      <c r="K1100" s="54"/>
      <c r="L1100" s="34"/>
      <c r="M1100" s="44"/>
      <c r="N1100" s="44"/>
      <c r="O1100" s="34"/>
      <c r="P1100" s="34"/>
      <c r="Q1100" s="34"/>
      <c r="R1100" s="34"/>
      <c r="U1100" s="44"/>
      <c r="W1100" s="95"/>
      <c r="X1100" s="54"/>
      <c r="Y1100" s="54"/>
      <c r="Z1100" s="34"/>
      <c r="AA1100" s="34"/>
      <c r="AB1100" s="34"/>
      <c r="AC1100" s="34"/>
      <c r="AD1100" s="34"/>
      <c r="AE1100" s="34"/>
      <c r="AF1100" s="34"/>
      <c r="AG1100" s="34"/>
      <c r="AH1100" s="52"/>
      <c r="AI1100" s="52"/>
      <c r="AK1100" s="34"/>
      <c r="AL1100" s="34"/>
      <c r="AM1100" s="34"/>
      <c r="AN1100" s="54"/>
      <c r="AO1100" s="34"/>
      <c r="AP1100" s="34"/>
      <c r="AQ1100" s="54"/>
      <c r="AR1100" s="54"/>
      <c r="AS1100" s="54"/>
      <c r="AT1100" s="54"/>
      <c r="AU1100" s="34"/>
      <c r="AV1100" s="34"/>
      <c r="AW1100" s="34"/>
      <c r="AX1100" s="34"/>
      <c r="AY1100" s="34"/>
      <c r="AZ1100" s="44"/>
      <c r="BA1100" s="34"/>
      <c r="BB1100" s="34"/>
    </row>
    <row r="1101" spans="1:54" x14ac:dyDescent="0.35" ht="15.0" customHeight="true">
      <c r="A1101" s="51"/>
      <c r="B1101" s="34"/>
      <c r="C1101" s="34"/>
      <c r="D1101" s="34"/>
      <c r="E1101" s="34"/>
      <c r="F1101" s="34"/>
      <c r="G1101" s="44"/>
      <c r="H1101" s="34"/>
      <c r="I1101" s="54"/>
      <c r="J1101" s="34"/>
      <c r="K1101" s="54"/>
      <c r="L1101" s="34"/>
      <c r="M1101" s="44"/>
      <c r="N1101" s="44"/>
      <c r="O1101" s="34"/>
      <c r="P1101" s="34"/>
      <c r="Q1101" s="34"/>
      <c r="R1101" s="34"/>
      <c r="U1101" s="44"/>
      <c r="W1101" s="95"/>
      <c r="X1101" s="54"/>
      <c r="Y1101" s="54"/>
      <c r="Z1101" s="34"/>
      <c r="AA1101" s="34"/>
      <c r="AB1101" s="34"/>
      <c r="AC1101" s="34"/>
      <c r="AD1101" s="34"/>
      <c r="AE1101" s="34"/>
      <c r="AF1101" s="34"/>
      <c r="AG1101" s="34"/>
      <c r="AH1101" s="52"/>
      <c r="AI1101" s="52"/>
      <c r="AK1101" s="34"/>
      <c r="AL1101" s="34"/>
      <c r="AM1101" s="34"/>
      <c r="AN1101" s="54"/>
      <c r="AO1101" s="34"/>
      <c r="AP1101" s="34"/>
      <c r="AQ1101" s="54"/>
      <c r="AR1101" s="54"/>
      <c r="AS1101" s="54"/>
      <c r="AT1101" s="54"/>
      <c r="AU1101" s="34"/>
      <c r="AV1101" s="34"/>
      <c r="AW1101" s="34"/>
      <c r="AX1101" s="34"/>
      <c r="AY1101" s="34"/>
      <c r="AZ1101" s="44"/>
      <c r="BA1101" s="34"/>
      <c r="BB1101" s="34"/>
    </row>
    <row r="1102" spans="1:54" x14ac:dyDescent="0.35" ht="15.0" customHeight="true">
      <c r="A1102" s="51"/>
      <c r="B1102" s="34"/>
      <c r="C1102" s="34"/>
      <c r="D1102" s="34"/>
      <c r="E1102" s="34"/>
      <c r="F1102" s="34"/>
      <c r="G1102" s="44"/>
      <c r="H1102" s="34"/>
      <c r="I1102" s="54"/>
      <c r="J1102" s="34"/>
      <c r="K1102" s="54"/>
      <c r="L1102" s="34"/>
      <c r="M1102" s="44"/>
      <c r="N1102" s="44"/>
      <c r="O1102" s="34"/>
      <c r="P1102" s="34"/>
      <c r="Q1102" s="34"/>
      <c r="R1102" s="34"/>
      <c r="U1102" s="44"/>
      <c r="W1102" s="95"/>
      <c r="X1102" s="54"/>
      <c r="Y1102" s="54"/>
      <c r="Z1102" s="34"/>
      <c r="AA1102" s="34"/>
      <c r="AB1102" s="34"/>
      <c r="AC1102" s="34"/>
      <c r="AD1102" s="34"/>
      <c r="AE1102" s="34"/>
      <c r="AF1102" s="34"/>
      <c r="AG1102" s="34"/>
      <c r="AH1102" s="52"/>
      <c r="AI1102" s="52"/>
      <c r="AK1102" s="34"/>
      <c r="AL1102" s="34"/>
      <c r="AM1102" s="34"/>
      <c r="AN1102" s="54"/>
      <c r="AO1102" s="34"/>
      <c r="AP1102" s="34"/>
      <c r="AQ1102" s="54"/>
      <c r="AR1102" s="54"/>
      <c r="AS1102" s="54"/>
      <c r="AT1102" s="54"/>
      <c r="AU1102" s="34"/>
      <c r="AV1102" s="34"/>
      <c r="AW1102" s="34"/>
      <c r="AX1102" s="34"/>
      <c r="AY1102" s="34"/>
      <c r="AZ1102" s="44"/>
      <c r="BA1102" s="34"/>
      <c r="BB1102" s="34"/>
    </row>
    <row r="1103" spans="1:54" x14ac:dyDescent="0.35" ht="15.0" customHeight="true">
      <c r="A1103" s="51"/>
      <c r="B1103" s="34"/>
      <c r="C1103" s="34"/>
      <c r="D1103" s="34"/>
      <c r="E1103" s="34"/>
      <c r="F1103" s="34"/>
      <c r="G1103" s="44"/>
      <c r="H1103" s="34"/>
      <c r="I1103" s="54"/>
      <c r="J1103" s="34"/>
      <c r="K1103" s="54"/>
      <c r="L1103" s="34"/>
      <c r="M1103" s="44"/>
      <c r="N1103" s="44"/>
      <c r="O1103" s="34"/>
      <c r="P1103" s="34"/>
      <c r="Q1103" s="34"/>
      <c r="R1103" s="34"/>
      <c r="U1103" s="44"/>
      <c r="W1103" s="95"/>
      <c r="X1103" s="54"/>
      <c r="Y1103" s="54"/>
      <c r="Z1103" s="34"/>
      <c r="AA1103" s="34"/>
      <c r="AB1103" s="34"/>
      <c r="AC1103" s="34"/>
      <c r="AD1103" s="34"/>
      <c r="AE1103" s="34"/>
      <c r="AF1103" s="34"/>
      <c r="AG1103" s="34"/>
      <c r="AH1103" s="52"/>
      <c r="AI1103" s="52"/>
      <c r="AK1103" s="34"/>
      <c r="AL1103" s="34"/>
      <c r="AM1103" s="34"/>
      <c r="AN1103" s="54"/>
      <c r="AO1103" s="34"/>
      <c r="AP1103" s="34"/>
      <c r="AQ1103" s="54"/>
      <c r="AR1103" s="54"/>
      <c r="AS1103" s="54"/>
      <c r="AT1103" s="54"/>
      <c r="AU1103" s="34"/>
      <c r="AV1103" s="34"/>
      <c r="AW1103" s="34"/>
      <c r="AX1103" s="34"/>
      <c r="AY1103" s="34"/>
      <c r="AZ1103" s="44"/>
      <c r="BA1103" s="34"/>
      <c r="BB1103" s="34"/>
    </row>
    <row r="1104" spans="1:54" x14ac:dyDescent="0.35" ht="15.0" customHeight="true">
      <c r="A1104" s="51"/>
      <c r="B1104" s="34"/>
      <c r="C1104" s="34"/>
      <c r="D1104" s="34"/>
      <c r="E1104" s="34"/>
      <c r="F1104" s="34"/>
      <c r="G1104" s="44"/>
      <c r="H1104" s="34"/>
      <c r="I1104" s="54"/>
      <c r="J1104" s="34"/>
      <c r="K1104" s="54"/>
      <c r="L1104" s="34"/>
      <c r="M1104" s="44"/>
      <c r="N1104" s="44"/>
      <c r="O1104" s="34"/>
      <c r="P1104" s="34"/>
      <c r="Q1104" s="34"/>
      <c r="R1104" s="34"/>
      <c r="U1104" s="44"/>
      <c r="W1104" s="95"/>
      <c r="X1104" s="54"/>
      <c r="Y1104" s="54"/>
      <c r="Z1104" s="34"/>
      <c r="AA1104" s="34"/>
      <c r="AB1104" s="34"/>
      <c r="AC1104" s="34"/>
      <c r="AD1104" s="34"/>
      <c r="AE1104" s="34"/>
      <c r="AF1104" s="34"/>
      <c r="AG1104" s="34"/>
      <c r="AH1104" s="52"/>
      <c r="AI1104" s="52"/>
      <c r="AK1104" s="34"/>
      <c r="AL1104" s="34"/>
      <c r="AM1104" s="34"/>
      <c r="AN1104" s="54"/>
      <c r="AO1104" s="34"/>
      <c r="AP1104" s="34"/>
      <c r="AQ1104" s="54"/>
      <c r="AR1104" s="54"/>
      <c r="AS1104" s="54"/>
      <c r="AT1104" s="54"/>
      <c r="AU1104" s="34"/>
      <c r="AV1104" s="34"/>
      <c r="AW1104" s="34"/>
      <c r="AX1104" s="34"/>
      <c r="AY1104" s="34"/>
      <c r="AZ1104" s="44"/>
      <c r="BA1104" s="34"/>
      <c r="BB1104" s="34"/>
    </row>
    <row r="1105" spans="1:54" x14ac:dyDescent="0.35" ht="15.0" customHeight="true">
      <c r="A1105" s="51"/>
      <c r="B1105" s="34"/>
      <c r="C1105" s="34"/>
      <c r="D1105" s="34"/>
      <c r="E1105" s="34"/>
      <c r="F1105" s="34"/>
      <c r="G1105" s="44"/>
      <c r="H1105" s="34"/>
      <c r="I1105" s="54"/>
      <c r="J1105" s="34"/>
      <c r="K1105" s="54"/>
      <c r="L1105" s="34"/>
      <c r="M1105" s="44"/>
      <c r="N1105" s="44"/>
      <c r="O1105" s="34"/>
      <c r="P1105" s="34"/>
      <c r="Q1105" s="34"/>
      <c r="R1105" s="34"/>
      <c r="U1105" s="44"/>
      <c r="W1105" s="95"/>
      <c r="X1105" s="54"/>
      <c r="Y1105" s="54"/>
      <c r="Z1105" s="34"/>
      <c r="AA1105" s="34"/>
      <c r="AB1105" s="34"/>
      <c r="AC1105" s="34"/>
      <c r="AD1105" s="34"/>
      <c r="AE1105" s="34"/>
      <c r="AF1105" s="34"/>
      <c r="AG1105" s="34"/>
      <c r="AH1105" s="52"/>
      <c r="AI1105" s="52"/>
      <c r="AK1105" s="34"/>
      <c r="AL1105" s="34"/>
      <c r="AM1105" s="34"/>
      <c r="AN1105" s="54"/>
      <c r="AO1105" s="34"/>
      <c r="AP1105" s="34"/>
      <c r="AQ1105" s="54"/>
      <c r="AR1105" s="54"/>
      <c r="AS1105" s="54"/>
      <c r="AT1105" s="54"/>
      <c r="AU1105" s="34"/>
      <c r="AV1105" s="34"/>
      <c r="AW1105" s="34"/>
      <c r="AX1105" s="34"/>
      <c r="AY1105" s="34"/>
      <c r="AZ1105" s="44"/>
      <c r="BA1105" s="34"/>
      <c r="BB1105" s="34"/>
    </row>
    <row r="1106" spans="1:54" x14ac:dyDescent="0.35" ht="15.0" customHeight="true">
      <c r="A1106" s="51"/>
      <c r="B1106" s="34"/>
      <c r="C1106" s="34"/>
      <c r="D1106" s="34"/>
      <c r="E1106" s="34"/>
      <c r="F1106" s="34"/>
      <c r="G1106" s="44"/>
      <c r="H1106" s="34"/>
      <c r="I1106" s="54"/>
      <c r="J1106" s="34"/>
      <c r="K1106" s="54"/>
      <c r="L1106" s="34"/>
      <c r="M1106" s="44"/>
      <c r="N1106" s="44"/>
      <c r="O1106" s="34"/>
      <c r="P1106" s="34"/>
      <c r="Q1106" s="34"/>
      <c r="R1106" s="34"/>
      <c r="U1106" s="44"/>
      <c r="W1106" s="95"/>
      <c r="X1106" s="54"/>
      <c r="Y1106" s="54"/>
      <c r="Z1106" s="34"/>
      <c r="AA1106" s="34"/>
      <c r="AB1106" s="34"/>
      <c r="AC1106" s="34"/>
      <c r="AD1106" s="34"/>
      <c r="AE1106" s="34"/>
      <c r="AF1106" s="34"/>
      <c r="AG1106" s="34"/>
      <c r="AH1106" s="52"/>
      <c r="AI1106" s="52"/>
      <c r="AK1106" s="34"/>
      <c r="AL1106" s="34"/>
      <c r="AM1106" s="34"/>
      <c r="AN1106" s="54"/>
      <c r="AO1106" s="34"/>
      <c r="AP1106" s="34"/>
      <c r="AQ1106" s="54"/>
      <c r="AR1106" s="54"/>
      <c r="AS1106" s="54"/>
      <c r="AT1106" s="54"/>
      <c r="AU1106" s="34"/>
      <c r="AV1106" s="34"/>
      <c r="AW1106" s="34"/>
      <c r="AX1106" s="34"/>
      <c r="AY1106" s="34"/>
      <c r="AZ1106" s="44"/>
      <c r="BA1106" s="34"/>
      <c r="BB1106" s="34"/>
    </row>
    <row r="1107" spans="1:54" x14ac:dyDescent="0.35" ht="15.0" customHeight="true">
      <c r="A1107" s="51"/>
      <c r="B1107" s="34"/>
      <c r="C1107" s="34"/>
      <c r="D1107" s="34"/>
      <c r="E1107" s="34"/>
      <c r="F1107" s="34"/>
      <c r="G1107" s="44"/>
      <c r="H1107" s="34"/>
      <c r="I1107" s="54"/>
      <c r="J1107" s="34"/>
      <c r="K1107" s="54"/>
      <c r="L1107" s="34"/>
      <c r="M1107" s="44"/>
      <c r="N1107" s="44"/>
      <c r="O1107" s="34"/>
      <c r="P1107" s="34"/>
      <c r="Q1107" s="34"/>
      <c r="R1107" s="34"/>
      <c r="U1107" s="44"/>
      <c r="W1107" s="95"/>
      <c r="X1107" s="54"/>
      <c r="Y1107" s="54"/>
      <c r="Z1107" s="34"/>
      <c r="AA1107" s="34"/>
      <c r="AB1107" s="34"/>
      <c r="AC1107" s="34"/>
      <c r="AD1107" s="34"/>
      <c r="AE1107" s="34"/>
      <c r="AF1107" s="34"/>
      <c r="AG1107" s="34"/>
      <c r="AH1107" s="52"/>
      <c r="AI1107" s="52"/>
      <c r="AK1107" s="34"/>
      <c r="AL1107" s="34"/>
      <c r="AM1107" s="34"/>
      <c r="AN1107" s="54"/>
      <c r="AO1107" s="34"/>
      <c r="AP1107" s="34"/>
      <c r="AQ1107" s="54"/>
      <c r="AR1107" s="54"/>
      <c r="AS1107" s="54"/>
      <c r="AT1107" s="54"/>
      <c r="AU1107" s="34"/>
      <c r="AV1107" s="34"/>
      <c r="AW1107" s="34"/>
      <c r="AX1107" s="34"/>
      <c r="AY1107" s="34"/>
      <c r="AZ1107" s="44"/>
      <c r="BA1107" s="34"/>
      <c r="BB1107" s="34"/>
    </row>
    <row r="1108" spans="1:54" x14ac:dyDescent="0.35" ht="15.0" customHeight="true">
      <c r="A1108" s="51"/>
      <c r="B1108" s="34"/>
      <c r="C1108" s="34"/>
      <c r="D1108" s="34"/>
      <c r="E1108" s="34"/>
      <c r="F1108" s="34"/>
      <c r="G1108" s="44"/>
      <c r="H1108" s="34"/>
      <c r="I1108" s="54"/>
      <c r="J1108" s="34"/>
      <c r="K1108" s="54"/>
      <c r="L1108" s="34"/>
      <c r="M1108" s="44"/>
      <c r="N1108" s="44"/>
      <c r="O1108" s="34"/>
      <c r="P1108" s="34"/>
      <c r="Q1108" s="34"/>
      <c r="R1108" s="34"/>
      <c r="U1108" s="44"/>
      <c r="W1108" s="95"/>
      <c r="X1108" s="54"/>
      <c r="Y1108" s="54"/>
      <c r="Z1108" s="34"/>
      <c r="AA1108" s="34"/>
      <c r="AB1108" s="34"/>
      <c r="AC1108" s="34"/>
      <c r="AD1108" s="34"/>
      <c r="AE1108" s="34"/>
      <c r="AF1108" s="34"/>
      <c r="AG1108" s="34"/>
      <c r="AH1108" s="52"/>
      <c r="AI1108" s="52"/>
      <c r="AK1108" s="34"/>
      <c r="AL1108" s="34"/>
      <c r="AM1108" s="34"/>
      <c r="AN1108" s="54"/>
      <c r="AO1108" s="34"/>
      <c r="AP1108" s="34"/>
      <c r="AQ1108" s="54"/>
      <c r="AR1108" s="54"/>
      <c r="AS1108" s="54"/>
      <c r="AT1108" s="54"/>
      <c r="AU1108" s="34"/>
      <c r="AV1108" s="34"/>
      <c r="AW1108" s="34"/>
      <c r="AX1108" s="34"/>
      <c r="AY1108" s="34"/>
      <c r="AZ1108" s="44"/>
      <c r="BA1108" s="34"/>
      <c r="BB1108" s="34"/>
    </row>
    <row r="1109" spans="1:54" x14ac:dyDescent="0.35" ht="15.0" customHeight="true">
      <c r="A1109" s="51"/>
      <c r="B1109" s="34"/>
      <c r="C1109" s="34"/>
      <c r="D1109" s="34"/>
      <c r="E1109" s="34"/>
      <c r="F1109" s="34"/>
      <c r="G1109" s="44"/>
      <c r="H1109" s="34"/>
      <c r="I1109" s="54"/>
      <c r="J1109" s="34"/>
      <c r="K1109" s="54"/>
      <c r="L1109" s="34"/>
      <c r="M1109" s="44"/>
      <c r="N1109" s="44"/>
      <c r="O1109" s="34"/>
      <c r="P1109" s="34"/>
      <c r="Q1109" s="34"/>
      <c r="R1109" s="34"/>
      <c r="U1109" s="44"/>
      <c r="W1109" s="95"/>
      <c r="X1109" s="54"/>
      <c r="Y1109" s="54"/>
      <c r="Z1109" s="34"/>
      <c r="AA1109" s="34"/>
      <c r="AB1109" s="34"/>
      <c r="AC1109" s="34"/>
      <c r="AD1109" s="34"/>
      <c r="AE1109" s="34"/>
      <c r="AF1109" s="34"/>
      <c r="AG1109" s="34"/>
      <c r="AH1109" s="52"/>
      <c r="AI1109" s="52"/>
      <c r="AK1109" s="34"/>
      <c r="AL1109" s="34"/>
      <c r="AM1109" s="34"/>
      <c r="AN1109" s="54"/>
      <c r="AO1109" s="34"/>
      <c r="AP1109" s="34"/>
      <c r="AQ1109" s="54"/>
      <c r="AR1109" s="54"/>
      <c r="AS1109" s="54"/>
      <c r="AT1109" s="54"/>
      <c r="AU1109" s="34"/>
      <c r="AV1109" s="34"/>
      <c r="AW1109" s="34"/>
      <c r="AX1109" s="34"/>
      <c r="AY1109" s="34"/>
      <c r="AZ1109" s="44"/>
      <c r="BA1109" s="34"/>
      <c r="BB1109" s="34"/>
    </row>
    <row r="1110" spans="1:54" x14ac:dyDescent="0.35" ht="15.0" customHeight="true">
      <c r="A1110" s="51"/>
      <c r="B1110" s="34"/>
      <c r="C1110" s="34"/>
      <c r="D1110" s="34"/>
      <c r="E1110" s="34"/>
      <c r="F1110" s="34"/>
      <c r="G1110" s="44"/>
      <c r="H1110" s="34"/>
      <c r="I1110" s="54"/>
      <c r="J1110" s="34"/>
      <c r="K1110" s="54"/>
      <c r="L1110" s="34"/>
      <c r="M1110" s="44"/>
      <c r="N1110" s="44"/>
      <c r="O1110" s="34"/>
      <c r="P1110" s="34"/>
      <c r="Q1110" s="34"/>
      <c r="R1110" s="34"/>
      <c r="U1110" s="44"/>
      <c r="W1110" s="95"/>
      <c r="X1110" s="54"/>
      <c r="Y1110" s="54"/>
      <c r="Z1110" s="34"/>
      <c r="AA1110" s="34"/>
      <c r="AB1110" s="34"/>
      <c r="AC1110" s="34"/>
      <c r="AD1110" s="34"/>
      <c r="AE1110" s="34"/>
      <c r="AF1110" s="34"/>
      <c r="AG1110" s="34"/>
      <c r="AH1110" s="52"/>
      <c r="AI1110" s="52"/>
      <c r="AK1110" s="34"/>
      <c r="AL1110" s="34"/>
      <c r="AM1110" s="34"/>
      <c r="AN1110" s="54"/>
      <c r="AO1110" s="34"/>
      <c r="AP1110" s="34"/>
      <c r="AQ1110" s="54"/>
      <c r="AR1110" s="54"/>
      <c r="AS1110" s="54"/>
      <c r="AT1110" s="54"/>
      <c r="AU1110" s="34"/>
      <c r="AV1110" s="34"/>
      <c r="AW1110" s="34"/>
      <c r="AX1110" s="34"/>
      <c r="AY1110" s="34"/>
      <c r="AZ1110" s="44"/>
      <c r="BA1110" s="34"/>
      <c r="BB1110" s="34"/>
    </row>
    <row r="1111" spans="1:54" x14ac:dyDescent="0.35" ht="15.0" customHeight="true">
      <c r="A1111" s="51"/>
      <c r="B1111" s="34"/>
      <c r="C1111" s="34"/>
      <c r="D1111" s="34"/>
      <c r="E1111" s="34"/>
      <c r="F1111" s="34"/>
      <c r="G1111" s="44"/>
      <c r="H1111" s="34"/>
      <c r="I1111" s="54"/>
      <c r="J1111" s="34"/>
      <c r="K1111" s="54"/>
      <c r="L1111" s="34"/>
      <c r="M1111" s="44"/>
      <c r="N1111" s="44"/>
      <c r="O1111" s="34"/>
      <c r="P1111" s="34"/>
      <c r="Q1111" s="34"/>
      <c r="R1111" s="34"/>
      <c r="U1111" s="44"/>
      <c r="W1111" s="95"/>
      <c r="X1111" s="54"/>
      <c r="Y1111" s="54"/>
      <c r="Z1111" s="34"/>
      <c r="AA1111" s="34"/>
      <c r="AB1111" s="34"/>
      <c r="AC1111" s="34"/>
      <c r="AD1111" s="34"/>
      <c r="AE1111" s="34"/>
      <c r="AF1111" s="34"/>
      <c r="AG1111" s="34"/>
      <c r="AH1111" s="52"/>
      <c r="AI1111" s="52"/>
      <c r="AK1111" s="34"/>
      <c r="AL1111" s="34"/>
      <c r="AM1111" s="34"/>
      <c r="AN1111" s="54"/>
      <c r="AO1111" s="34"/>
      <c r="AP1111" s="34"/>
      <c r="AQ1111" s="54"/>
      <c r="AR1111" s="54"/>
      <c r="AS1111" s="54"/>
      <c r="AT1111" s="54"/>
      <c r="AU1111" s="34"/>
      <c r="AV1111" s="34"/>
      <c r="AW1111" s="34"/>
      <c r="AX1111" s="34"/>
      <c r="AY1111" s="34"/>
      <c r="AZ1111" s="44"/>
      <c r="BA1111" s="34"/>
      <c r="BB1111" s="34"/>
    </row>
    <row r="1112" spans="1:54" x14ac:dyDescent="0.35" ht="15.0" customHeight="true">
      <c r="A1112" s="51"/>
      <c r="B1112" s="34"/>
      <c r="C1112" s="34"/>
      <c r="D1112" s="34"/>
      <c r="E1112" s="34"/>
      <c r="F1112" s="34"/>
      <c r="G1112" s="44"/>
      <c r="H1112" s="34"/>
      <c r="I1112" s="54"/>
      <c r="J1112" s="34"/>
      <c r="K1112" s="54"/>
      <c r="L1112" s="34"/>
      <c r="M1112" s="44"/>
      <c r="N1112" s="44"/>
      <c r="O1112" s="34"/>
      <c r="P1112" s="34"/>
      <c r="Q1112" s="34"/>
      <c r="R1112" s="34"/>
      <c r="U1112" s="44"/>
      <c r="W1112" s="95"/>
      <c r="X1112" s="54"/>
      <c r="Y1112" s="54"/>
      <c r="Z1112" s="34"/>
      <c r="AA1112" s="34"/>
      <c r="AB1112" s="34"/>
      <c r="AC1112" s="34"/>
      <c r="AD1112" s="34"/>
      <c r="AE1112" s="34"/>
      <c r="AF1112" s="34"/>
      <c r="AG1112" s="34"/>
      <c r="AH1112" s="52"/>
      <c r="AI1112" s="52"/>
      <c r="AK1112" s="34"/>
      <c r="AL1112" s="34"/>
      <c r="AM1112" s="34"/>
      <c r="AN1112" s="54"/>
      <c r="AO1112" s="34"/>
      <c r="AP1112" s="34"/>
      <c r="AQ1112" s="54"/>
      <c r="AR1112" s="54"/>
      <c r="AS1112" s="54"/>
      <c r="AT1112" s="54"/>
      <c r="AU1112" s="34"/>
      <c r="AV1112" s="34"/>
      <c r="AW1112" s="34"/>
      <c r="AX1112" s="34"/>
      <c r="AY1112" s="34"/>
      <c r="AZ1112" s="44"/>
      <c r="BA1112" s="34"/>
      <c r="BB1112" s="34"/>
    </row>
    <row r="1113" spans="1:54" x14ac:dyDescent="0.35" ht="15.0" customHeight="true">
      <c r="A1113" s="51"/>
      <c r="B1113" s="34"/>
      <c r="C1113" s="34"/>
      <c r="D1113" s="34"/>
      <c r="E1113" s="34"/>
      <c r="F1113" s="34"/>
      <c r="G1113" s="44"/>
      <c r="H1113" s="34"/>
      <c r="I1113" s="54"/>
      <c r="J1113" s="34"/>
      <c r="K1113" s="54"/>
      <c r="L1113" s="34"/>
      <c r="M1113" s="44"/>
      <c r="N1113" s="44"/>
      <c r="O1113" s="34"/>
      <c r="P1113" s="34"/>
      <c r="Q1113" s="34"/>
      <c r="R1113" s="34"/>
      <c r="U1113" s="44"/>
      <c r="W1113" s="95"/>
      <c r="X1113" s="54"/>
      <c r="Y1113" s="54"/>
      <c r="Z1113" s="34"/>
      <c r="AA1113" s="34"/>
      <c r="AB1113" s="34"/>
      <c r="AC1113" s="34"/>
      <c r="AD1113" s="34"/>
      <c r="AE1113" s="34"/>
      <c r="AF1113" s="34"/>
      <c r="AG1113" s="34"/>
      <c r="AH1113" s="52"/>
      <c r="AI1113" s="52"/>
      <c r="AK1113" s="34"/>
      <c r="AL1113" s="34"/>
      <c r="AM1113" s="34"/>
      <c r="AN1113" s="54"/>
      <c r="AO1113" s="34"/>
      <c r="AP1113" s="34"/>
      <c r="AQ1113" s="54"/>
      <c r="AR1113" s="54"/>
      <c r="AS1113" s="54"/>
      <c r="AT1113" s="54"/>
      <c r="AU1113" s="34"/>
      <c r="AV1113" s="34"/>
      <c r="AW1113" s="34"/>
      <c r="AX1113" s="34"/>
      <c r="AY1113" s="34"/>
      <c r="AZ1113" s="44"/>
      <c r="BA1113" s="34"/>
      <c r="BB1113" s="34"/>
    </row>
    <row r="1114" spans="1:54" x14ac:dyDescent="0.35" ht="15.0" customHeight="true">
      <c r="A1114" s="51"/>
      <c r="B1114" s="34"/>
      <c r="C1114" s="34"/>
      <c r="D1114" s="34"/>
      <c r="E1114" s="34"/>
      <c r="F1114" s="34"/>
      <c r="G1114" s="44"/>
      <c r="H1114" s="34"/>
      <c r="I1114" s="54"/>
      <c r="J1114" s="34"/>
      <c r="K1114" s="54"/>
      <c r="L1114" s="34"/>
      <c r="M1114" s="44"/>
      <c r="N1114" s="44"/>
      <c r="O1114" s="34"/>
      <c r="P1114" s="34"/>
      <c r="Q1114" s="34"/>
      <c r="R1114" s="34"/>
      <c r="U1114" s="44"/>
      <c r="W1114" s="95"/>
      <c r="X1114" s="54"/>
      <c r="Y1114" s="54"/>
      <c r="Z1114" s="34"/>
      <c r="AA1114" s="34"/>
      <c r="AB1114" s="34"/>
      <c r="AC1114" s="34"/>
      <c r="AD1114" s="34"/>
      <c r="AE1114" s="34"/>
      <c r="AF1114" s="34"/>
      <c r="AG1114" s="34"/>
      <c r="AH1114" s="52"/>
      <c r="AI1114" s="52"/>
      <c r="AK1114" s="34"/>
      <c r="AL1114" s="34"/>
      <c r="AM1114" s="34"/>
      <c r="AN1114" s="54"/>
      <c r="AO1114" s="34"/>
      <c r="AP1114" s="34"/>
      <c r="AQ1114" s="54"/>
      <c r="AR1114" s="54"/>
      <c r="AS1114" s="54"/>
      <c r="AT1114" s="54"/>
      <c r="AU1114" s="34"/>
      <c r="AV1114" s="34"/>
      <c r="AW1114" s="34"/>
      <c r="AX1114" s="34"/>
      <c r="AY1114" s="34"/>
      <c r="AZ1114" s="44"/>
      <c r="BA1114" s="34"/>
      <c r="BB1114" s="34"/>
    </row>
    <row r="1115" spans="1:54" x14ac:dyDescent="0.35" ht="15.0" customHeight="true">
      <c r="A1115" s="51"/>
      <c r="B1115" s="34"/>
      <c r="C1115" s="34"/>
      <c r="D1115" s="34"/>
      <c r="E1115" s="34"/>
      <c r="F1115" s="34"/>
      <c r="G1115" s="44"/>
      <c r="H1115" s="34"/>
      <c r="I1115" s="54"/>
      <c r="J1115" s="34"/>
      <c r="K1115" s="54"/>
      <c r="L1115" s="34"/>
      <c r="M1115" s="44"/>
      <c r="N1115" s="44"/>
      <c r="O1115" s="34"/>
      <c r="P1115" s="34"/>
      <c r="Q1115" s="34"/>
      <c r="R1115" s="34"/>
      <c r="U1115" s="44"/>
      <c r="W1115" s="95"/>
      <c r="X1115" s="54"/>
      <c r="Y1115" s="54"/>
      <c r="Z1115" s="34"/>
      <c r="AA1115" s="34"/>
      <c r="AB1115" s="34"/>
      <c r="AC1115" s="34"/>
      <c r="AD1115" s="34"/>
      <c r="AE1115" s="34"/>
      <c r="AF1115" s="34"/>
      <c r="AG1115" s="34"/>
      <c r="AH1115" s="52"/>
      <c r="AI1115" s="52"/>
      <c r="AK1115" s="34"/>
      <c r="AL1115" s="34"/>
      <c r="AM1115" s="34"/>
      <c r="AN1115" s="54"/>
      <c r="AO1115" s="34"/>
      <c r="AP1115" s="34"/>
      <c r="AQ1115" s="54"/>
      <c r="AR1115" s="54"/>
      <c r="AS1115" s="54"/>
      <c r="AT1115" s="54"/>
      <c r="AU1115" s="34"/>
      <c r="AV1115" s="34"/>
      <c r="AW1115" s="34"/>
      <c r="AX1115" s="34"/>
      <c r="AY1115" s="34"/>
      <c r="AZ1115" s="44"/>
      <c r="BA1115" s="34"/>
      <c r="BB1115" s="34"/>
    </row>
    <row r="1116" spans="1:54" x14ac:dyDescent="0.35" ht="15.0" customHeight="true">
      <c r="A1116" s="51"/>
      <c r="B1116" s="34"/>
      <c r="C1116" s="34"/>
      <c r="D1116" s="34"/>
      <c r="E1116" s="34"/>
      <c r="F1116" s="34"/>
      <c r="G1116" s="44"/>
      <c r="H1116" s="34"/>
      <c r="I1116" s="54"/>
      <c r="J1116" s="34"/>
      <c r="K1116" s="54"/>
      <c r="L1116" s="34"/>
      <c r="M1116" s="44"/>
      <c r="N1116" s="44"/>
      <c r="O1116" s="34"/>
      <c r="P1116" s="34"/>
      <c r="Q1116" s="34"/>
      <c r="R1116" s="34"/>
      <c r="U1116" s="44"/>
      <c r="W1116" s="95"/>
      <c r="X1116" s="54"/>
      <c r="Y1116" s="54"/>
      <c r="Z1116" s="34"/>
      <c r="AA1116" s="34"/>
      <c r="AB1116" s="34"/>
      <c r="AC1116" s="34"/>
      <c r="AD1116" s="34"/>
      <c r="AE1116" s="34"/>
      <c r="AF1116" s="34"/>
      <c r="AG1116" s="34"/>
      <c r="AH1116" s="52"/>
      <c r="AI1116" s="52"/>
      <c r="AK1116" s="34"/>
      <c r="AL1116" s="34"/>
      <c r="AM1116" s="34"/>
      <c r="AN1116" s="54"/>
      <c r="AO1116" s="34"/>
      <c r="AP1116" s="34"/>
      <c r="AQ1116" s="54"/>
      <c r="AR1116" s="54"/>
      <c r="AS1116" s="54"/>
      <c r="AT1116" s="54"/>
      <c r="AU1116" s="34"/>
      <c r="AV1116" s="34"/>
      <c r="AW1116" s="34"/>
      <c r="AX1116" s="34"/>
      <c r="AY1116" s="34"/>
      <c r="AZ1116" s="44"/>
      <c r="BA1116" s="34"/>
      <c r="BB1116" s="34"/>
    </row>
    <row r="1117" spans="1:54" x14ac:dyDescent="0.35" ht="15.0" customHeight="true">
      <c r="A1117" s="51"/>
      <c r="B1117" s="34"/>
      <c r="C1117" s="34"/>
      <c r="D1117" s="34"/>
      <c r="E1117" s="34"/>
      <c r="F1117" s="34"/>
      <c r="G1117" s="44"/>
      <c r="H1117" s="34"/>
      <c r="I1117" s="54"/>
      <c r="J1117" s="34"/>
      <c r="K1117" s="54"/>
      <c r="L1117" s="34"/>
      <c r="M1117" s="44"/>
      <c r="N1117" s="44"/>
      <c r="O1117" s="34"/>
      <c r="P1117" s="34"/>
      <c r="Q1117" s="34"/>
      <c r="R1117" s="34"/>
      <c r="U1117" s="44"/>
      <c r="W1117" s="95"/>
      <c r="X1117" s="54"/>
      <c r="Y1117" s="54"/>
      <c r="Z1117" s="34"/>
      <c r="AA1117" s="34"/>
      <c r="AB1117" s="34"/>
      <c r="AC1117" s="34"/>
      <c r="AD1117" s="34"/>
      <c r="AE1117" s="34"/>
      <c r="AF1117" s="34"/>
      <c r="AG1117" s="34"/>
      <c r="AH1117" s="52"/>
      <c r="AI1117" s="52"/>
      <c r="AK1117" s="34"/>
      <c r="AL1117" s="34"/>
      <c r="AM1117" s="34"/>
      <c r="AN1117" s="54"/>
      <c r="AO1117" s="34"/>
      <c r="AP1117" s="34"/>
      <c r="AQ1117" s="54"/>
      <c r="AR1117" s="54"/>
      <c r="AS1117" s="54"/>
      <c r="AT1117" s="54"/>
      <c r="AU1117" s="34"/>
      <c r="AV1117" s="34"/>
      <c r="AW1117" s="34"/>
      <c r="AX1117" s="34"/>
      <c r="AY1117" s="34"/>
      <c r="AZ1117" s="44"/>
      <c r="BA1117" s="34"/>
      <c r="BB1117" s="34"/>
    </row>
    <row r="1118" spans="1:54" x14ac:dyDescent="0.35" ht="15.0" customHeight="true">
      <c r="A1118" s="51"/>
      <c r="B1118" s="34"/>
      <c r="C1118" s="34"/>
      <c r="D1118" s="34"/>
      <c r="E1118" s="34"/>
      <c r="F1118" s="34"/>
      <c r="G1118" s="44"/>
      <c r="H1118" s="34"/>
      <c r="I1118" s="54"/>
      <c r="J1118" s="34"/>
      <c r="K1118" s="54"/>
      <c r="L1118" s="34"/>
      <c r="M1118" s="44"/>
      <c r="N1118" s="44"/>
      <c r="O1118" s="34"/>
      <c r="P1118" s="34"/>
      <c r="Q1118" s="34"/>
      <c r="R1118" s="34"/>
      <c r="U1118" s="44"/>
      <c r="W1118" s="95"/>
      <c r="X1118" s="54"/>
      <c r="Y1118" s="54"/>
      <c r="Z1118" s="34"/>
      <c r="AA1118" s="34"/>
      <c r="AB1118" s="34"/>
      <c r="AC1118" s="34"/>
      <c r="AD1118" s="34"/>
      <c r="AE1118" s="34"/>
      <c r="AF1118" s="34"/>
      <c r="AG1118" s="34"/>
      <c r="AH1118" s="52"/>
      <c r="AI1118" s="52"/>
      <c r="AK1118" s="34"/>
      <c r="AL1118" s="34"/>
      <c r="AM1118" s="34"/>
      <c r="AN1118" s="54"/>
      <c r="AO1118" s="34"/>
      <c r="AP1118" s="34"/>
      <c r="AQ1118" s="54"/>
      <c r="AR1118" s="54"/>
      <c r="AS1118" s="54"/>
      <c r="AT1118" s="54"/>
      <c r="AU1118" s="34"/>
      <c r="AV1118" s="34"/>
      <c r="AW1118" s="34"/>
      <c r="AX1118" s="34"/>
      <c r="AY1118" s="34"/>
      <c r="AZ1118" s="44"/>
      <c r="BA1118" s="34"/>
      <c r="BB1118" s="34"/>
    </row>
    <row r="1119" spans="1:54" x14ac:dyDescent="0.35" ht="15.0" customHeight="true">
      <c r="A1119" s="51"/>
      <c r="B1119" s="34"/>
      <c r="C1119" s="34"/>
      <c r="D1119" s="34"/>
      <c r="E1119" s="34"/>
      <c r="F1119" s="34"/>
      <c r="G1119" s="44"/>
      <c r="H1119" s="34"/>
      <c r="I1119" s="54"/>
      <c r="J1119" s="34"/>
      <c r="K1119" s="54"/>
      <c r="L1119" s="34"/>
      <c r="M1119" s="44"/>
      <c r="N1119" s="44"/>
      <c r="O1119" s="34"/>
      <c r="P1119" s="34"/>
      <c r="Q1119" s="34"/>
      <c r="R1119" s="34"/>
      <c r="U1119" s="44"/>
      <c r="W1119" s="95"/>
      <c r="X1119" s="54"/>
      <c r="Y1119" s="54"/>
      <c r="Z1119" s="34"/>
      <c r="AA1119" s="34"/>
      <c r="AB1119" s="34"/>
      <c r="AC1119" s="34"/>
      <c r="AD1119" s="34"/>
      <c r="AE1119" s="34"/>
      <c r="AF1119" s="34"/>
      <c r="AG1119" s="34"/>
      <c r="AH1119" s="52"/>
      <c r="AI1119" s="52"/>
      <c r="AK1119" s="34"/>
      <c r="AL1119" s="34"/>
      <c r="AM1119" s="34"/>
      <c r="AN1119" s="54"/>
      <c r="AO1119" s="34"/>
      <c r="AP1119" s="34"/>
      <c r="AQ1119" s="54"/>
      <c r="AR1119" s="54"/>
      <c r="AS1119" s="54"/>
      <c r="AT1119" s="54"/>
      <c r="AU1119" s="34"/>
      <c r="AV1119" s="34"/>
      <c r="AW1119" s="34"/>
      <c r="AX1119" s="34"/>
      <c r="AY1119" s="34"/>
      <c r="AZ1119" s="44"/>
      <c r="BA1119" s="34"/>
      <c r="BB1119" s="34"/>
    </row>
    <row r="1120" spans="1:54" x14ac:dyDescent="0.35" ht="15.0" customHeight="true">
      <c r="A1120" s="51"/>
      <c r="B1120" s="34"/>
      <c r="C1120" s="34"/>
      <c r="D1120" s="34"/>
      <c r="E1120" s="34"/>
      <c r="F1120" s="34"/>
      <c r="G1120" s="44"/>
      <c r="H1120" s="34"/>
      <c r="I1120" s="54"/>
      <c r="J1120" s="34"/>
      <c r="K1120" s="54"/>
      <c r="L1120" s="34"/>
      <c r="M1120" s="44"/>
      <c r="N1120" s="44"/>
      <c r="O1120" s="34"/>
      <c r="P1120" s="34"/>
      <c r="Q1120" s="34"/>
      <c r="R1120" s="34"/>
      <c r="U1120" s="44"/>
      <c r="W1120" s="95"/>
      <c r="X1120" s="54"/>
      <c r="Y1120" s="54"/>
      <c r="Z1120" s="34"/>
      <c r="AA1120" s="34"/>
      <c r="AB1120" s="34"/>
      <c r="AC1120" s="34"/>
      <c r="AD1120" s="34"/>
      <c r="AE1120" s="34"/>
      <c r="AF1120" s="34"/>
      <c r="AG1120" s="34"/>
      <c r="AH1120" s="52"/>
      <c r="AI1120" s="52"/>
      <c r="AK1120" s="34"/>
      <c r="AL1120" s="34"/>
      <c r="AM1120" s="34"/>
      <c r="AN1120" s="54"/>
      <c r="AO1120" s="34"/>
      <c r="AP1120" s="34"/>
      <c r="AQ1120" s="54"/>
      <c r="AR1120" s="54"/>
      <c r="AS1120" s="54"/>
      <c r="AT1120" s="54"/>
      <c r="AU1120" s="34"/>
      <c r="AV1120" s="34"/>
      <c r="AW1120" s="34"/>
      <c r="AX1120" s="34"/>
      <c r="AY1120" s="34"/>
      <c r="AZ1120" s="44"/>
      <c r="BA1120" s="34"/>
      <c r="BB1120" s="34"/>
    </row>
    <row r="1121" spans="1:54" x14ac:dyDescent="0.35" ht="15.0" customHeight="true">
      <c r="A1121" s="51"/>
      <c r="B1121" s="34"/>
      <c r="C1121" s="34"/>
      <c r="D1121" s="34"/>
      <c r="E1121" s="34"/>
      <c r="F1121" s="34"/>
      <c r="G1121" s="44"/>
      <c r="H1121" s="34"/>
      <c r="I1121" s="54"/>
      <c r="J1121" s="34"/>
      <c r="K1121" s="54"/>
      <c r="L1121" s="34"/>
      <c r="M1121" s="44"/>
      <c r="N1121" s="44"/>
      <c r="O1121" s="34"/>
      <c r="P1121" s="34"/>
      <c r="Q1121" s="34"/>
      <c r="R1121" s="34"/>
      <c r="U1121" s="44"/>
      <c r="W1121" s="95"/>
      <c r="X1121" s="54"/>
      <c r="Y1121" s="54"/>
      <c r="Z1121" s="34"/>
      <c r="AA1121" s="34"/>
      <c r="AB1121" s="34"/>
      <c r="AC1121" s="34"/>
      <c r="AD1121" s="34"/>
      <c r="AE1121" s="34"/>
      <c r="AF1121" s="34"/>
      <c r="AG1121" s="34"/>
      <c r="AH1121" s="52"/>
      <c r="AI1121" s="52"/>
      <c r="AK1121" s="34"/>
      <c r="AL1121" s="34"/>
      <c r="AM1121" s="34"/>
      <c r="AN1121" s="54"/>
      <c r="AO1121" s="34"/>
      <c r="AP1121" s="34"/>
      <c r="AQ1121" s="54"/>
      <c r="AR1121" s="54"/>
      <c r="AS1121" s="54"/>
      <c r="AT1121" s="54"/>
      <c r="AU1121" s="34"/>
      <c r="AV1121" s="34"/>
      <c r="AW1121" s="34"/>
      <c r="AX1121" s="34"/>
      <c r="AY1121" s="34"/>
      <c r="AZ1121" s="44"/>
      <c r="BA1121" s="34"/>
      <c r="BB1121" s="34"/>
    </row>
    <row r="1122" spans="1:54" x14ac:dyDescent="0.35" ht="15.0" customHeight="true">
      <c r="A1122" s="51"/>
      <c r="B1122" s="34"/>
      <c r="C1122" s="34"/>
      <c r="D1122" s="34"/>
      <c r="E1122" s="34"/>
      <c r="F1122" s="34"/>
      <c r="G1122" s="44"/>
      <c r="H1122" s="34"/>
      <c r="I1122" s="54"/>
      <c r="J1122" s="34"/>
      <c r="K1122" s="54"/>
      <c r="L1122" s="34"/>
      <c r="M1122" s="44"/>
      <c r="N1122" s="44"/>
      <c r="O1122" s="34"/>
      <c r="P1122" s="34"/>
      <c r="Q1122" s="34"/>
      <c r="R1122" s="34"/>
      <c r="U1122" s="44"/>
      <c r="W1122" s="95"/>
      <c r="X1122" s="54"/>
      <c r="Y1122" s="54"/>
      <c r="Z1122" s="34"/>
      <c r="AA1122" s="34"/>
      <c r="AB1122" s="34"/>
      <c r="AC1122" s="34"/>
      <c r="AD1122" s="34"/>
      <c r="AE1122" s="34"/>
      <c r="AF1122" s="34"/>
      <c r="AG1122" s="34"/>
      <c r="AH1122" s="52"/>
      <c r="AI1122" s="52"/>
      <c r="AK1122" s="34"/>
      <c r="AL1122" s="34"/>
      <c r="AM1122" s="34"/>
      <c r="AN1122" s="54"/>
      <c r="AO1122" s="34"/>
      <c r="AP1122" s="34"/>
      <c r="AQ1122" s="54"/>
      <c r="AR1122" s="54"/>
      <c r="AS1122" s="54"/>
      <c r="AT1122" s="54"/>
      <c r="AU1122" s="34"/>
      <c r="AV1122" s="34"/>
      <c r="AW1122" s="34"/>
      <c r="AX1122" s="34"/>
      <c r="AY1122" s="34"/>
      <c r="AZ1122" s="44"/>
      <c r="BA1122" s="34"/>
      <c r="BB1122" s="34"/>
    </row>
    <row r="1123" spans="1:54" x14ac:dyDescent="0.35" ht="15.0" customHeight="true">
      <c r="A1123" s="51"/>
      <c r="B1123" s="34"/>
      <c r="C1123" s="34"/>
      <c r="D1123" s="34"/>
      <c r="E1123" s="34"/>
      <c r="F1123" s="34"/>
      <c r="G1123" s="44"/>
      <c r="H1123" s="34"/>
      <c r="I1123" s="54"/>
      <c r="J1123" s="34"/>
      <c r="K1123" s="54"/>
      <c r="L1123" s="34"/>
      <c r="M1123" s="44"/>
      <c r="N1123" s="44"/>
      <c r="O1123" s="34"/>
      <c r="P1123" s="34"/>
      <c r="Q1123" s="34"/>
      <c r="R1123" s="34"/>
      <c r="U1123" s="44"/>
      <c r="W1123" s="95"/>
      <c r="X1123" s="54"/>
      <c r="Y1123" s="54"/>
      <c r="Z1123" s="34"/>
      <c r="AA1123" s="34"/>
      <c r="AB1123" s="34"/>
      <c r="AC1123" s="34"/>
      <c r="AD1123" s="34"/>
      <c r="AE1123" s="34"/>
      <c r="AF1123" s="34"/>
      <c r="AG1123" s="34"/>
      <c r="AH1123" s="52"/>
      <c r="AI1123" s="52"/>
      <c r="AK1123" s="34"/>
      <c r="AL1123" s="34"/>
      <c r="AM1123" s="34"/>
      <c r="AN1123" s="54"/>
      <c r="AO1123" s="34"/>
      <c r="AP1123" s="34"/>
      <c r="AQ1123" s="54"/>
      <c r="AR1123" s="54"/>
      <c r="AS1123" s="54"/>
      <c r="AT1123" s="54"/>
      <c r="AU1123" s="34"/>
      <c r="AV1123" s="34"/>
      <c r="AW1123" s="34"/>
      <c r="AX1123" s="34"/>
      <c r="AY1123" s="34"/>
      <c r="AZ1123" s="44"/>
      <c r="BA1123" s="34"/>
      <c r="BB1123" s="34"/>
    </row>
    <row r="1124" spans="1:54" x14ac:dyDescent="0.35" ht="15.0" customHeight="true">
      <c r="A1124" s="51"/>
      <c r="B1124" s="34"/>
      <c r="C1124" s="34"/>
      <c r="D1124" s="34"/>
      <c r="E1124" s="34"/>
      <c r="F1124" s="34"/>
      <c r="G1124" s="44"/>
      <c r="H1124" s="34"/>
      <c r="I1124" s="54"/>
      <c r="J1124" s="34"/>
      <c r="K1124" s="54"/>
      <c r="L1124" s="34"/>
      <c r="M1124" s="44"/>
      <c r="N1124" s="44"/>
      <c r="O1124" s="34"/>
      <c r="P1124" s="34"/>
      <c r="Q1124" s="34"/>
      <c r="R1124" s="34"/>
      <c r="U1124" s="44"/>
      <c r="W1124" s="95"/>
      <c r="X1124" s="54"/>
      <c r="Y1124" s="54"/>
      <c r="Z1124" s="34"/>
      <c r="AA1124" s="34"/>
      <c r="AB1124" s="34"/>
      <c r="AC1124" s="34"/>
      <c r="AD1124" s="34"/>
      <c r="AE1124" s="34"/>
      <c r="AF1124" s="34"/>
      <c r="AG1124" s="34"/>
      <c r="AH1124" s="52"/>
      <c r="AI1124" s="52"/>
      <c r="AK1124" s="34"/>
      <c r="AL1124" s="34"/>
      <c r="AM1124" s="34"/>
      <c r="AN1124" s="54"/>
      <c r="AO1124" s="34"/>
      <c r="AP1124" s="34"/>
      <c r="AQ1124" s="54"/>
      <c r="AR1124" s="54"/>
      <c r="AS1124" s="54"/>
      <c r="AT1124" s="54"/>
      <c r="AU1124" s="34"/>
      <c r="AV1124" s="34"/>
      <c r="AW1124" s="34"/>
      <c r="AX1124" s="34"/>
      <c r="AY1124" s="34"/>
      <c r="AZ1124" s="44"/>
      <c r="BA1124" s="34"/>
      <c r="BB1124" s="34"/>
    </row>
    <row r="1125" spans="1:54" x14ac:dyDescent="0.35" ht="15.0" customHeight="true">
      <c r="A1125" s="51"/>
      <c r="B1125" s="34"/>
      <c r="C1125" s="34"/>
      <c r="D1125" s="34"/>
      <c r="E1125" s="34"/>
      <c r="F1125" s="34"/>
      <c r="G1125" s="44"/>
      <c r="H1125" s="34"/>
      <c r="I1125" s="54"/>
      <c r="J1125" s="34"/>
      <c r="K1125" s="54"/>
      <c r="L1125" s="34"/>
      <c r="M1125" s="44"/>
      <c r="N1125" s="44"/>
      <c r="O1125" s="34"/>
      <c r="P1125" s="34"/>
      <c r="Q1125" s="34"/>
      <c r="R1125" s="34"/>
      <c r="U1125" s="44"/>
      <c r="W1125" s="95"/>
      <c r="X1125" s="54"/>
      <c r="Y1125" s="54"/>
      <c r="Z1125" s="34"/>
      <c r="AA1125" s="34"/>
      <c r="AB1125" s="34"/>
      <c r="AC1125" s="34"/>
      <c r="AD1125" s="34"/>
      <c r="AE1125" s="34"/>
      <c r="AF1125" s="34"/>
      <c r="AG1125" s="34"/>
      <c r="AH1125" s="52"/>
      <c r="AI1125" s="52"/>
      <c r="AK1125" s="34"/>
      <c r="AL1125" s="34"/>
      <c r="AM1125" s="34"/>
      <c r="AN1125" s="54"/>
      <c r="AO1125" s="34"/>
      <c r="AP1125" s="34"/>
      <c r="AQ1125" s="54"/>
      <c r="AR1125" s="54"/>
      <c r="AS1125" s="54"/>
      <c r="AT1125" s="54"/>
      <c r="AU1125" s="34"/>
      <c r="AV1125" s="34"/>
      <c r="AW1125" s="34"/>
      <c r="AX1125" s="34"/>
      <c r="AY1125" s="34"/>
      <c r="AZ1125" s="44"/>
      <c r="BA1125" s="34"/>
      <c r="BB1125" s="34"/>
    </row>
    <row r="1126" spans="1:54" x14ac:dyDescent="0.35" ht="15.0" customHeight="true">
      <c r="A1126" s="51"/>
      <c r="B1126" s="34"/>
      <c r="C1126" s="34"/>
      <c r="D1126" s="34"/>
      <c r="E1126" s="34"/>
      <c r="F1126" s="34"/>
      <c r="G1126" s="44"/>
      <c r="H1126" s="34"/>
      <c r="I1126" s="54"/>
      <c r="J1126" s="34"/>
      <c r="K1126" s="54"/>
      <c r="L1126" s="34"/>
      <c r="M1126" s="44"/>
      <c r="N1126" s="44"/>
      <c r="O1126" s="34"/>
      <c r="P1126" s="34"/>
      <c r="Q1126" s="34"/>
      <c r="R1126" s="34"/>
      <c r="U1126" s="44"/>
      <c r="W1126" s="95"/>
      <c r="X1126" s="54"/>
      <c r="Y1126" s="54"/>
      <c r="Z1126" s="34"/>
      <c r="AA1126" s="34"/>
      <c r="AB1126" s="34"/>
      <c r="AC1126" s="34"/>
      <c r="AD1126" s="34"/>
      <c r="AE1126" s="34"/>
      <c r="AF1126" s="34"/>
      <c r="AG1126" s="34"/>
      <c r="AH1126" s="52"/>
      <c r="AI1126" s="52"/>
      <c r="AK1126" s="34"/>
      <c r="AL1126" s="34"/>
      <c r="AM1126" s="34"/>
      <c r="AN1126" s="54"/>
      <c r="AO1126" s="34"/>
      <c r="AP1126" s="34"/>
      <c r="AQ1126" s="54"/>
      <c r="AR1126" s="54"/>
      <c r="AS1126" s="54"/>
      <c r="AT1126" s="54"/>
      <c r="AU1126" s="34"/>
      <c r="AV1126" s="34"/>
      <c r="AW1126" s="34"/>
      <c r="AX1126" s="34"/>
      <c r="AY1126" s="34"/>
      <c r="AZ1126" s="44"/>
      <c r="BA1126" s="34"/>
      <c r="BB1126" s="34"/>
    </row>
    <row r="1127" spans="1:54" x14ac:dyDescent="0.35" ht="15.0" customHeight="true">
      <c r="A1127" s="51"/>
      <c r="B1127" s="34"/>
      <c r="C1127" s="34"/>
      <c r="D1127" s="34"/>
      <c r="E1127" s="34"/>
      <c r="F1127" s="34"/>
      <c r="G1127" s="44"/>
      <c r="H1127" s="34"/>
      <c r="I1127" s="54"/>
      <c r="J1127" s="34"/>
      <c r="K1127" s="54"/>
      <c r="L1127" s="34"/>
      <c r="M1127" s="44"/>
      <c r="N1127" s="44"/>
      <c r="O1127" s="34"/>
      <c r="P1127" s="34"/>
      <c r="Q1127" s="34"/>
      <c r="R1127" s="34"/>
      <c r="U1127" s="44"/>
      <c r="W1127" s="95"/>
      <c r="X1127" s="54"/>
      <c r="Y1127" s="54"/>
      <c r="Z1127" s="34"/>
      <c r="AA1127" s="34"/>
      <c r="AB1127" s="34"/>
      <c r="AC1127" s="34"/>
      <c r="AD1127" s="34"/>
      <c r="AE1127" s="34"/>
      <c r="AF1127" s="34"/>
      <c r="AG1127" s="34"/>
      <c r="AH1127" s="52"/>
      <c r="AI1127" s="52"/>
      <c r="AK1127" s="34"/>
      <c r="AL1127" s="34"/>
      <c r="AM1127" s="34"/>
      <c r="AN1127" s="54"/>
      <c r="AO1127" s="34"/>
      <c r="AP1127" s="34"/>
      <c r="AQ1127" s="54"/>
      <c r="AR1127" s="54"/>
      <c r="AS1127" s="54"/>
      <c r="AT1127" s="54"/>
      <c r="AU1127" s="34"/>
      <c r="AV1127" s="34"/>
      <c r="AW1127" s="34"/>
      <c r="AX1127" s="34"/>
      <c r="AY1127" s="34"/>
      <c r="AZ1127" s="44"/>
      <c r="BA1127" s="34"/>
      <c r="BB1127" s="34"/>
    </row>
    <row r="1128" spans="1:54" x14ac:dyDescent="0.35" ht="15.0" customHeight="true">
      <c r="A1128" s="51"/>
      <c r="F1128" s="33"/>
      <c r="H1128" s="33"/>
      <c r="I1128" s="51"/>
      <c r="J1128" s="33"/>
      <c r="K1128" s="51"/>
      <c r="L1128" s="33"/>
      <c r="T1128" s="56"/>
      <c r="U1128" s="44"/>
      <c r="X1128" s="51"/>
      <c r="Y1128" s="51"/>
      <c r="AC1128" s="34"/>
      <c r="AD1128" s="34"/>
      <c r="AE1128" s="34"/>
      <c r="AF1128" s="34"/>
      <c r="AG1128" s="34"/>
      <c r="AM1128" s="33"/>
      <c r="AN1128" s="51"/>
      <c r="AQ1128" s="51"/>
      <c r="AR1128" s="54"/>
      <c r="AS1128" s="54"/>
      <c r="AT1128" s="54"/>
      <c r="AU1128" s="34"/>
      <c r="AV1128" s="34"/>
      <c r="AW1128" s="34"/>
      <c r="AX1128" s="34"/>
      <c r="AY1128" s="34"/>
      <c r="AZ1128" s="44"/>
      <c r="BA1128" s="34"/>
      <c r="BB1128" s="34"/>
    </row>
    <row r="1129" spans="1:54" x14ac:dyDescent="0.35" ht="15.0" customHeight="true">
      <c r="A1129" s="51"/>
      <c r="F1129" s="33"/>
      <c r="H1129" s="33"/>
      <c r="I1129" s="51"/>
      <c r="J1129" s="33"/>
      <c r="K1129" s="51"/>
      <c r="L1129" s="33"/>
      <c r="T1129" s="56"/>
      <c r="U1129" s="44"/>
      <c r="X1129" s="51"/>
      <c r="Y1129" s="51"/>
      <c r="AC1129" s="34"/>
      <c r="AD1129" s="34"/>
      <c r="AE1129" s="34"/>
      <c r="AF1129" s="34"/>
      <c r="AG1129" s="34"/>
      <c r="AM1129" s="33"/>
      <c r="AN1129" s="51"/>
      <c r="AQ1129" s="51"/>
      <c r="AR1129" s="54"/>
      <c r="AS1129" s="54"/>
      <c r="AT1129" s="54"/>
      <c r="AU1129" s="34"/>
      <c r="AV1129" s="34"/>
      <c r="AW1129" s="34"/>
      <c r="AX1129" s="34"/>
      <c r="AY1129" s="34"/>
      <c r="AZ1129" s="44"/>
      <c r="BA1129" s="34"/>
      <c r="BB1129" s="34"/>
    </row>
    <row r="1130" spans="1:54" x14ac:dyDescent="0.35" ht="15.0" customHeight="true">
      <c r="A1130" s="51"/>
      <c r="F1130" s="33"/>
      <c r="H1130" s="33"/>
      <c r="I1130" s="51"/>
      <c r="J1130" s="33"/>
      <c r="K1130" s="51"/>
      <c r="L1130" s="33"/>
      <c r="T1130" s="56"/>
      <c r="U1130" s="44"/>
      <c r="X1130" s="51"/>
      <c r="Y1130" s="51"/>
      <c r="AC1130" s="34"/>
      <c r="AD1130" s="34"/>
      <c r="AE1130" s="34"/>
      <c r="AF1130" s="34"/>
      <c r="AG1130" s="34"/>
      <c r="AM1130" s="33"/>
      <c r="AN1130" s="51"/>
      <c r="AQ1130" s="51"/>
      <c r="AR1130" s="54"/>
      <c r="AS1130" s="54"/>
      <c r="AT1130" s="54"/>
      <c r="AU1130" s="34"/>
      <c r="AV1130" s="34"/>
      <c r="AW1130" s="34"/>
      <c r="AX1130" s="34"/>
      <c r="AY1130" s="34"/>
      <c r="AZ1130" s="44"/>
      <c r="BA1130" s="34"/>
      <c r="BB1130" s="34"/>
    </row>
    <row r="1131" spans="1:54" x14ac:dyDescent="0.35" ht="15.0" customHeight="true">
      <c r="A1131" s="51"/>
      <c r="F1131" s="33"/>
      <c r="H1131" s="33"/>
      <c r="I1131" s="51"/>
      <c r="J1131" s="33"/>
      <c r="K1131" s="51"/>
      <c r="L1131" s="33"/>
      <c r="T1131" s="56"/>
      <c r="U1131" s="44"/>
      <c r="X1131" s="51"/>
      <c r="Y1131" s="51"/>
      <c r="AM1131" s="33"/>
      <c r="AN1131" s="51"/>
      <c r="AQ1131" s="51"/>
      <c r="AR1131" s="54"/>
      <c r="AS1131" s="54"/>
      <c r="AT1131" s="54"/>
      <c r="AU1131" s="34"/>
      <c r="AV1131" s="34"/>
      <c r="AW1131" s="34"/>
      <c r="AX1131" s="34"/>
      <c r="AY1131" s="34"/>
      <c r="AZ1131" s="44"/>
      <c r="BA1131" s="34"/>
      <c r="BB1131" s="34"/>
    </row>
    <row r="1132" spans="1:54" x14ac:dyDescent="0.35" ht="15.0" customHeight="true">
      <c r="A1132" s="51"/>
      <c r="F1132" s="33"/>
      <c r="H1132" s="33"/>
      <c r="I1132" s="51"/>
      <c r="J1132" s="33"/>
      <c r="K1132" s="51"/>
      <c r="L1132" s="33"/>
      <c r="T1132" s="56"/>
      <c r="U1132" s="44"/>
      <c r="X1132" s="51"/>
      <c r="Y1132" s="51"/>
      <c r="AM1132" s="33"/>
      <c r="AN1132" s="51"/>
      <c r="AQ1132" s="51"/>
      <c r="AR1132" s="54"/>
      <c r="AS1132" s="54"/>
      <c r="AT1132" s="54"/>
      <c r="AU1132" s="34"/>
      <c r="AV1132" s="34"/>
      <c r="AW1132" s="34"/>
      <c r="AX1132" s="34"/>
      <c r="AY1132" s="34"/>
      <c r="AZ1132" s="44"/>
      <c r="BA1132" s="34"/>
      <c r="BB1132" s="34"/>
    </row>
    <row r="1133" spans="1:54" x14ac:dyDescent="0.35" ht="15.0" customHeight="true">
      <c r="A1133" s="51"/>
      <c r="F1133" s="33"/>
      <c r="H1133" s="33"/>
      <c r="I1133" s="51"/>
      <c r="J1133" s="33"/>
      <c r="K1133" s="51"/>
      <c r="L1133" s="33"/>
      <c r="T1133" s="56"/>
      <c r="U1133" s="44"/>
      <c r="X1133" s="51"/>
      <c r="Y1133" s="51"/>
      <c r="AM1133" s="33"/>
      <c r="AN1133" s="51"/>
      <c r="AQ1133" s="51"/>
      <c r="AR1133" s="54"/>
      <c r="AS1133" s="54"/>
      <c r="AT1133" s="54"/>
      <c r="AU1133" s="34"/>
      <c r="AV1133" s="34"/>
      <c r="AW1133" s="34"/>
      <c r="AX1133" s="34"/>
      <c r="AY1133" s="34"/>
      <c r="AZ1133" s="44"/>
      <c r="BA1133" s="34"/>
      <c r="BB1133" s="34"/>
    </row>
    <row r="1134" spans="1:54" x14ac:dyDescent="0.35" ht="15.0" customHeight="true">
      <c r="A1134" s="51"/>
      <c r="F1134" s="33"/>
      <c r="H1134" s="33"/>
      <c r="I1134" s="51"/>
      <c r="J1134" s="33"/>
      <c r="K1134" s="51"/>
      <c r="L1134" s="33"/>
      <c r="T1134" s="56"/>
      <c r="U1134" s="44"/>
      <c r="X1134" s="51"/>
      <c r="Y1134" s="51"/>
      <c r="AM1134" s="33"/>
      <c r="AN1134" s="51"/>
      <c r="AQ1134" s="51"/>
      <c r="AR1134" s="54"/>
      <c r="AS1134" s="54"/>
      <c r="AT1134" s="54"/>
      <c r="AU1134" s="34"/>
      <c r="AV1134" s="34"/>
      <c r="AW1134" s="34"/>
      <c r="AX1134" s="34"/>
      <c r="AY1134" s="34"/>
      <c r="AZ1134" s="44"/>
      <c r="BA1134" s="34"/>
      <c r="BB1134" s="34"/>
    </row>
    <row r="1135" spans="1:54" x14ac:dyDescent="0.35" ht="15.0" customHeight="true">
      <c r="A1135" s="51"/>
      <c r="F1135" s="33"/>
      <c r="H1135" s="33"/>
      <c r="I1135" s="51"/>
      <c r="J1135" s="33"/>
      <c r="K1135" s="51"/>
      <c r="L1135" s="33"/>
      <c r="T1135" s="56"/>
      <c r="U1135" s="44"/>
      <c r="X1135" s="51"/>
      <c r="Y1135" s="51"/>
      <c r="AM1135" s="33"/>
      <c r="AN1135" s="51"/>
      <c r="AQ1135" s="51"/>
      <c r="AR1135" s="54"/>
      <c r="AS1135" s="54"/>
      <c r="AT1135" s="54"/>
      <c r="AU1135" s="34"/>
      <c r="AV1135" s="34"/>
      <c r="AW1135" s="34"/>
      <c r="AX1135" s="34"/>
      <c r="AY1135" s="34"/>
      <c r="AZ1135" s="44"/>
      <c r="BA1135" s="34"/>
      <c r="BB1135" s="34"/>
    </row>
    <row r="1136" spans="1:54" x14ac:dyDescent="0.35" ht="15.0" customHeight="true">
      <c r="A1136" s="51"/>
      <c r="F1136" s="33"/>
      <c r="H1136" s="33"/>
      <c r="I1136" s="51"/>
      <c r="J1136" s="33"/>
      <c r="K1136" s="51"/>
      <c r="L1136" s="33"/>
      <c r="T1136" s="56"/>
      <c r="U1136" s="44"/>
      <c r="X1136" s="51"/>
      <c r="Y1136" s="51"/>
      <c r="AM1136" s="33"/>
      <c r="AN1136" s="51"/>
      <c r="AQ1136" s="51"/>
      <c r="AR1136" s="54"/>
      <c r="AS1136" s="54"/>
      <c r="AT1136" s="54"/>
      <c r="AU1136" s="34"/>
      <c r="AV1136" s="34"/>
      <c r="AW1136" s="34"/>
      <c r="AX1136" s="34"/>
      <c r="AY1136" s="34"/>
      <c r="AZ1136" s="44"/>
      <c r="BA1136" s="34"/>
      <c r="BB1136" s="34"/>
    </row>
    <row r="1137" spans="1:54" x14ac:dyDescent="0.35" ht="15.0" customHeight="true">
      <c r="A1137" s="51"/>
      <c r="F1137" s="33"/>
      <c r="H1137" s="33"/>
      <c r="I1137" s="51"/>
      <c r="J1137" s="33"/>
      <c r="K1137" s="51"/>
      <c r="L1137" s="33"/>
      <c r="T1137" s="56"/>
      <c r="U1137" s="44"/>
      <c r="X1137" s="51"/>
      <c r="Y1137" s="51"/>
      <c r="AM1137" s="33"/>
      <c r="AN1137" s="51"/>
      <c r="AQ1137" s="51"/>
      <c r="AR1137" s="54"/>
      <c r="AS1137" s="54"/>
      <c r="AT1137" s="54"/>
      <c r="AU1137" s="34"/>
      <c r="AV1137" s="34"/>
      <c r="AW1137" s="34"/>
      <c r="AX1137" s="34"/>
      <c r="AY1137" s="34"/>
      <c r="AZ1137" s="44"/>
      <c r="BA1137" s="34"/>
      <c r="BB1137" s="34"/>
    </row>
    <row r="1138" spans="1:54" x14ac:dyDescent="0.35" ht="15.0" customHeight="true">
      <c r="A1138" s="51"/>
      <c r="F1138" s="33"/>
      <c r="H1138" s="33"/>
      <c r="I1138" s="51"/>
      <c r="J1138" s="33"/>
      <c r="K1138" s="51"/>
      <c r="L1138" s="33"/>
      <c r="T1138" s="56"/>
      <c r="U1138" s="44"/>
      <c r="X1138" s="51"/>
      <c r="Y1138" s="51"/>
      <c r="AM1138" s="33"/>
      <c r="AN1138" s="51"/>
      <c r="AQ1138" s="51"/>
      <c r="AR1138" s="54"/>
      <c r="AS1138" s="54"/>
      <c r="AT1138" s="54"/>
      <c r="AU1138" s="34"/>
      <c r="AV1138" s="34"/>
      <c r="AW1138" s="34"/>
      <c r="AX1138" s="34"/>
      <c r="AY1138" s="34"/>
      <c r="AZ1138" s="44"/>
      <c r="BA1138" s="34"/>
      <c r="BB1138" s="34"/>
    </row>
    <row r="1139" spans="1:54" x14ac:dyDescent="0.35" ht="15.0" customHeight="true">
      <c r="A1139" s="51"/>
      <c r="F1139" s="33"/>
      <c r="H1139" s="33"/>
      <c r="I1139" s="51"/>
      <c r="J1139" s="33"/>
      <c r="K1139" s="51"/>
      <c r="L1139" s="33"/>
      <c r="T1139" s="56"/>
      <c r="U1139" s="44"/>
      <c r="X1139" s="51"/>
      <c r="Y1139" s="51"/>
      <c r="AM1139" s="33"/>
      <c r="AN1139" s="51"/>
      <c r="AQ1139" s="51"/>
      <c r="AR1139" s="54"/>
      <c r="AS1139" s="54"/>
      <c r="AT1139" s="54"/>
      <c r="AU1139" s="34"/>
      <c r="AV1139" s="34"/>
      <c r="AW1139" s="34"/>
      <c r="AX1139" s="34"/>
      <c r="AY1139" s="34"/>
      <c r="AZ1139" s="44"/>
      <c r="BA1139" s="34"/>
      <c r="BB1139" s="34"/>
    </row>
    <row r="1140" spans="1:54" x14ac:dyDescent="0.35" ht="15.0" customHeight="true">
      <c r="A1140" s="51"/>
      <c r="F1140" s="33"/>
      <c r="H1140" s="33"/>
      <c r="I1140" s="51"/>
      <c r="J1140" s="33"/>
      <c r="K1140" s="51"/>
      <c r="L1140" s="33"/>
      <c r="T1140" s="56"/>
      <c r="U1140" s="44"/>
      <c r="X1140" s="51"/>
      <c r="Y1140" s="51"/>
      <c r="AM1140" s="33"/>
      <c r="AN1140" s="51"/>
      <c r="AQ1140" s="51"/>
      <c r="AR1140" s="54"/>
      <c r="AS1140" s="54"/>
      <c r="AT1140" s="54"/>
      <c r="AU1140" s="34"/>
      <c r="AV1140" s="34"/>
      <c r="AW1140" s="34"/>
      <c r="AX1140" s="34"/>
      <c r="AY1140" s="34"/>
      <c r="AZ1140" s="44"/>
      <c r="BA1140" s="34"/>
      <c r="BB1140" s="34"/>
    </row>
    <row r="1141" spans="1:54" x14ac:dyDescent="0.35" ht="15.0" customHeight="true">
      <c r="A1141" s="51"/>
      <c r="F1141" s="33"/>
      <c r="H1141" s="33"/>
      <c r="I1141" s="51"/>
      <c r="J1141" s="33"/>
      <c r="K1141" s="51"/>
      <c r="L1141" s="33"/>
      <c r="T1141" s="56"/>
      <c r="U1141" s="44"/>
      <c r="X1141" s="51"/>
      <c r="Y1141" s="51"/>
      <c r="AM1141" s="33"/>
      <c r="AN1141" s="51"/>
      <c r="AQ1141" s="51"/>
      <c r="AR1141" s="54"/>
      <c r="AS1141" s="54"/>
      <c r="AT1141" s="54"/>
      <c r="AU1141" s="34"/>
      <c r="AV1141" s="34"/>
      <c r="AW1141" s="34"/>
      <c r="AX1141" s="34"/>
      <c r="AY1141" s="34"/>
      <c r="AZ1141" s="44"/>
      <c r="BA1141" s="34"/>
      <c r="BB1141" s="34"/>
    </row>
    <row r="1142" spans="1:54" x14ac:dyDescent="0.35" ht="15.0" customHeight="true">
      <c r="A1142" s="51"/>
      <c r="F1142" s="33"/>
      <c r="H1142" s="33"/>
      <c r="I1142" s="51"/>
      <c r="J1142" s="33"/>
      <c r="K1142" s="51"/>
      <c r="L1142" s="33"/>
      <c r="T1142" s="56"/>
      <c r="U1142" s="44"/>
      <c r="X1142" s="51"/>
      <c r="Y1142" s="51"/>
      <c r="AM1142" s="33"/>
      <c r="AN1142" s="51"/>
      <c r="AQ1142" s="51"/>
      <c r="AR1142" s="54"/>
      <c r="AS1142" s="54"/>
      <c r="AT1142" s="54"/>
      <c r="AU1142" s="34"/>
      <c r="AV1142" s="34"/>
      <c r="AW1142" s="34"/>
      <c r="AX1142" s="34"/>
      <c r="AY1142" s="34"/>
      <c r="AZ1142" s="44"/>
      <c r="BA1142" s="34"/>
      <c r="BB1142" s="34"/>
    </row>
    <row r="1143" spans="1:54" x14ac:dyDescent="0.35" ht="15.0" customHeight="true">
      <c r="A1143" s="51"/>
      <c r="F1143" s="33"/>
      <c r="H1143" s="33"/>
      <c r="I1143" s="51"/>
      <c r="J1143" s="33"/>
      <c r="K1143" s="51"/>
      <c r="L1143" s="33"/>
      <c r="T1143" s="56"/>
      <c r="U1143" s="44"/>
      <c r="X1143" s="51"/>
      <c r="Y1143" s="51"/>
      <c r="AM1143" s="33"/>
      <c r="AN1143" s="51"/>
      <c r="AQ1143" s="51"/>
      <c r="AR1143" s="54"/>
      <c r="AS1143" s="54"/>
      <c r="AT1143" s="54"/>
      <c r="AU1143" s="34"/>
      <c r="AV1143" s="34"/>
      <c r="AW1143" s="34"/>
      <c r="AX1143" s="34"/>
      <c r="AY1143" s="34"/>
      <c r="AZ1143" s="44"/>
      <c r="BA1143" s="34"/>
      <c r="BB1143" s="34"/>
    </row>
    <row r="1144" spans="1:54" x14ac:dyDescent="0.35" ht="15.0" customHeight="true">
      <c r="A1144" s="51"/>
      <c r="F1144" s="33"/>
      <c r="H1144" s="33"/>
      <c r="I1144" s="51"/>
      <c r="J1144" s="33"/>
      <c r="K1144" s="51"/>
      <c r="L1144" s="33"/>
      <c r="T1144" s="56"/>
      <c r="U1144" s="44"/>
      <c r="X1144" s="51"/>
      <c r="Y1144" s="51"/>
      <c r="AM1144" s="33"/>
      <c r="AN1144" s="51"/>
      <c r="AQ1144" s="51"/>
      <c r="AR1144" s="54"/>
      <c r="AS1144" s="54"/>
      <c r="AT1144" s="54"/>
      <c r="AU1144" s="34"/>
      <c r="AV1144" s="34"/>
      <c r="AW1144" s="34"/>
      <c r="AX1144" s="34"/>
      <c r="AY1144" s="34"/>
      <c r="AZ1144" s="44"/>
      <c r="BA1144" s="34"/>
      <c r="BB1144" s="34"/>
    </row>
    <row r="1145" spans="1:54" x14ac:dyDescent="0.35" ht="15.0" customHeight="true">
      <c r="A1145" s="51"/>
      <c r="F1145" s="33"/>
      <c r="H1145" s="33"/>
      <c r="I1145" s="51"/>
      <c r="J1145" s="33"/>
      <c r="K1145" s="51"/>
      <c r="L1145" s="33"/>
      <c r="T1145" s="56"/>
      <c r="U1145" s="44"/>
      <c r="X1145" s="51"/>
      <c r="Y1145" s="51"/>
      <c r="AM1145" s="33"/>
      <c r="AN1145" s="51"/>
      <c r="AQ1145" s="51"/>
      <c r="AR1145" s="54"/>
      <c r="AS1145" s="54"/>
      <c r="AT1145" s="54"/>
      <c r="AU1145" s="34"/>
      <c r="AV1145" s="34"/>
      <c r="AW1145" s="34"/>
      <c r="AX1145" s="34"/>
      <c r="AY1145" s="34"/>
      <c r="AZ1145" s="44"/>
      <c r="BA1145" s="34"/>
      <c r="BB1145" s="34"/>
    </row>
    <row r="1146" spans="1:54" x14ac:dyDescent="0.35" ht="15.0" customHeight="true">
      <c r="A1146" s="51"/>
      <c r="F1146" s="33"/>
      <c r="H1146" s="33"/>
      <c r="I1146" s="51"/>
      <c r="J1146" s="33"/>
      <c r="K1146" s="51"/>
      <c r="L1146" s="33"/>
      <c r="T1146" s="56"/>
      <c r="U1146" s="44"/>
      <c r="X1146" s="51"/>
      <c r="Y1146" s="51"/>
      <c r="AM1146" s="33"/>
      <c r="AN1146" s="51"/>
      <c r="AQ1146" s="51"/>
      <c r="AR1146" s="54"/>
      <c r="AS1146" s="54"/>
      <c r="AT1146" s="54"/>
      <c r="AU1146" s="34"/>
      <c r="AV1146" s="34"/>
      <c r="AW1146" s="34"/>
      <c r="AX1146" s="34"/>
      <c r="AY1146" s="34"/>
      <c r="AZ1146" s="44"/>
      <c r="BA1146" s="34"/>
      <c r="BB1146" s="34"/>
    </row>
    <row r="1147" spans="1:54" x14ac:dyDescent="0.35" ht="15.0" customHeight="true">
      <c r="A1147" s="51"/>
      <c r="F1147" s="33"/>
      <c r="H1147" s="33"/>
      <c r="I1147" s="51"/>
      <c r="J1147" s="33"/>
      <c r="K1147" s="51"/>
      <c r="L1147" s="33"/>
      <c r="T1147" s="56"/>
      <c r="U1147" s="44"/>
      <c r="X1147" s="51"/>
      <c r="Y1147" s="51"/>
      <c r="AM1147" s="33"/>
      <c r="AN1147" s="51"/>
      <c r="AQ1147" s="51"/>
      <c r="AR1147" s="54"/>
      <c r="AS1147" s="54"/>
      <c r="AT1147" s="54"/>
      <c r="AU1147" s="34"/>
      <c r="AV1147" s="34"/>
      <c r="AW1147" s="34"/>
      <c r="AX1147" s="34"/>
      <c r="AY1147" s="34"/>
      <c r="AZ1147" s="44"/>
      <c r="BA1147" s="34"/>
      <c r="BB1147" s="34"/>
    </row>
    <row r="1148" spans="1:54" x14ac:dyDescent="0.35" ht="15.0" customHeight="true">
      <c r="A1148" s="51"/>
      <c r="F1148" s="33"/>
      <c r="H1148" s="33"/>
      <c r="I1148" s="51"/>
      <c r="J1148" s="33"/>
      <c r="K1148" s="51"/>
      <c r="L1148" s="33"/>
      <c r="T1148" s="56"/>
      <c r="U1148" s="44"/>
      <c r="X1148" s="51"/>
      <c r="Y1148" s="51"/>
      <c r="AM1148" s="33"/>
      <c r="AN1148" s="51"/>
      <c r="AQ1148" s="51"/>
      <c r="AR1148" s="54"/>
      <c r="AS1148" s="54"/>
      <c r="AT1148" s="54"/>
      <c r="AU1148" s="34"/>
      <c r="AV1148" s="34"/>
      <c r="AW1148" s="34"/>
      <c r="AX1148" s="34"/>
      <c r="AY1148" s="34"/>
      <c r="AZ1148" s="44"/>
      <c r="BA1148" s="34"/>
      <c r="BB1148" s="34"/>
    </row>
    <row r="1149" spans="1:54" x14ac:dyDescent="0.35" ht="15.0" customHeight="true">
      <c r="A1149" s="51"/>
      <c r="F1149" s="33"/>
      <c r="H1149" s="33"/>
      <c r="I1149" s="51"/>
      <c r="J1149" s="33"/>
      <c r="K1149" s="51"/>
      <c r="L1149" s="33"/>
      <c r="T1149" s="56"/>
      <c r="U1149" s="44"/>
      <c r="X1149" s="51"/>
      <c r="Y1149" s="51"/>
      <c r="AM1149" s="33"/>
      <c r="AN1149" s="51"/>
      <c r="AQ1149" s="51"/>
      <c r="AR1149" s="54"/>
      <c r="AS1149" s="54"/>
      <c r="AT1149" s="54"/>
      <c r="AU1149" s="34"/>
      <c r="AV1149" s="34"/>
      <c r="AW1149" s="34"/>
      <c r="AX1149" s="34"/>
      <c r="AY1149" s="34"/>
      <c r="AZ1149" s="44"/>
      <c r="BA1149" s="34"/>
      <c r="BB1149" s="34"/>
    </row>
    <row r="1150" spans="1:54" x14ac:dyDescent="0.35" ht="15.0" customHeight="true">
      <c r="A1150" s="51"/>
      <c r="F1150" s="33"/>
      <c r="H1150" s="33"/>
      <c r="I1150" s="51"/>
      <c r="J1150" s="33"/>
      <c r="K1150" s="51"/>
      <c r="L1150" s="33"/>
      <c r="T1150" s="56"/>
      <c r="U1150" s="44"/>
      <c r="X1150" s="51"/>
      <c r="Y1150" s="51"/>
      <c r="AM1150" s="33"/>
      <c r="AN1150" s="51"/>
      <c r="AQ1150" s="51"/>
      <c r="AR1150" s="54"/>
      <c r="AS1150" s="54"/>
      <c r="AT1150" s="54"/>
      <c r="AU1150" s="34"/>
      <c r="AV1150" s="34"/>
      <c r="AW1150" s="34"/>
      <c r="AX1150" s="34"/>
      <c r="AY1150" s="34"/>
      <c r="AZ1150" s="44"/>
      <c r="BA1150" s="34"/>
      <c r="BB1150" s="34"/>
    </row>
    <row r="1151" spans="1:54" x14ac:dyDescent="0.35" ht="15.0" customHeight="true">
      <c r="A1151" s="51"/>
      <c r="F1151" s="33"/>
      <c r="H1151" s="33"/>
      <c r="I1151" s="51"/>
      <c r="J1151" s="33"/>
      <c r="K1151" s="51"/>
      <c r="L1151" s="33"/>
      <c r="T1151" s="56"/>
      <c r="U1151" s="44"/>
      <c r="X1151" s="51"/>
      <c r="Y1151" s="51"/>
      <c r="AM1151" s="33"/>
      <c r="AN1151" s="51"/>
      <c r="AQ1151" s="51"/>
      <c r="AR1151" s="54"/>
      <c r="AS1151" s="54"/>
      <c r="AT1151" s="54"/>
      <c r="AU1151" s="34"/>
      <c r="AV1151" s="34"/>
      <c r="AW1151" s="34"/>
      <c r="AX1151" s="34"/>
      <c r="AY1151" s="34"/>
      <c r="AZ1151" s="44"/>
      <c r="BA1151" s="34"/>
      <c r="BB1151" s="34"/>
    </row>
    <row r="1152" spans="1:54" x14ac:dyDescent="0.35" ht="15.0" customHeight="true">
      <c r="A1152" s="51"/>
      <c r="F1152" s="33"/>
      <c r="H1152" s="33"/>
      <c r="I1152" s="51"/>
      <c r="J1152" s="33"/>
      <c r="K1152" s="51"/>
      <c r="L1152" s="33"/>
      <c r="T1152" s="56"/>
      <c r="U1152" s="44"/>
      <c r="X1152" s="51"/>
      <c r="Y1152" s="51"/>
      <c r="AM1152" s="33"/>
      <c r="AN1152" s="51"/>
      <c r="AQ1152" s="51"/>
      <c r="AR1152" s="54"/>
      <c r="AS1152" s="54"/>
      <c r="AT1152" s="54"/>
      <c r="AU1152" s="34"/>
      <c r="AV1152" s="34"/>
      <c r="AW1152" s="34"/>
      <c r="AX1152" s="34"/>
      <c r="AY1152" s="34"/>
      <c r="AZ1152" s="44"/>
      <c r="BA1152" s="34"/>
      <c r="BB1152" s="34"/>
    </row>
    <row r="1153" spans="1:54" x14ac:dyDescent="0.35" ht="15.0" customHeight="true">
      <c r="A1153" s="51"/>
      <c r="F1153" s="33"/>
      <c r="H1153" s="33"/>
      <c r="I1153" s="51"/>
      <c r="J1153" s="33"/>
      <c r="K1153" s="51"/>
      <c r="L1153" s="33"/>
      <c r="T1153" s="56"/>
      <c r="U1153" s="44"/>
      <c r="X1153" s="51"/>
      <c r="Y1153" s="51"/>
      <c r="AM1153" s="33"/>
      <c r="AN1153" s="51"/>
      <c r="AQ1153" s="51"/>
      <c r="AR1153" s="54"/>
      <c r="AS1153" s="54"/>
      <c r="AT1153" s="54"/>
      <c r="AU1153" s="34"/>
      <c r="AV1153" s="34"/>
      <c r="AW1153" s="34"/>
      <c r="AX1153" s="34"/>
      <c r="AY1153" s="34"/>
      <c r="AZ1153" s="44"/>
      <c r="BA1153" s="34"/>
      <c r="BB1153" s="34"/>
    </row>
    <row r="1154" spans="1:54" x14ac:dyDescent="0.35" ht="15.0" customHeight="true">
      <c r="A1154" s="51"/>
      <c r="F1154" s="33"/>
      <c r="H1154" s="33"/>
      <c r="I1154" s="51"/>
      <c r="J1154" s="33"/>
      <c r="K1154" s="51"/>
      <c r="L1154" s="33"/>
      <c r="T1154" s="56"/>
      <c r="U1154" s="44"/>
      <c r="X1154" s="51"/>
      <c r="Y1154" s="51"/>
      <c r="AM1154" s="33"/>
      <c r="AN1154" s="51"/>
      <c r="AQ1154" s="51"/>
      <c r="AR1154" s="54"/>
      <c r="AS1154" s="54"/>
      <c r="AT1154" s="54"/>
      <c r="AU1154" s="34"/>
      <c r="AV1154" s="34"/>
      <c r="AW1154" s="34"/>
      <c r="AX1154" s="34"/>
      <c r="AY1154" s="34"/>
      <c r="AZ1154" s="44"/>
      <c r="BA1154" s="34"/>
      <c r="BB1154" s="34"/>
    </row>
    <row r="1155" spans="1:54" x14ac:dyDescent="0.35" ht="15.0" customHeight="true">
      <c r="A1155" s="51"/>
      <c r="F1155" s="33"/>
      <c r="H1155" s="33"/>
      <c r="I1155" s="51"/>
      <c r="J1155" s="33"/>
      <c r="K1155" s="51"/>
      <c r="L1155" s="33"/>
      <c r="T1155" s="56"/>
      <c r="U1155" s="44"/>
      <c r="X1155" s="51"/>
      <c r="Y1155" s="51"/>
      <c r="AM1155" s="33"/>
      <c r="AN1155" s="51"/>
      <c r="AQ1155" s="51"/>
      <c r="AR1155" s="54"/>
      <c r="AS1155" s="54"/>
      <c r="AT1155" s="54"/>
      <c r="AU1155" s="34"/>
      <c r="AV1155" s="34"/>
      <c r="AW1155" s="34"/>
      <c r="AX1155" s="34"/>
      <c r="AY1155" s="34"/>
      <c r="AZ1155" s="44"/>
      <c r="BA1155" s="34"/>
      <c r="BB1155" s="34"/>
    </row>
    <row r="1156" spans="1:54" x14ac:dyDescent="0.35" ht="15.0" customHeight="true">
      <c r="A1156" s="51"/>
      <c r="F1156" s="33"/>
      <c r="H1156" s="33"/>
      <c r="I1156" s="51"/>
      <c r="J1156" s="33"/>
      <c r="K1156" s="51"/>
      <c r="L1156" s="33"/>
      <c r="T1156" s="56"/>
      <c r="U1156" s="44"/>
      <c r="X1156" s="51"/>
      <c r="Y1156" s="51"/>
      <c r="AM1156" s="33"/>
      <c r="AN1156" s="51"/>
      <c r="AQ1156" s="51"/>
      <c r="AR1156" s="54"/>
      <c r="AS1156" s="54"/>
      <c r="AT1156" s="54"/>
      <c r="AU1156" s="34"/>
      <c r="AV1156" s="34"/>
      <c r="AW1156" s="34"/>
      <c r="AX1156" s="34"/>
      <c r="AY1156" s="34"/>
      <c r="AZ1156" s="44"/>
      <c r="BA1156" s="34"/>
      <c r="BB1156" s="34"/>
    </row>
    <row r="1157" spans="1:54" x14ac:dyDescent="0.35" ht="15.0" customHeight="true">
      <c r="A1157" s="51"/>
      <c r="F1157" s="33"/>
      <c r="H1157" s="33"/>
      <c r="I1157" s="51"/>
      <c r="J1157" s="33"/>
      <c r="K1157" s="51"/>
      <c r="L1157" s="33"/>
      <c r="T1157" s="56"/>
      <c r="U1157" s="44"/>
      <c r="X1157" s="51"/>
      <c r="Y1157" s="51"/>
      <c r="AM1157" s="33"/>
      <c r="AN1157" s="51"/>
      <c r="AQ1157" s="51"/>
      <c r="AR1157" s="54"/>
      <c r="AS1157" s="54"/>
      <c r="AT1157" s="54"/>
      <c r="AU1157" s="34"/>
      <c r="AV1157" s="34"/>
      <c r="AW1157" s="34"/>
      <c r="AX1157" s="34"/>
      <c r="AY1157" s="34"/>
      <c r="AZ1157" s="44"/>
      <c r="BA1157" s="34"/>
      <c r="BB1157" s="34"/>
    </row>
    <row r="1158" spans="1:54" x14ac:dyDescent="0.35" ht="15.0" customHeight="true">
      <c r="A1158" s="51"/>
      <c r="F1158" s="33"/>
      <c r="H1158" s="33"/>
      <c r="I1158" s="51"/>
      <c r="J1158" s="33"/>
      <c r="K1158" s="51"/>
      <c r="L1158" s="33"/>
      <c r="T1158" s="56"/>
      <c r="U1158" s="44"/>
      <c r="X1158" s="51"/>
      <c r="Y1158" s="51"/>
      <c r="AM1158" s="33"/>
      <c r="AN1158" s="51"/>
      <c r="AQ1158" s="51"/>
      <c r="AR1158" s="54"/>
      <c r="AS1158" s="54"/>
      <c r="AT1158" s="54"/>
      <c r="AU1158" s="34"/>
      <c r="AV1158" s="34"/>
      <c r="AW1158" s="34"/>
      <c r="AX1158" s="34"/>
      <c r="AY1158" s="34"/>
      <c r="AZ1158" s="44"/>
      <c r="BA1158" s="34"/>
      <c r="BB1158" s="34"/>
    </row>
    <row r="1159" spans="1:54" x14ac:dyDescent="0.35" ht="15.0" customHeight="true">
      <c r="A1159" s="51"/>
      <c r="F1159" s="33"/>
      <c r="H1159" s="33"/>
      <c r="I1159" s="51"/>
      <c r="J1159" s="33"/>
      <c r="K1159" s="51"/>
      <c r="L1159" s="33"/>
      <c r="T1159" s="56"/>
      <c r="U1159" s="44"/>
      <c r="X1159" s="51"/>
      <c r="Y1159" s="51"/>
      <c r="AM1159" s="33"/>
      <c r="AN1159" s="51"/>
      <c r="AQ1159" s="51"/>
      <c r="AR1159" s="54"/>
      <c r="AS1159" s="54"/>
      <c r="AT1159" s="54"/>
      <c r="AU1159" s="34"/>
      <c r="AV1159" s="34"/>
      <c r="AW1159" s="34"/>
      <c r="AX1159" s="34"/>
      <c r="AY1159" s="34"/>
      <c r="AZ1159" s="44"/>
      <c r="BA1159" s="34"/>
      <c r="BB1159" s="34"/>
    </row>
    <row r="1160" spans="1:54" x14ac:dyDescent="0.35" ht="15.0" customHeight="true">
      <c r="A1160" s="51"/>
      <c r="F1160" s="33"/>
      <c r="H1160" s="33"/>
      <c r="I1160" s="51"/>
      <c r="J1160" s="33"/>
      <c r="K1160" s="51"/>
      <c r="L1160" s="33"/>
      <c r="T1160" s="56"/>
      <c r="U1160" s="44"/>
      <c r="X1160" s="51"/>
      <c r="Y1160" s="51"/>
      <c r="AM1160" s="33"/>
      <c r="AN1160" s="51"/>
      <c r="AQ1160" s="51"/>
      <c r="AR1160" s="54"/>
      <c r="AS1160" s="54"/>
      <c r="AT1160" s="54"/>
      <c r="AU1160" s="34"/>
      <c r="AV1160" s="34"/>
      <c r="AW1160" s="34"/>
      <c r="AX1160" s="34"/>
      <c r="AY1160" s="34"/>
      <c r="AZ1160" s="44"/>
      <c r="BA1160" s="34"/>
      <c r="BB1160" s="34"/>
    </row>
    <row r="1161" spans="1:54" x14ac:dyDescent="0.35" ht="15.0" customHeight="true">
      <c r="A1161" s="51"/>
      <c r="F1161" s="33"/>
      <c r="H1161" s="33"/>
      <c r="I1161" s="51"/>
      <c r="J1161" s="33"/>
      <c r="K1161" s="51"/>
      <c r="L1161" s="33"/>
      <c r="T1161" s="56"/>
      <c r="U1161" s="44"/>
      <c r="X1161" s="51"/>
      <c r="Y1161" s="51"/>
      <c r="AM1161" s="33"/>
      <c r="AN1161" s="51"/>
      <c r="AQ1161" s="51"/>
      <c r="AR1161" s="54"/>
      <c r="AS1161" s="54"/>
      <c r="AT1161" s="54"/>
      <c r="AU1161" s="34"/>
      <c r="AV1161" s="34"/>
      <c r="AW1161" s="34"/>
      <c r="AX1161" s="34"/>
      <c r="AY1161" s="34"/>
      <c r="AZ1161" s="44"/>
      <c r="BA1161" s="34"/>
      <c r="BB1161" s="34"/>
    </row>
    <row r="1162" spans="1:54" x14ac:dyDescent="0.35" ht="15.0" customHeight="true">
      <c r="A1162" s="51"/>
      <c r="F1162" s="33"/>
      <c r="H1162" s="33"/>
      <c r="I1162" s="51"/>
      <c r="J1162" s="33"/>
      <c r="K1162" s="51"/>
      <c r="L1162" s="33"/>
      <c r="T1162" s="56"/>
      <c r="U1162" s="44"/>
      <c r="X1162" s="51"/>
      <c r="Y1162" s="51"/>
      <c r="AM1162" s="33"/>
      <c r="AN1162" s="51"/>
      <c r="AQ1162" s="51"/>
      <c r="AR1162" s="54"/>
      <c r="AS1162" s="54"/>
      <c r="AT1162" s="54"/>
      <c r="AU1162" s="34"/>
      <c r="AV1162" s="34"/>
      <c r="AW1162" s="34"/>
      <c r="AX1162" s="34"/>
      <c r="AY1162" s="34"/>
      <c r="AZ1162" s="44"/>
      <c r="BA1162" s="34"/>
      <c r="BB1162" s="34"/>
    </row>
    <row r="1163" spans="1:54" x14ac:dyDescent="0.35" ht="15.0" customHeight="true">
      <c r="A1163" s="51"/>
      <c r="F1163" s="33"/>
      <c r="H1163" s="33"/>
      <c r="I1163" s="51"/>
      <c r="J1163" s="33"/>
      <c r="K1163" s="51"/>
      <c r="L1163" s="33"/>
      <c r="T1163" s="56"/>
      <c r="U1163" s="44"/>
      <c r="X1163" s="51"/>
      <c r="Y1163" s="51"/>
      <c r="AM1163" s="33"/>
      <c r="AN1163" s="51"/>
      <c r="AQ1163" s="51"/>
      <c r="AR1163" s="54"/>
      <c r="AS1163" s="54"/>
      <c r="AT1163" s="54"/>
      <c r="AU1163" s="34"/>
      <c r="AV1163" s="34"/>
      <c r="AW1163" s="34"/>
      <c r="AX1163" s="34"/>
      <c r="AY1163" s="34"/>
      <c r="AZ1163" s="44"/>
      <c r="BA1163" s="34"/>
      <c r="BB1163" s="34"/>
    </row>
    <row r="1164" spans="1:54" x14ac:dyDescent="0.35" ht="15.0" customHeight="true">
      <c r="A1164" s="51"/>
      <c r="F1164" s="33"/>
      <c r="H1164" s="33"/>
      <c r="I1164" s="51"/>
      <c r="J1164" s="33"/>
      <c r="K1164" s="51"/>
      <c r="L1164" s="33"/>
      <c r="T1164" s="56"/>
      <c r="U1164" s="44"/>
      <c r="X1164" s="51"/>
      <c r="Y1164" s="51"/>
      <c r="AM1164" s="33"/>
      <c r="AN1164" s="51"/>
      <c r="AQ1164" s="51"/>
      <c r="AR1164" s="54"/>
      <c r="AS1164" s="54"/>
      <c r="AT1164" s="54"/>
      <c r="AU1164" s="34"/>
      <c r="AV1164" s="34"/>
      <c r="AW1164" s="34"/>
      <c r="AX1164" s="34"/>
      <c r="AY1164" s="34"/>
      <c r="AZ1164" s="44"/>
      <c r="BA1164" s="34"/>
      <c r="BB1164" s="34"/>
    </row>
    <row r="1165" spans="1:54" x14ac:dyDescent="0.35" ht="15.0" customHeight="true">
      <c r="A1165" s="51"/>
      <c r="F1165" s="33"/>
      <c r="H1165" s="33"/>
      <c r="I1165" s="51"/>
      <c r="J1165" s="33"/>
      <c r="K1165" s="51"/>
      <c r="L1165" s="33"/>
      <c r="T1165" s="56"/>
      <c r="U1165" s="44"/>
      <c r="X1165" s="51"/>
      <c r="Y1165" s="51"/>
      <c r="AM1165" s="33"/>
      <c r="AN1165" s="51"/>
      <c r="AQ1165" s="51"/>
      <c r="AR1165" s="54"/>
      <c r="AS1165" s="54"/>
      <c r="AT1165" s="54"/>
      <c r="AU1165" s="34"/>
      <c r="AV1165" s="34"/>
      <c r="AW1165" s="34"/>
      <c r="AX1165" s="34"/>
      <c r="AY1165" s="34"/>
      <c r="AZ1165" s="44"/>
      <c r="BA1165" s="34"/>
      <c r="BB1165" s="34"/>
    </row>
    <row r="1166" spans="1:54" x14ac:dyDescent="0.35" ht="15.0" customHeight="true">
      <c r="A1166" s="51"/>
      <c r="F1166" s="33"/>
      <c r="H1166" s="33"/>
      <c r="I1166" s="51"/>
      <c r="J1166" s="33"/>
      <c r="K1166" s="51"/>
      <c r="L1166" s="33"/>
      <c r="T1166" s="56"/>
      <c r="U1166" s="44"/>
      <c r="X1166" s="51"/>
      <c r="Y1166" s="51"/>
      <c r="AM1166" s="33"/>
      <c r="AN1166" s="51"/>
      <c r="AQ1166" s="51"/>
      <c r="AR1166" s="54"/>
      <c r="AS1166" s="54"/>
      <c r="AT1166" s="54"/>
      <c r="AU1166" s="34"/>
      <c r="AV1166" s="34"/>
      <c r="AW1166" s="34"/>
      <c r="AX1166" s="34"/>
      <c r="AY1166" s="34"/>
      <c r="AZ1166" s="44"/>
      <c r="BA1166" s="34"/>
      <c r="BB1166" s="34"/>
    </row>
    <row r="1167" spans="1:54" x14ac:dyDescent="0.35" ht="15.0" customHeight="true">
      <c r="A1167" s="51"/>
      <c r="F1167" s="33"/>
      <c r="H1167" s="33"/>
      <c r="I1167" s="51"/>
      <c r="J1167" s="33"/>
      <c r="K1167" s="51"/>
      <c r="L1167" s="33"/>
      <c r="T1167" s="56"/>
      <c r="U1167" s="44"/>
      <c r="X1167" s="51"/>
      <c r="Y1167" s="51"/>
      <c r="AM1167" s="33"/>
      <c r="AN1167" s="51"/>
      <c r="AQ1167" s="51"/>
      <c r="AR1167" s="54"/>
      <c r="AS1167" s="54"/>
      <c r="AT1167" s="54"/>
      <c r="AU1167" s="34"/>
      <c r="AV1167" s="34"/>
      <c r="AW1167" s="34"/>
      <c r="AX1167" s="34"/>
      <c r="AY1167" s="34"/>
      <c r="AZ1167" s="44"/>
      <c r="BA1167" s="34"/>
      <c r="BB1167" s="34"/>
    </row>
    <row r="1168" spans="1:54" x14ac:dyDescent="0.35" ht="15.0" customHeight="true">
      <c r="A1168" s="51"/>
      <c r="F1168" s="33"/>
      <c r="H1168" s="33"/>
      <c r="I1168" s="51"/>
      <c r="J1168" s="33"/>
      <c r="K1168" s="51"/>
      <c r="L1168" s="33"/>
      <c r="T1168" s="56"/>
      <c r="U1168" s="44"/>
      <c r="X1168" s="51"/>
      <c r="Y1168" s="51"/>
      <c r="AM1168" s="33"/>
      <c r="AN1168" s="51"/>
      <c r="AQ1168" s="51"/>
      <c r="AR1168" s="54"/>
      <c r="AS1168" s="54"/>
      <c r="AT1168" s="54"/>
      <c r="AU1168" s="34"/>
      <c r="AV1168" s="34"/>
      <c r="AW1168" s="34"/>
      <c r="AX1168" s="34"/>
      <c r="AY1168" s="34"/>
      <c r="AZ1168" s="44"/>
      <c r="BA1168" s="34"/>
      <c r="BB1168" s="34"/>
    </row>
    <row r="1169" spans="1:54" x14ac:dyDescent="0.35" ht="15.0" customHeight="true">
      <c r="A1169" s="51"/>
      <c r="F1169" s="33"/>
      <c r="H1169" s="33"/>
      <c r="I1169" s="51"/>
      <c r="J1169" s="33"/>
      <c r="K1169" s="51"/>
      <c r="L1169" s="33"/>
      <c r="T1169" s="56"/>
      <c r="U1169" s="44"/>
      <c r="X1169" s="51"/>
      <c r="Y1169" s="51"/>
      <c r="AM1169" s="33"/>
      <c r="AN1169" s="51"/>
      <c r="AQ1169" s="51"/>
      <c r="AR1169" s="54"/>
      <c r="AS1169" s="54"/>
      <c r="AT1169" s="54"/>
      <c r="AU1169" s="34"/>
      <c r="AV1169" s="34"/>
      <c r="AW1169" s="34"/>
      <c r="AX1169" s="34"/>
      <c r="AY1169" s="34"/>
      <c r="AZ1169" s="44"/>
      <c r="BA1169" s="34"/>
      <c r="BB1169" s="34"/>
    </row>
    <row r="1170" spans="1:54" x14ac:dyDescent="0.35" ht="15.0" customHeight="true">
      <c r="A1170" s="51"/>
      <c r="F1170" s="33"/>
      <c r="H1170" s="33"/>
      <c r="I1170" s="51"/>
      <c r="J1170" s="33"/>
      <c r="K1170" s="51"/>
      <c r="L1170" s="33"/>
      <c r="T1170" s="56"/>
      <c r="U1170" s="44"/>
      <c r="X1170" s="51"/>
      <c r="Y1170" s="51"/>
      <c r="AM1170" s="33"/>
      <c r="AN1170" s="51"/>
      <c r="AQ1170" s="51"/>
      <c r="AR1170" s="54"/>
      <c r="AS1170" s="54"/>
      <c r="AT1170" s="54"/>
      <c r="AU1170" s="34"/>
      <c r="AV1170" s="34"/>
      <c r="AW1170" s="34"/>
      <c r="AX1170" s="34"/>
      <c r="AY1170" s="34"/>
      <c r="AZ1170" s="44"/>
      <c r="BA1170" s="34"/>
      <c r="BB1170" s="34"/>
    </row>
    <row r="1171" spans="1:54" x14ac:dyDescent="0.35" ht="15.0" customHeight="true">
      <c r="A1171" s="51"/>
      <c r="F1171" s="33"/>
      <c r="H1171" s="33"/>
      <c r="I1171" s="51"/>
      <c r="J1171" s="33"/>
      <c r="K1171" s="51"/>
      <c r="L1171" s="33"/>
      <c r="T1171" s="56"/>
      <c r="U1171" s="44"/>
      <c r="X1171" s="51"/>
      <c r="Y1171" s="51"/>
      <c r="AM1171" s="33"/>
      <c r="AN1171" s="51"/>
      <c r="AQ1171" s="51"/>
      <c r="AR1171" s="54"/>
      <c r="AS1171" s="54"/>
      <c r="AT1171" s="54"/>
      <c r="AU1171" s="34"/>
      <c r="AV1171" s="34"/>
      <c r="AW1171" s="34"/>
      <c r="AX1171" s="34"/>
      <c r="AY1171" s="34"/>
      <c r="AZ1171" s="44"/>
      <c r="BA1171" s="34"/>
      <c r="BB1171" s="34"/>
    </row>
    <row r="1172" spans="1:54" x14ac:dyDescent="0.35" ht="15.0" customHeight="true">
      <c r="A1172" s="51"/>
      <c r="F1172" s="33"/>
      <c r="H1172" s="33"/>
      <c r="I1172" s="51"/>
      <c r="J1172" s="33"/>
      <c r="K1172" s="51"/>
      <c r="L1172" s="33"/>
      <c r="T1172" s="56"/>
      <c r="U1172" s="44"/>
      <c r="X1172" s="51"/>
      <c r="Y1172" s="51"/>
      <c r="AM1172" s="33"/>
      <c r="AN1172" s="51"/>
      <c r="AQ1172" s="51"/>
      <c r="AR1172" s="54"/>
      <c r="AS1172" s="54"/>
      <c r="AT1172" s="54"/>
      <c r="AU1172" s="34"/>
      <c r="AV1172" s="34"/>
      <c r="AW1172" s="34"/>
      <c r="AX1172" s="34"/>
      <c r="AY1172" s="34"/>
      <c r="AZ1172" s="44"/>
      <c r="BA1172" s="34"/>
      <c r="BB1172" s="34"/>
    </row>
    <row r="1173" spans="1:54" x14ac:dyDescent="0.35" ht="15.0" customHeight="true">
      <c r="A1173" s="51"/>
      <c r="F1173" s="33"/>
      <c r="H1173" s="33"/>
      <c r="I1173" s="51"/>
      <c r="J1173" s="33"/>
      <c r="K1173" s="51"/>
      <c r="L1173" s="33"/>
      <c r="T1173" s="56"/>
      <c r="U1173" s="44"/>
      <c r="X1173" s="51"/>
      <c r="Y1173" s="51"/>
      <c r="AM1173" s="33"/>
      <c r="AN1173" s="51"/>
      <c r="AQ1173" s="51"/>
      <c r="AR1173" s="54"/>
      <c r="AS1173" s="54"/>
      <c r="AT1173" s="54"/>
      <c r="AU1173" s="34"/>
      <c r="AV1173" s="34"/>
      <c r="AW1173" s="34"/>
      <c r="AX1173" s="34"/>
      <c r="AY1173" s="34"/>
      <c r="AZ1173" s="44"/>
      <c r="BA1173" s="34"/>
      <c r="BB1173" s="34"/>
    </row>
    <row r="1174" spans="1:54" x14ac:dyDescent="0.35" ht="15.0" customHeight="true">
      <c r="A1174" s="51"/>
      <c r="F1174" s="33"/>
      <c r="H1174" s="33"/>
      <c r="I1174" s="51"/>
      <c r="J1174" s="33"/>
      <c r="K1174" s="51"/>
      <c r="L1174" s="33"/>
      <c r="T1174" s="56"/>
      <c r="U1174" s="44"/>
      <c r="X1174" s="51"/>
      <c r="Y1174" s="51"/>
      <c r="AM1174" s="33"/>
      <c r="AN1174" s="51"/>
      <c r="AQ1174" s="51"/>
      <c r="AR1174" s="54"/>
      <c r="AS1174" s="54"/>
      <c r="AT1174" s="54"/>
      <c r="AU1174" s="34"/>
      <c r="AV1174" s="34"/>
      <c r="AW1174" s="34"/>
      <c r="AX1174" s="34"/>
      <c r="AY1174" s="34"/>
      <c r="AZ1174" s="44"/>
      <c r="BA1174" s="34"/>
      <c r="BB1174" s="34"/>
    </row>
    <row r="1175" spans="1:54" x14ac:dyDescent="0.35" ht="15.0" customHeight="true">
      <c r="A1175" s="51"/>
      <c r="F1175" s="33"/>
      <c r="H1175" s="33"/>
      <c r="I1175" s="51"/>
      <c r="J1175" s="33"/>
      <c r="K1175" s="51"/>
      <c r="L1175" s="33"/>
      <c r="T1175" s="56"/>
      <c r="U1175" s="44"/>
      <c r="X1175" s="51"/>
      <c r="Y1175" s="51"/>
      <c r="AM1175" s="33"/>
      <c r="AN1175" s="51"/>
      <c r="AQ1175" s="51"/>
      <c r="AR1175" s="54"/>
      <c r="AS1175" s="54"/>
      <c r="AT1175" s="54"/>
      <c r="AU1175" s="34"/>
      <c r="AV1175" s="34"/>
      <c r="AW1175" s="34"/>
      <c r="AX1175" s="34"/>
      <c r="AY1175" s="34"/>
      <c r="AZ1175" s="44"/>
      <c r="BA1175" s="34"/>
      <c r="BB1175" s="34"/>
    </row>
    <row r="1176" spans="1:54" x14ac:dyDescent="0.35" ht="15.0" customHeight="true">
      <c r="A1176" s="51"/>
      <c r="F1176" s="33"/>
      <c r="H1176" s="33"/>
      <c r="I1176" s="51"/>
      <c r="J1176" s="33"/>
      <c r="K1176" s="51"/>
      <c r="L1176" s="33"/>
      <c r="T1176" s="56"/>
      <c r="U1176" s="44"/>
      <c r="X1176" s="51"/>
      <c r="Y1176" s="51"/>
      <c r="AM1176" s="33"/>
      <c r="AN1176" s="51"/>
      <c r="AQ1176" s="51"/>
      <c r="AR1176" s="54"/>
      <c r="AS1176" s="54"/>
      <c r="AT1176" s="54"/>
      <c r="AU1176" s="34"/>
      <c r="AV1176" s="34"/>
      <c r="AW1176" s="34"/>
      <c r="AX1176" s="34"/>
      <c r="AY1176" s="34"/>
      <c r="AZ1176" s="44"/>
      <c r="BA1176" s="34"/>
      <c r="BB1176" s="34"/>
    </row>
    <row r="1177" spans="1:54" x14ac:dyDescent="0.35" ht="15.0" customHeight="true">
      <c r="A1177" s="51"/>
      <c r="F1177" s="33"/>
      <c r="H1177" s="33"/>
      <c r="I1177" s="51"/>
      <c r="J1177" s="33"/>
      <c r="K1177" s="51"/>
      <c r="L1177" s="33"/>
      <c r="T1177" s="56"/>
      <c r="U1177" s="44"/>
      <c r="X1177" s="51"/>
      <c r="Y1177" s="51"/>
      <c r="AM1177" s="33"/>
      <c r="AN1177" s="51"/>
      <c r="AQ1177" s="51"/>
      <c r="AR1177" s="54"/>
      <c r="AS1177" s="54"/>
      <c r="AT1177" s="54"/>
      <c r="AU1177" s="34"/>
      <c r="AV1177" s="34"/>
      <c r="AW1177" s="34"/>
      <c r="AX1177" s="34"/>
      <c r="AY1177" s="34"/>
      <c r="AZ1177" s="44"/>
      <c r="BA1177" s="34"/>
      <c r="BB1177" s="34"/>
    </row>
    <row r="1178" spans="1:54" x14ac:dyDescent="0.35" ht="15.0" customHeight="true">
      <c r="A1178" s="51"/>
      <c r="F1178" s="33"/>
      <c r="H1178" s="33"/>
      <c r="I1178" s="51"/>
      <c r="J1178" s="33"/>
      <c r="K1178" s="51"/>
      <c r="L1178" s="33"/>
      <c r="T1178" s="56"/>
      <c r="U1178" s="44"/>
      <c r="X1178" s="51"/>
      <c r="Y1178" s="51"/>
      <c r="AM1178" s="33"/>
      <c r="AN1178" s="51"/>
      <c r="AQ1178" s="51"/>
      <c r="AR1178" s="54"/>
      <c r="AS1178" s="54"/>
      <c r="AT1178" s="54"/>
      <c r="AU1178" s="34"/>
      <c r="AV1178" s="34"/>
      <c r="AW1178" s="34"/>
      <c r="AX1178" s="34"/>
      <c r="AY1178" s="34"/>
      <c r="AZ1178" s="44"/>
      <c r="BA1178" s="34"/>
      <c r="BB1178" s="34"/>
    </row>
    <row r="1179" spans="1:54" x14ac:dyDescent="0.35" ht="15.0" customHeight="true">
      <c r="A1179" s="51"/>
      <c r="F1179" s="33"/>
      <c r="H1179" s="33"/>
      <c r="I1179" s="51"/>
      <c r="J1179" s="33"/>
      <c r="K1179" s="51"/>
      <c r="L1179" s="33"/>
      <c r="T1179" s="56"/>
      <c r="U1179" s="44"/>
      <c r="X1179" s="51"/>
      <c r="Y1179" s="51"/>
      <c r="AM1179" s="33"/>
      <c r="AN1179" s="51"/>
      <c r="AQ1179" s="51"/>
      <c r="AR1179" s="54"/>
      <c r="AS1179" s="54"/>
      <c r="AT1179" s="54"/>
      <c r="AU1179" s="34"/>
      <c r="AV1179" s="34"/>
      <c r="AW1179" s="34"/>
      <c r="AX1179" s="34"/>
      <c r="AY1179" s="34"/>
      <c r="AZ1179" s="44"/>
      <c r="BA1179" s="34"/>
      <c r="BB1179" s="34"/>
    </row>
    <row r="1180" spans="1:54" x14ac:dyDescent="0.35" ht="15.0" customHeight="true">
      <c r="A1180" s="51"/>
      <c r="F1180" s="33"/>
      <c r="H1180" s="33"/>
      <c r="I1180" s="51"/>
      <c r="J1180" s="33"/>
      <c r="K1180" s="51"/>
      <c r="L1180" s="33"/>
      <c r="T1180" s="56"/>
      <c r="U1180" s="44"/>
      <c r="X1180" s="51"/>
      <c r="Y1180" s="51"/>
      <c r="AM1180" s="33"/>
      <c r="AN1180" s="51"/>
      <c r="AQ1180" s="51"/>
      <c r="AR1180" s="54"/>
      <c r="AS1180" s="54"/>
      <c r="AT1180" s="54"/>
      <c r="AU1180" s="34"/>
      <c r="AV1180" s="34"/>
      <c r="AW1180" s="34"/>
      <c r="AX1180" s="34"/>
      <c r="AY1180" s="34"/>
      <c r="AZ1180" s="44"/>
      <c r="BA1180" s="34"/>
      <c r="BB1180" s="34"/>
    </row>
    <row r="1181" spans="1:54" x14ac:dyDescent="0.35" ht="15.0" customHeight="true">
      <c r="A1181" s="51"/>
      <c r="F1181" s="33"/>
      <c r="H1181" s="33"/>
      <c r="I1181" s="51"/>
      <c r="J1181" s="33"/>
      <c r="K1181" s="51"/>
      <c r="L1181" s="33"/>
      <c r="T1181" s="56"/>
      <c r="U1181" s="44"/>
      <c r="X1181" s="51"/>
      <c r="Y1181" s="51"/>
      <c r="AM1181" s="33"/>
      <c r="AN1181" s="51"/>
      <c r="AQ1181" s="51"/>
      <c r="AR1181" s="54"/>
      <c r="AS1181" s="54"/>
      <c r="AT1181" s="54"/>
      <c r="AU1181" s="34"/>
      <c r="AV1181" s="34"/>
      <c r="AW1181" s="34"/>
      <c r="AX1181" s="34"/>
      <c r="AY1181" s="34"/>
      <c r="AZ1181" s="44"/>
      <c r="BA1181" s="34"/>
      <c r="BB1181" s="34"/>
    </row>
    <row r="1182" spans="1:54" x14ac:dyDescent="0.35" ht="15.0" customHeight="true">
      <c r="A1182" s="51"/>
      <c r="F1182" s="33"/>
      <c r="H1182" s="33"/>
      <c r="I1182" s="51"/>
      <c r="J1182" s="33"/>
      <c r="K1182" s="51"/>
      <c r="L1182" s="33"/>
      <c r="T1182" s="56"/>
      <c r="U1182" s="44"/>
      <c r="X1182" s="51"/>
      <c r="Y1182" s="51"/>
      <c r="AM1182" s="33"/>
      <c r="AN1182" s="51"/>
      <c r="AQ1182" s="51"/>
      <c r="AR1182" s="54"/>
      <c r="AS1182" s="54"/>
      <c r="AT1182" s="54"/>
      <c r="AU1182" s="34"/>
      <c r="AV1182" s="34"/>
      <c r="AW1182" s="34"/>
      <c r="AX1182" s="34"/>
      <c r="AY1182" s="34"/>
      <c r="AZ1182" s="44"/>
      <c r="BA1182" s="34"/>
      <c r="BB1182" s="34"/>
    </row>
    <row r="1183" spans="1:54" x14ac:dyDescent="0.35" ht="15.0" customHeight="true">
      <c r="A1183" s="51"/>
      <c r="F1183" s="33"/>
      <c r="H1183" s="33"/>
      <c r="I1183" s="51"/>
      <c r="J1183" s="33"/>
      <c r="K1183" s="51"/>
      <c r="L1183" s="33"/>
      <c r="T1183" s="56"/>
      <c r="U1183" s="44"/>
      <c r="X1183" s="51"/>
      <c r="Y1183" s="51"/>
      <c r="AM1183" s="33"/>
      <c r="AN1183" s="51"/>
      <c r="AQ1183" s="51"/>
      <c r="AR1183" s="54"/>
      <c r="AS1183" s="54"/>
      <c r="AT1183" s="54"/>
      <c r="AU1183" s="34"/>
      <c r="AV1183" s="34"/>
      <c r="AW1183" s="34"/>
      <c r="AX1183" s="34"/>
      <c r="AY1183" s="34"/>
      <c r="AZ1183" s="44"/>
      <c r="BA1183" s="34"/>
      <c r="BB1183" s="34"/>
    </row>
    <row r="1184" spans="1:54" x14ac:dyDescent="0.35" ht="15.0" customHeight="true">
      <c r="A1184" s="51"/>
      <c r="F1184" s="33"/>
      <c r="H1184" s="33"/>
      <c r="I1184" s="51"/>
      <c r="J1184" s="33"/>
      <c r="K1184" s="51"/>
      <c r="L1184" s="33"/>
      <c r="T1184" s="56"/>
      <c r="U1184" s="44"/>
      <c r="X1184" s="51"/>
      <c r="Y1184" s="51"/>
      <c r="AM1184" s="33"/>
      <c r="AN1184" s="51"/>
      <c r="AQ1184" s="51"/>
      <c r="AR1184" s="54"/>
      <c r="AS1184" s="54"/>
      <c r="AT1184" s="54"/>
      <c r="AU1184" s="34"/>
      <c r="AV1184" s="34"/>
      <c r="AW1184" s="34"/>
      <c r="AX1184" s="34"/>
      <c r="AY1184" s="34"/>
      <c r="AZ1184" s="44"/>
      <c r="BA1184" s="34"/>
      <c r="BB1184" s="34"/>
    </row>
    <row r="1185" spans="1:54" x14ac:dyDescent="0.35" ht="15.0" customHeight="true">
      <c r="A1185" s="51"/>
      <c r="F1185" s="33"/>
      <c r="H1185" s="33"/>
      <c r="I1185" s="51"/>
      <c r="J1185" s="33"/>
      <c r="K1185" s="51"/>
      <c r="L1185" s="33"/>
      <c r="T1185" s="56"/>
      <c r="U1185" s="44"/>
      <c r="X1185" s="51"/>
      <c r="Y1185" s="51"/>
      <c r="AM1185" s="33"/>
      <c r="AN1185" s="51"/>
      <c r="AQ1185" s="51"/>
      <c r="AR1185" s="54"/>
      <c r="AS1185" s="54"/>
      <c r="AT1185" s="54"/>
      <c r="AU1185" s="34"/>
      <c r="AV1185" s="34"/>
      <c r="AW1185" s="34"/>
      <c r="AX1185" s="34"/>
      <c r="AY1185" s="34"/>
      <c r="AZ1185" s="44"/>
      <c r="BA1185" s="34"/>
      <c r="BB1185" s="34"/>
    </row>
    <row r="1186" spans="1:54" x14ac:dyDescent="0.35" ht="15.0" customHeight="true">
      <c r="A1186" s="51"/>
      <c r="F1186" s="33"/>
      <c r="H1186" s="33"/>
      <c r="I1186" s="51"/>
      <c r="J1186" s="33"/>
      <c r="K1186" s="51"/>
      <c r="L1186" s="33"/>
      <c r="T1186" s="56"/>
      <c r="U1186" s="44"/>
      <c r="X1186" s="51"/>
      <c r="Y1186" s="51"/>
      <c r="AM1186" s="33"/>
      <c r="AN1186" s="51"/>
      <c r="AQ1186" s="51"/>
      <c r="AR1186" s="54"/>
      <c r="AS1186" s="54"/>
      <c r="AT1186" s="54"/>
      <c r="AU1186" s="34"/>
      <c r="AV1186" s="34"/>
      <c r="AW1186" s="34"/>
      <c r="AX1186" s="34"/>
      <c r="AY1186" s="34"/>
      <c r="AZ1186" s="44"/>
      <c r="BA1186" s="34"/>
      <c r="BB1186" s="34"/>
    </row>
    <row r="1187" spans="1:54" x14ac:dyDescent="0.35" ht="15.0" customHeight="true">
      <c r="A1187" s="51"/>
      <c r="F1187" s="33"/>
      <c r="H1187" s="33"/>
      <c r="I1187" s="51"/>
      <c r="J1187" s="33"/>
      <c r="K1187" s="51"/>
      <c r="L1187" s="33"/>
      <c r="T1187" s="56"/>
      <c r="U1187" s="44"/>
      <c r="X1187" s="51"/>
      <c r="Y1187" s="51"/>
      <c r="AM1187" s="33"/>
      <c r="AN1187" s="51"/>
      <c r="AQ1187" s="51"/>
      <c r="AR1187" s="54"/>
      <c r="AS1187" s="54"/>
      <c r="AT1187" s="54"/>
      <c r="AU1187" s="34"/>
      <c r="AV1187" s="34"/>
      <c r="AW1187" s="34"/>
      <c r="AX1187" s="34"/>
      <c r="AY1187" s="34"/>
      <c r="AZ1187" s="44"/>
      <c r="BA1187" s="34"/>
      <c r="BB1187" s="34"/>
    </row>
    <row r="1188" spans="1:54" x14ac:dyDescent="0.35" ht="15.0" customHeight="true">
      <c r="A1188" s="51"/>
      <c r="F1188" s="33"/>
      <c r="H1188" s="33"/>
      <c r="I1188" s="51"/>
      <c r="J1188" s="33"/>
      <c r="K1188" s="51"/>
      <c r="L1188" s="33"/>
      <c r="T1188" s="56"/>
      <c r="U1188" s="44"/>
      <c r="X1188" s="51"/>
      <c r="Y1188" s="51"/>
      <c r="AM1188" s="33"/>
      <c r="AN1188" s="51"/>
      <c r="AQ1188" s="51"/>
      <c r="AR1188" s="54"/>
      <c r="AS1188" s="54"/>
      <c r="AT1188" s="54"/>
      <c r="AU1188" s="34"/>
      <c r="AV1188" s="34"/>
      <c r="AW1188" s="34"/>
      <c r="AX1188" s="34"/>
      <c r="AY1188" s="34"/>
      <c r="AZ1188" s="44"/>
      <c r="BA1188" s="34"/>
      <c r="BB1188" s="34"/>
    </row>
    <row r="1189" spans="1:54" x14ac:dyDescent="0.35" ht="15.0" customHeight="true">
      <c r="A1189" s="51"/>
      <c r="F1189" s="33"/>
      <c r="H1189" s="33"/>
      <c r="I1189" s="51"/>
      <c r="J1189" s="33"/>
      <c r="K1189" s="51"/>
      <c r="L1189" s="33"/>
      <c r="T1189" s="56"/>
      <c r="U1189" s="44"/>
      <c r="X1189" s="51"/>
      <c r="Y1189" s="51"/>
      <c r="AM1189" s="33"/>
      <c r="AN1189" s="51"/>
      <c r="AQ1189" s="51"/>
      <c r="AR1189" s="54"/>
      <c r="AS1189" s="54"/>
      <c r="AT1189" s="54"/>
      <c r="AU1189" s="34"/>
      <c r="AV1189" s="34"/>
      <c r="AW1189" s="34"/>
      <c r="AX1189" s="34"/>
      <c r="AY1189" s="34"/>
      <c r="AZ1189" s="44"/>
      <c r="BA1189" s="34"/>
      <c r="BB1189" s="34"/>
    </row>
    <row r="1190" spans="1:54" x14ac:dyDescent="0.35" ht="15.0" customHeight="true">
      <c r="A1190" s="51"/>
      <c r="F1190" s="33"/>
      <c r="H1190" s="33"/>
      <c r="I1190" s="51"/>
      <c r="J1190" s="33"/>
      <c r="K1190" s="51"/>
      <c r="L1190" s="33"/>
      <c r="T1190" s="56"/>
      <c r="U1190" s="44"/>
      <c r="X1190" s="51"/>
      <c r="Y1190" s="51"/>
      <c r="AM1190" s="33"/>
      <c r="AN1190" s="51"/>
      <c r="AQ1190" s="51"/>
      <c r="AR1190" s="54"/>
      <c r="AS1190" s="54"/>
      <c r="AT1190" s="54"/>
      <c r="AU1190" s="34"/>
      <c r="AV1190" s="34"/>
      <c r="AW1190" s="34"/>
      <c r="AX1190" s="34"/>
      <c r="AY1190" s="34"/>
      <c r="AZ1190" s="44"/>
      <c r="BA1190" s="34"/>
      <c r="BB1190" s="34"/>
    </row>
    <row r="1191" spans="1:54" x14ac:dyDescent="0.35" ht="15.0" customHeight="true">
      <c r="A1191" s="51"/>
      <c r="F1191" s="33"/>
      <c r="H1191" s="33"/>
      <c r="I1191" s="51"/>
      <c r="J1191" s="33"/>
      <c r="K1191" s="51"/>
      <c r="L1191" s="33"/>
      <c r="T1191" s="56"/>
      <c r="U1191" s="44"/>
      <c r="X1191" s="51"/>
      <c r="Y1191" s="51"/>
      <c r="AM1191" s="33"/>
      <c r="AN1191" s="51"/>
      <c r="AQ1191" s="51"/>
      <c r="AR1191" s="54"/>
      <c r="AS1191" s="54"/>
      <c r="AT1191" s="54"/>
      <c r="AU1191" s="34"/>
      <c r="AV1191" s="34"/>
      <c r="AW1191" s="34"/>
      <c r="AX1191" s="34"/>
      <c r="AY1191" s="34"/>
      <c r="AZ1191" s="44"/>
      <c r="BA1191" s="34"/>
      <c r="BB1191" s="34"/>
    </row>
    <row r="1192" spans="1:54" x14ac:dyDescent="0.35" ht="15.0" customHeight="true">
      <c r="A1192" s="51"/>
      <c r="F1192" s="33"/>
      <c r="H1192" s="33"/>
      <c r="I1192" s="51"/>
      <c r="J1192" s="33"/>
      <c r="K1192" s="51"/>
      <c r="L1192" s="33"/>
      <c r="T1192" s="56"/>
      <c r="U1192" s="44"/>
      <c r="X1192" s="51"/>
      <c r="Y1192" s="51"/>
      <c r="AM1192" s="33"/>
      <c r="AN1192" s="51"/>
      <c r="AQ1192" s="51"/>
      <c r="AR1192" s="54"/>
      <c r="AS1192" s="54"/>
      <c r="AT1192" s="54"/>
      <c r="AU1192" s="34"/>
      <c r="AV1192" s="34"/>
      <c r="AW1192" s="34"/>
      <c r="AX1192" s="34"/>
      <c r="AY1192" s="34"/>
      <c r="AZ1192" s="44"/>
      <c r="BA1192" s="34"/>
      <c r="BB1192" s="34"/>
    </row>
    <row r="1193" spans="1:54" x14ac:dyDescent="0.35" ht="15.0" customHeight="true">
      <c r="A1193" s="51"/>
      <c r="F1193" s="33"/>
      <c r="H1193" s="33"/>
      <c r="I1193" s="51"/>
      <c r="J1193" s="33"/>
      <c r="K1193" s="51"/>
      <c r="L1193" s="33"/>
      <c r="T1193" s="56"/>
      <c r="U1193" s="44"/>
      <c r="X1193" s="51"/>
      <c r="Y1193" s="51"/>
      <c r="AM1193" s="33"/>
      <c r="AN1193" s="51"/>
      <c r="AQ1193" s="51"/>
      <c r="AR1193" s="54"/>
      <c r="AS1193" s="54"/>
      <c r="AT1193" s="54"/>
      <c r="AU1193" s="34"/>
      <c r="AV1193" s="34"/>
      <c r="AW1193" s="34"/>
      <c r="AX1193" s="34"/>
      <c r="AY1193" s="34"/>
      <c r="AZ1193" s="44"/>
      <c r="BA1193" s="34"/>
      <c r="BB1193" s="34"/>
    </row>
    <row r="1194" spans="1:54" x14ac:dyDescent="0.35" ht="15.0" customHeight="true">
      <c r="X1194" s="51"/>
      <c r="Y1194" s="51"/>
      <c r="AQ1194" s="54"/>
      <c r="AR1194" s="54"/>
      <c r="AS1194" s="54"/>
      <c r="AT1194" s="51"/>
    </row>
    <row r="1195" spans="1:54" x14ac:dyDescent="0.35" ht="15.0" customHeight="true">
      <c r="X1195" s="51"/>
      <c r="Y1195" s="51"/>
      <c r="AQ1195" s="54"/>
      <c r="AR1195" s="54"/>
      <c r="AS1195" s="54"/>
      <c r="AT1195" s="51"/>
    </row>
    <row r="1196" spans="1:54" x14ac:dyDescent="0.35" ht="15.0" customHeight="true">
      <c r="X1196" s="51"/>
      <c r="Y1196" s="51"/>
      <c r="AQ1196" s="54"/>
      <c r="AR1196" s="54"/>
      <c r="AS1196" s="54"/>
      <c r="AT1196" s="51"/>
    </row>
    <row r="1197" spans="1:54" x14ac:dyDescent="0.35" ht="15.0" customHeight="true">
      <c r="X1197" s="51"/>
      <c r="Y1197" s="51"/>
      <c r="AQ1197" s="54"/>
      <c r="AR1197" s="54"/>
      <c r="AS1197" s="54"/>
      <c r="AT1197" s="51"/>
    </row>
    <row r="1198" spans="24:46" x14ac:dyDescent="0.35" ht="15.0" customHeight="true">
      <c r="X1198" s="51"/>
      <c r="Y1198" s="51"/>
      <c r="AQ1198" s="51"/>
      <c r="AR1198" s="51"/>
      <c r="AS1198" s="51"/>
      <c r="AT1198" s="51"/>
    </row>
    <row r="1199" spans="24:46" x14ac:dyDescent="0.35" ht="15.0" customHeight="true">
      <c r="X1199" s="51"/>
      <c r="Y1199" s="51"/>
      <c r="AQ1199" s="51"/>
      <c r="AR1199" s="51"/>
      <c r="AS1199" s="51"/>
      <c r="AT1199" s="51"/>
    </row>
    <row r="1200" spans="24:46" x14ac:dyDescent="0.35" ht="15.0" customHeight="true">
      <c r="X1200" s="51"/>
      <c r="Y1200" s="51"/>
      <c r="AQ1200" s="51"/>
      <c r="AR1200" s="51"/>
      <c r="AS1200" s="51"/>
      <c r="AT1200" s="51"/>
    </row>
    <row r="1201" spans="24:46" x14ac:dyDescent="0.35" ht="15.0" customHeight="true">
      <c r="X1201" s="51"/>
      <c r="Y1201" s="51"/>
      <c r="AQ1201" s="51"/>
      <c r="AR1201" s="51"/>
      <c r="AS1201" s="51"/>
      <c r="AT1201" s="51"/>
    </row>
    <row r="1202" spans="24:46" x14ac:dyDescent="0.35" ht="15.0" customHeight="true">
      <c r="X1202" s="51"/>
      <c r="Y1202" s="51"/>
      <c r="AQ1202" s="51"/>
      <c r="AR1202" s="51"/>
      <c r="AS1202" s="51"/>
      <c r="AT1202" s="51"/>
    </row>
    <row r="1203" spans="24:46" x14ac:dyDescent="0.35" ht="15.0" customHeight="true">
      <c r="X1203" s="51"/>
      <c r="Y1203" s="51"/>
      <c r="AQ1203" s="51"/>
      <c r="AR1203" s="51"/>
      <c r="AS1203" s="51"/>
      <c r="AT1203" s="51"/>
    </row>
    <row r="1204" spans="24:46" x14ac:dyDescent="0.35" ht="15.0" customHeight="true">
      <c r="X1204" s="51"/>
      <c r="Y1204" s="51"/>
      <c r="AQ1204" s="51"/>
      <c r="AR1204" s="51"/>
      <c r="AS1204" s="51"/>
      <c r="AT1204" s="51"/>
    </row>
    <row r="1205" spans="24:46" x14ac:dyDescent="0.35" ht="15.0" customHeight="true">
      <c r="X1205" s="51"/>
      <c r="Y1205" s="51"/>
      <c r="AQ1205" s="51"/>
      <c r="AR1205" s="51"/>
      <c r="AS1205" s="51"/>
      <c r="AT1205" s="51"/>
    </row>
    <row r="1206" spans="24:46" x14ac:dyDescent="0.35" ht="15.0" customHeight="true">
      <c r="X1206" s="51"/>
      <c r="Y1206" s="51"/>
      <c r="AQ1206" s="51"/>
      <c r="AR1206" s="51"/>
      <c r="AS1206" s="51"/>
      <c r="AT1206" s="51"/>
    </row>
    <row r="1207" spans="24:46" x14ac:dyDescent="0.35" ht="15.0" customHeight="true">
      <c r="X1207" s="51"/>
      <c r="Y1207" s="51"/>
      <c r="AQ1207" s="51"/>
      <c r="AR1207" s="51"/>
      <c r="AS1207" s="51"/>
      <c r="AT1207" s="51"/>
    </row>
    <row r="1208" spans="24:46" x14ac:dyDescent="0.35" ht="15.0" customHeight="true">
      <c r="X1208" s="51"/>
      <c r="Y1208" s="51"/>
      <c r="AQ1208" s="51"/>
      <c r="AR1208" s="51"/>
      <c r="AS1208" s="51"/>
      <c r="AT1208" s="51"/>
    </row>
    <row r="1209" spans="24:46" x14ac:dyDescent="0.35" ht="15.0" customHeight="true">
      <c r="X1209" s="51"/>
      <c r="Y1209" s="51"/>
      <c r="AQ1209" s="51"/>
      <c r="AR1209" s="51"/>
      <c r="AS1209" s="51"/>
      <c r="AT1209" s="51"/>
    </row>
    <row r="1210" spans="24:46" x14ac:dyDescent="0.35" ht="15.0" customHeight="true">
      <c r="X1210" s="51"/>
      <c r="Y1210" s="51"/>
      <c r="AQ1210" s="51"/>
      <c r="AR1210" s="51"/>
      <c r="AS1210" s="51"/>
      <c r="AT1210" s="51"/>
    </row>
    <row r="1211" spans="24:46" x14ac:dyDescent="0.35" ht="15.0" customHeight="true">
      <c r="X1211" s="51"/>
      <c r="Y1211" s="51"/>
      <c r="AQ1211" s="51"/>
      <c r="AR1211" s="51"/>
      <c r="AS1211" s="51"/>
      <c r="AT1211" s="51"/>
    </row>
    <row r="1212" spans="24:46" x14ac:dyDescent="0.35" ht="15.0" customHeight="true">
      <c r="X1212" s="51"/>
      <c r="Y1212" s="51"/>
      <c r="AQ1212" s="51"/>
      <c r="AR1212" s="51"/>
      <c r="AS1212" s="51"/>
      <c r="AT1212" s="51"/>
    </row>
    <row r="1213" spans="24:46" x14ac:dyDescent="0.35" ht="15.0" customHeight="true">
      <c r="X1213" s="51"/>
      <c r="Y1213" s="51"/>
      <c r="AQ1213" s="51"/>
      <c r="AR1213" s="51"/>
      <c r="AS1213" s="51"/>
      <c r="AT1213" s="51"/>
    </row>
    <row r="1214" spans="24:46" x14ac:dyDescent="0.35" ht="15.0" customHeight="true">
      <c r="X1214" s="51"/>
      <c r="Y1214" s="51"/>
      <c r="AQ1214" s="51"/>
      <c r="AR1214" s="51"/>
      <c r="AS1214" s="51"/>
      <c r="AT1214" s="51"/>
    </row>
    <row r="1215" spans="24:46" x14ac:dyDescent="0.35" ht="15.0" customHeight="true">
      <c r="X1215" s="51"/>
      <c r="Y1215" s="51"/>
      <c r="AQ1215" s="51"/>
      <c r="AR1215" s="51"/>
      <c r="AS1215" s="51"/>
      <c r="AT1215" s="51"/>
    </row>
    <row r="1216" spans="24:46" x14ac:dyDescent="0.35" ht="15.0" customHeight="true">
      <c r="X1216" s="51"/>
      <c r="Y1216" s="51"/>
      <c r="AQ1216" s="51"/>
      <c r="AR1216" s="51"/>
      <c r="AS1216" s="51"/>
      <c r="AT1216" s="51"/>
    </row>
    <row r="1217" spans="24:46" x14ac:dyDescent="0.35" ht="15.0" customHeight="true">
      <c r="X1217" s="51"/>
      <c r="Y1217" s="51"/>
      <c r="AQ1217" s="51"/>
      <c r="AR1217" s="51"/>
      <c r="AS1217" s="51"/>
      <c r="AT1217" s="51"/>
    </row>
    <row r="1218" spans="24:46" x14ac:dyDescent="0.35" ht="15.0" customHeight="true">
      <c r="X1218" s="51"/>
      <c r="Y1218" s="51"/>
      <c r="AQ1218" s="51"/>
      <c r="AR1218" s="51"/>
      <c r="AS1218" s="51"/>
      <c r="AT1218" s="51"/>
    </row>
    <row r="1219" spans="24:46" x14ac:dyDescent="0.35" ht="15.0" customHeight="true">
      <c r="X1219" s="51"/>
      <c r="Y1219" s="51"/>
      <c r="AQ1219" s="51"/>
      <c r="AR1219" s="51"/>
      <c r="AS1219" s="51"/>
      <c r="AT1219" s="51"/>
    </row>
    <row r="1220" spans="24:46" x14ac:dyDescent="0.35" ht="14.5" customHeight="true">
      <c r="X1220" s="51"/>
      <c r="Y1220" s="51"/>
      <c r="AQ1220" s="51"/>
      <c r="AR1220" s="51"/>
      <c r="AS1220" s="51"/>
      <c r="AT1220" s="51"/>
    </row>
    <row r="1221" spans="24:46" x14ac:dyDescent="0.35" ht="14.5" customHeight="true">
      <c r="X1221" s="51"/>
      <c r="Y1221" s="51"/>
      <c r="AQ1221" s="51"/>
      <c r="AR1221" s="51"/>
      <c r="AS1221" s="51"/>
      <c r="AT1221" s="51"/>
    </row>
    <row r="1222" spans="24:46" x14ac:dyDescent="0.35" ht="14.5" customHeight="true">
      <c r="X1222" s="51"/>
      <c r="Y1222" s="51"/>
      <c r="AQ1222" s="51"/>
      <c r="AR1222" s="51"/>
      <c r="AS1222" s="51"/>
      <c r="AT1222" s="51"/>
    </row>
    <row r="1223" spans="24:46" x14ac:dyDescent="0.35" ht="14.5" customHeight="true">
      <c r="X1223" s="51"/>
      <c r="Y1223" s="51"/>
      <c r="AQ1223" s="51"/>
      <c r="AR1223" s="51"/>
      <c r="AS1223" s="51"/>
      <c r="AT1223" s="51"/>
    </row>
    <row r="1224" spans="24:46" x14ac:dyDescent="0.35" ht="14.5" customHeight="true">
      <c r="X1224" s="51"/>
      <c r="Y1224" s="51"/>
      <c r="AQ1224" s="51"/>
      <c r="AR1224" s="51"/>
      <c r="AS1224" s="51"/>
      <c r="AT1224" s="51"/>
    </row>
    <row r="1225" spans="24:46" x14ac:dyDescent="0.35" ht="14.5" customHeight="true">
      <c r="X1225" s="51"/>
      <c r="Y1225" s="51"/>
      <c r="AQ1225" s="51"/>
      <c r="AR1225" s="51"/>
      <c r="AS1225" s="51"/>
      <c r="AT1225" s="51"/>
    </row>
    <row r="1226" spans="24:46" x14ac:dyDescent="0.35" ht="14.5" customHeight="true">
      <c r="X1226" s="51"/>
      <c r="Y1226" s="51"/>
      <c r="AQ1226" s="51"/>
      <c r="AR1226" s="51"/>
      <c r="AS1226" s="51"/>
      <c r="AT1226" s="51"/>
    </row>
    <row r="1227" spans="24:46" x14ac:dyDescent="0.35" ht="14.5" customHeight="true">
      <c r="X1227" s="51"/>
      <c r="Y1227" s="51"/>
      <c r="AQ1227" s="51"/>
      <c r="AR1227" s="51"/>
      <c r="AS1227" s="51"/>
      <c r="AT1227" s="51"/>
    </row>
    <row r="1228" spans="24:46" x14ac:dyDescent="0.35" ht="14.5" customHeight="true">
      <c r="X1228" s="51"/>
      <c r="Y1228" s="51"/>
      <c r="AQ1228" s="51"/>
      <c r="AR1228" s="51"/>
      <c r="AS1228" s="51"/>
      <c r="AT1228" s="51"/>
    </row>
    <row r="1229" spans="24:46" x14ac:dyDescent="0.35" ht="14.5" customHeight="true">
      <c r="X1229" s="51"/>
      <c r="Y1229" s="51"/>
      <c r="AQ1229" s="51"/>
      <c r="AR1229" s="51"/>
      <c r="AS1229" s="51"/>
      <c r="AT1229" s="51"/>
    </row>
    <row r="1230" spans="24:46" x14ac:dyDescent="0.35" ht="14.5" customHeight="true">
      <c r="X1230" s="51"/>
      <c r="Y1230" s="51"/>
      <c r="AQ1230" s="51"/>
      <c r="AR1230" s="51"/>
      <c r="AS1230" s="51"/>
      <c r="AT1230" s="51"/>
    </row>
    <row r="1231" spans="24:46" x14ac:dyDescent="0.35" ht="14.5" customHeight="true">
      <c r="X1231" s="51"/>
      <c r="Y1231" s="51"/>
      <c r="AQ1231" s="51"/>
      <c r="AR1231" s="51"/>
      <c r="AS1231" s="51"/>
      <c r="AT1231" s="51"/>
    </row>
    <row r="1232" spans="24:46" x14ac:dyDescent="0.35" ht="14.5" customHeight="true">
      <c r="X1232" s="51"/>
      <c r="Y1232" s="51"/>
      <c r="AQ1232" s="51"/>
      <c r="AR1232" s="51"/>
      <c r="AS1232" s="51"/>
      <c r="AT1232" s="51"/>
    </row>
    <row r="1233" spans="24:46" x14ac:dyDescent="0.35" ht="14.5" customHeight="true">
      <c r="X1233" s="51"/>
      <c r="Y1233" s="51"/>
      <c r="AQ1233" s="51"/>
      <c r="AR1233" s="51"/>
      <c r="AS1233" s="51"/>
      <c r="AT1233" s="51"/>
    </row>
    <row r="1234" spans="24:46" x14ac:dyDescent="0.35" ht="14.5" customHeight="true">
      <c r="X1234" s="51"/>
      <c r="Y1234" s="51"/>
      <c r="AQ1234" s="51"/>
      <c r="AR1234" s="51"/>
      <c r="AS1234" s="51"/>
      <c r="AT1234" s="51"/>
    </row>
    <row r="1235" spans="24:46" x14ac:dyDescent="0.35" ht="14.5" customHeight="true">
      <c r="X1235" s="51"/>
      <c r="Y1235" s="51"/>
      <c r="AQ1235" s="51"/>
      <c r="AR1235" s="51"/>
      <c r="AS1235" s="51"/>
      <c r="AT1235" s="51"/>
    </row>
    <row r="1236" spans="24:46" x14ac:dyDescent="0.35" ht="14.5" customHeight="true">
      <c r="X1236" s="51"/>
      <c r="Y1236" s="51"/>
      <c r="AQ1236" s="51"/>
      <c r="AR1236" s="51"/>
      <c r="AS1236" s="51"/>
      <c r="AT1236" s="51"/>
    </row>
    <row r="1237" spans="24:46" x14ac:dyDescent="0.35" ht="14.5" customHeight="true">
      <c r="X1237" s="51"/>
      <c r="Y1237" s="51"/>
      <c r="AQ1237" s="51"/>
      <c r="AR1237" s="51"/>
      <c r="AS1237" s="51"/>
      <c r="AT1237" s="51"/>
    </row>
    <row r="1238" spans="24:46" x14ac:dyDescent="0.35" ht="14.5" customHeight="true">
      <c r="X1238" s="51"/>
      <c r="Y1238" s="51"/>
      <c r="AQ1238" s="51"/>
      <c r="AR1238" s="51"/>
      <c r="AS1238" s="51"/>
      <c r="AT1238" s="51"/>
    </row>
    <row r="1239" spans="24:46" x14ac:dyDescent="0.35" ht="14.5" customHeight="true">
      <c r="X1239" s="51"/>
      <c r="Y1239" s="51"/>
      <c r="AQ1239" s="51"/>
      <c r="AR1239" s="51"/>
      <c r="AS1239" s="51"/>
      <c r="AT1239" s="51"/>
    </row>
    <row r="1240" spans="24:46" x14ac:dyDescent="0.35" ht="14.5" customHeight="true">
      <c r="X1240" s="51"/>
      <c r="Y1240" s="51"/>
      <c r="AQ1240" s="51"/>
      <c r="AR1240" s="51"/>
      <c r="AS1240" s="51"/>
      <c r="AT1240" s="51"/>
    </row>
    <row r="1241" spans="24:46" x14ac:dyDescent="0.35" ht="14.5" customHeight="true">
      <c r="X1241" s="51"/>
      <c r="Y1241" s="51"/>
      <c r="AQ1241" s="51"/>
      <c r="AR1241" s="51"/>
      <c r="AS1241" s="51"/>
      <c r="AT1241" s="51"/>
    </row>
    <row r="1242" spans="24:46" x14ac:dyDescent="0.35" ht="14.5" customHeight="true">
      <c r="X1242" s="51"/>
      <c r="Y1242" s="51"/>
      <c r="AQ1242" s="51"/>
      <c r="AR1242" s="51"/>
      <c r="AS1242" s="51"/>
      <c r="AT1242" s="51"/>
    </row>
    <row r="1243" spans="24:46" x14ac:dyDescent="0.35" ht="14.5" customHeight="true">
      <c r="X1243" s="51"/>
      <c r="Y1243" s="51"/>
      <c r="AQ1243" s="51"/>
      <c r="AR1243" s="51"/>
      <c r="AS1243" s="51"/>
      <c r="AT1243" s="51"/>
    </row>
    <row r="1244" spans="24:46" x14ac:dyDescent="0.35" ht="14.5" customHeight="true">
      <c r="X1244" s="51"/>
      <c r="Y1244" s="51"/>
      <c r="AQ1244" s="51"/>
      <c r="AR1244" s="51"/>
      <c r="AS1244" s="51"/>
      <c r="AT1244" s="51"/>
    </row>
    <row r="1245" spans="24:46" x14ac:dyDescent="0.35" ht="14.5" customHeight="true">
      <c r="X1245" s="51"/>
      <c r="Y1245" s="51"/>
      <c r="AQ1245" s="51"/>
      <c r="AR1245" s="51"/>
      <c r="AS1245" s="51"/>
      <c r="AT1245" s="51"/>
    </row>
    <row r="1246" spans="24:46" x14ac:dyDescent="0.35" ht="14.5" customHeight="true">
      <c r="X1246" s="51"/>
      <c r="Y1246" s="51"/>
      <c r="AQ1246" s="51"/>
      <c r="AR1246" s="51"/>
      <c r="AS1246" s="51"/>
      <c r="AT1246" s="51"/>
    </row>
    <row r="1247" spans="24:46" x14ac:dyDescent="0.35" ht="14.5" customHeight="true">
      <c r="X1247" s="51"/>
      <c r="Y1247" s="51"/>
      <c r="AQ1247" s="51"/>
      <c r="AR1247" s="51"/>
      <c r="AS1247" s="51"/>
      <c r="AT1247" s="51"/>
    </row>
    <row r="1248" spans="24:46" x14ac:dyDescent="0.35" ht="14.5" customHeight="true">
      <c r="X1248" s="51"/>
      <c r="Y1248" s="51"/>
      <c r="AQ1248" s="51"/>
      <c r="AR1248" s="51"/>
      <c r="AS1248" s="51"/>
      <c r="AT1248" s="51"/>
    </row>
    <row r="1249" spans="24:46" x14ac:dyDescent="0.35" ht="14.5" customHeight="true">
      <c r="X1249" s="51"/>
      <c r="Y1249" s="51"/>
      <c r="AQ1249" s="51"/>
      <c r="AR1249" s="51"/>
      <c r="AS1249" s="51"/>
      <c r="AT1249" s="51"/>
    </row>
    <row r="1250" spans="24:46" x14ac:dyDescent="0.35" ht="14.5" customHeight="true">
      <c r="X1250" s="51"/>
      <c r="Y1250" s="51"/>
      <c r="AQ1250" s="51"/>
      <c r="AR1250" s="51"/>
      <c r="AS1250" s="51"/>
      <c r="AT1250" s="51"/>
    </row>
    <row r="1251" spans="24:46" x14ac:dyDescent="0.35" ht="14.5" customHeight="true">
      <c r="X1251" s="51"/>
      <c r="Y1251" s="51"/>
      <c r="AQ1251" s="51"/>
      <c r="AR1251" s="51"/>
      <c r="AS1251" s="51"/>
      <c r="AT1251" s="51"/>
    </row>
    <row r="1252" spans="24:46" x14ac:dyDescent="0.35" ht="14.5" customHeight="true">
      <c r="X1252" s="51"/>
      <c r="Y1252" s="51"/>
      <c r="AQ1252" s="51"/>
      <c r="AR1252" s="51"/>
      <c r="AS1252" s="51"/>
      <c r="AT1252" s="51"/>
    </row>
    <row r="1253" spans="24:46" x14ac:dyDescent="0.35" ht="14.5" customHeight="true">
      <c r="X1253" s="51"/>
      <c r="Y1253" s="51"/>
      <c r="AQ1253" s="51"/>
      <c r="AR1253" s="51"/>
      <c r="AS1253" s="51"/>
      <c r="AT1253" s="51"/>
    </row>
    <row r="1254" spans="24:46" x14ac:dyDescent="0.35" ht="14.5" customHeight="true">
      <c r="X1254" s="51"/>
      <c r="Y1254" s="51"/>
      <c r="AQ1254" s="51"/>
      <c r="AR1254" s="51"/>
      <c r="AS1254" s="51"/>
      <c r="AT1254" s="51"/>
    </row>
    <row r="1255" spans="24:46" x14ac:dyDescent="0.35" ht="14.5" customHeight="true">
      <c r="X1255" s="51"/>
      <c r="Y1255" s="51"/>
      <c r="AQ1255" s="51"/>
      <c r="AR1255" s="51"/>
      <c r="AS1255" s="51"/>
      <c r="AT1255" s="51"/>
    </row>
    <row r="1256" spans="24:46" x14ac:dyDescent="0.35" ht="14.5" customHeight="true">
      <c r="X1256" s="51"/>
      <c r="Y1256" s="51"/>
      <c r="AQ1256" s="51"/>
      <c r="AR1256" s="51"/>
      <c r="AS1256" s="51"/>
      <c r="AT1256" s="51"/>
    </row>
    <row r="1257" spans="24:46" x14ac:dyDescent="0.35" ht="14.5" customHeight="true">
      <c r="X1257" s="51"/>
      <c r="Y1257" s="51"/>
      <c r="AQ1257" s="51"/>
      <c r="AR1257" s="51"/>
      <c r="AS1257" s="51"/>
      <c r="AT1257" s="51"/>
    </row>
    <row r="1258" spans="24:46" x14ac:dyDescent="0.35" ht="14.5" customHeight="true">
      <c r="X1258" s="51"/>
      <c r="Y1258" s="51"/>
      <c r="AQ1258" s="51"/>
      <c r="AR1258" s="51"/>
      <c r="AS1258" s="51"/>
      <c r="AT1258" s="51"/>
    </row>
    <row r="1259" spans="24:46" x14ac:dyDescent="0.35" ht="14.5" customHeight="true">
      <c r="X1259" s="51"/>
      <c r="Y1259" s="51"/>
      <c r="AQ1259" s="51"/>
      <c r="AR1259" s="51"/>
      <c r="AS1259" s="51"/>
      <c r="AT1259" s="51"/>
    </row>
    <row r="1260" spans="24:46" x14ac:dyDescent="0.35" ht="14.5" customHeight="true">
      <c r="X1260" s="51"/>
      <c r="Y1260" s="51"/>
      <c r="AQ1260" s="51"/>
      <c r="AR1260" s="51"/>
      <c r="AS1260" s="51"/>
      <c r="AT1260" s="51"/>
    </row>
    <row r="1261" spans="24:46" x14ac:dyDescent="0.35" ht="14.5" customHeight="true">
      <c r="X1261" s="51"/>
      <c r="Y1261" s="51"/>
      <c r="AQ1261" s="51"/>
      <c r="AR1261" s="51"/>
      <c r="AS1261" s="51"/>
      <c r="AT1261" s="51"/>
    </row>
    <row r="1262" spans="24:46" x14ac:dyDescent="0.35" ht="14.5" customHeight="true">
      <c r="X1262" s="51"/>
      <c r="Y1262" s="51"/>
      <c r="AQ1262" s="51"/>
      <c r="AR1262" s="51"/>
      <c r="AS1262" s="51"/>
      <c r="AT1262" s="51"/>
    </row>
    <row r="1263" spans="24:46" x14ac:dyDescent="0.35" ht="14.5" customHeight="true">
      <c r="X1263" s="51"/>
      <c r="Y1263" s="51"/>
      <c r="AQ1263" s="51"/>
      <c r="AR1263" s="51"/>
      <c r="AS1263" s="51"/>
      <c r="AT1263" s="51"/>
    </row>
    <row r="1264" spans="24:46" x14ac:dyDescent="0.35" ht="14.5" customHeight="true">
      <c r="X1264" s="51"/>
      <c r="Y1264" s="51"/>
      <c r="AQ1264" s="51"/>
      <c r="AR1264" s="51"/>
      <c r="AS1264" s="51"/>
      <c r="AT1264" s="51"/>
    </row>
    <row r="1265" spans="24:46" x14ac:dyDescent="0.35" ht="14.5" customHeight="true">
      <c r="X1265" s="51"/>
      <c r="Y1265" s="51"/>
      <c r="AQ1265" s="51"/>
      <c r="AR1265" s="51"/>
      <c r="AS1265" s="51"/>
      <c r="AT1265" s="51"/>
    </row>
    <row r="1266" spans="24:46" x14ac:dyDescent="0.35" ht="14.5" customHeight="true">
      <c r="X1266" s="51"/>
      <c r="Y1266" s="51"/>
      <c r="AQ1266" s="51"/>
      <c r="AR1266" s="51"/>
      <c r="AS1266" s="51"/>
      <c r="AT1266" s="51"/>
    </row>
    <row r="1267" spans="24:46" x14ac:dyDescent="0.35" ht="14.5" customHeight="true">
      <c r="X1267" s="51"/>
      <c r="Y1267" s="51"/>
      <c r="AQ1267" s="51"/>
      <c r="AR1267" s="51"/>
      <c r="AS1267" s="51"/>
      <c r="AT1267" s="51"/>
    </row>
    <row r="1268" spans="24:46" x14ac:dyDescent="0.35" ht="14.5" customHeight="true">
      <c r="X1268" s="51"/>
      <c r="Y1268" s="51"/>
      <c r="AQ1268" s="51"/>
      <c r="AR1268" s="51"/>
      <c r="AS1268" s="51"/>
      <c r="AT1268" s="51"/>
    </row>
    <row r="1269" spans="24:46" x14ac:dyDescent="0.35" ht="14.5" customHeight="true">
      <c r="X1269" s="51"/>
      <c r="Y1269" s="51"/>
      <c r="AQ1269" s="51"/>
      <c r="AR1269" s="51"/>
      <c r="AS1269" s="51"/>
      <c r="AT1269" s="51"/>
    </row>
    <row r="1270" spans="24:46" x14ac:dyDescent="0.35" ht="14.5" customHeight="true">
      <c r="X1270" s="51"/>
      <c r="Y1270" s="51"/>
      <c r="AQ1270" s="51"/>
      <c r="AR1270" s="51"/>
      <c r="AS1270" s="51"/>
      <c r="AT1270" s="51"/>
    </row>
    <row r="1271" spans="24:46" x14ac:dyDescent="0.35" ht="14.5" customHeight="true">
      <c r="X1271" s="51"/>
      <c r="Y1271" s="51"/>
      <c r="AQ1271" s="51"/>
      <c r="AR1271" s="51"/>
      <c r="AS1271" s="51"/>
      <c r="AT1271" s="51"/>
    </row>
    <row r="1272" spans="24:46" x14ac:dyDescent="0.35" ht="14.5" customHeight="true">
      <c r="X1272" s="51"/>
      <c r="Y1272" s="51"/>
      <c r="AQ1272" s="51"/>
      <c r="AR1272" s="51"/>
      <c r="AS1272" s="51"/>
      <c r="AT1272" s="51"/>
    </row>
    <row r="1273" spans="24:46" x14ac:dyDescent="0.35" ht="14.5" customHeight="true">
      <c r="X1273" s="51"/>
      <c r="Y1273" s="51"/>
      <c r="AQ1273" s="51"/>
      <c r="AR1273" s="51"/>
      <c r="AS1273" s="51"/>
      <c r="AT1273" s="51"/>
    </row>
    <row r="1274" spans="24:46" x14ac:dyDescent="0.35" ht="14.5" customHeight="true">
      <c r="X1274" s="51"/>
      <c r="Y1274" s="51"/>
      <c r="AQ1274" s="51"/>
      <c r="AR1274" s="51"/>
      <c r="AS1274" s="51"/>
      <c r="AT1274" s="51"/>
    </row>
    <row r="1275" spans="24:46" x14ac:dyDescent="0.35" ht="14.5" customHeight="true">
      <c r="X1275" s="51"/>
      <c r="Y1275" s="51"/>
      <c r="AQ1275" s="51"/>
      <c r="AR1275" s="51"/>
      <c r="AS1275" s="51"/>
      <c r="AT1275" s="51"/>
    </row>
    <row r="1276" spans="24:46" x14ac:dyDescent="0.35" ht="14.5" customHeight="true">
      <c r="X1276" s="51"/>
      <c r="Y1276" s="51"/>
      <c r="AQ1276" s="51"/>
      <c r="AR1276" s="51"/>
      <c r="AS1276" s="51"/>
      <c r="AT1276" s="51"/>
    </row>
    <row r="1277" spans="24:46" x14ac:dyDescent="0.35" ht="14.5" customHeight="true">
      <c r="X1277" s="51"/>
      <c r="Y1277" s="51"/>
      <c r="AQ1277" s="51"/>
      <c r="AR1277" s="51"/>
      <c r="AS1277" s="51"/>
      <c r="AT1277" s="51"/>
    </row>
    <row r="1278" spans="24:46" x14ac:dyDescent="0.35" ht="14.5" customHeight="true">
      <c r="X1278" s="51"/>
      <c r="Y1278" s="51"/>
      <c r="AQ1278" s="51"/>
      <c r="AR1278" s="51"/>
      <c r="AS1278" s="51"/>
      <c r="AT1278" s="51"/>
    </row>
    <row r="1279" spans="24:46" x14ac:dyDescent="0.35" ht="14.5" customHeight="true">
      <c r="X1279" s="51"/>
      <c r="Y1279" s="51"/>
      <c r="AQ1279" s="51"/>
      <c r="AR1279" s="51"/>
      <c r="AS1279" s="51"/>
      <c r="AT1279" s="51"/>
    </row>
    <row r="1280" spans="24:46" x14ac:dyDescent="0.35" ht="14.5" customHeight="true">
      <c r="X1280" s="51"/>
      <c r="Y1280" s="51"/>
      <c r="AQ1280" s="51"/>
      <c r="AR1280" s="51"/>
      <c r="AS1280" s="51"/>
      <c r="AT1280" s="51"/>
    </row>
    <row r="1281" spans="24:46" x14ac:dyDescent="0.35" ht="14.5" customHeight="true">
      <c r="X1281" s="51"/>
      <c r="Y1281" s="51"/>
      <c r="AQ1281" s="51"/>
      <c r="AR1281" s="51"/>
      <c r="AS1281" s="51"/>
      <c r="AT1281" s="51"/>
    </row>
    <row r="1282" spans="24:46" x14ac:dyDescent="0.35" ht="14.5" customHeight="true">
      <c r="X1282" s="51"/>
      <c r="Y1282" s="51"/>
      <c r="AQ1282" s="51"/>
      <c r="AR1282" s="51"/>
      <c r="AS1282" s="51"/>
      <c r="AT1282" s="51"/>
    </row>
    <row r="1283" spans="24:46" x14ac:dyDescent="0.35" ht="14.5" customHeight="true">
      <c r="X1283" s="51"/>
      <c r="Y1283" s="51"/>
      <c r="AQ1283" s="51"/>
      <c r="AR1283" s="51"/>
      <c r="AS1283" s="51"/>
      <c r="AT1283" s="51"/>
    </row>
    <row r="1284" spans="24:46" x14ac:dyDescent="0.35" ht="14.5" customHeight="true">
      <c r="X1284" s="51"/>
      <c r="Y1284" s="51"/>
      <c r="AQ1284" s="51"/>
      <c r="AR1284" s="51"/>
      <c r="AS1284" s="51"/>
      <c r="AT1284" s="51"/>
    </row>
    <row r="1285" spans="24:46" x14ac:dyDescent="0.35" ht="14.5" customHeight="true">
      <c r="X1285" s="51"/>
      <c r="Y1285" s="51"/>
      <c r="AQ1285" s="51"/>
      <c r="AR1285" s="51"/>
      <c r="AS1285" s="51"/>
      <c r="AT1285" s="51"/>
    </row>
    <row r="1286" spans="24:46" x14ac:dyDescent="0.35" ht="14.5" customHeight="true">
      <c r="X1286" s="51"/>
      <c r="Y1286" s="51"/>
      <c r="AQ1286" s="51"/>
      <c r="AR1286" s="51"/>
      <c r="AS1286" s="51"/>
      <c r="AT1286" s="51"/>
    </row>
    <row r="1287" spans="24:46" x14ac:dyDescent="0.35" ht="14.5" customHeight="true">
      <c r="X1287" s="51"/>
      <c r="Y1287" s="51"/>
      <c r="AQ1287" s="51"/>
      <c r="AR1287" s="51"/>
      <c r="AS1287" s="51"/>
      <c r="AT1287" s="51"/>
    </row>
    <row r="1288" spans="24:46" x14ac:dyDescent="0.35" ht="14.5" customHeight="true">
      <c r="X1288" s="51"/>
      <c r="Y1288" s="51"/>
      <c r="AQ1288" s="51"/>
      <c r="AR1288" s="51"/>
      <c r="AS1288" s="51"/>
      <c r="AT1288" s="51"/>
    </row>
    <row r="1289" spans="24:46" x14ac:dyDescent="0.35" ht="14.5" customHeight="true">
      <c r="X1289" s="51"/>
      <c r="Y1289" s="51"/>
      <c r="AQ1289" s="51"/>
      <c r="AR1289" s="51"/>
      <c r="AS1289" s="51"/>
      <c r="AT1289" s="51"/>
    </row>
    <row r="1290" spans="24:46" x14ac:dyDescent="0.35" ht="14.5" customHeight="true">
      <c r="X1290" s="51"/>
      <c r="Y1290" s="51"/>
      <c r="AQ1290" s="51"/>
      <c r="AR1290" s="51"/>
      <c r="AS1290" s="51"/>
      <c r="AT1290" s="51"/>
    </row>
    <row r="1291" spans="24:46" x14ac:dyDescent="0.35" ht="14.5" customHeight="true">
      <c r="X1291" s="51"/>
      <c r="Y1291" s="51"/>
      <c r="AQ1291" s="51"/>
      <c r="AR1291" s="51"/>
      <c r="AS1291" s="51"/>
      <c r="AT1291" s="51"/>
    </row>
    <row r="1292" spans="24:46" x14ac:dyDescent="0.35" ht="14.5" customHeight="true">
      <c r="X1292" s="51"/>
      <c r="Y1292" s="51"/>
      <c r="AQ1292" s="51"/>
      <c r="AR1292" s="51"/>
      <c r="AS1292" s="51"/>
      <c r="AT1292" s="51"/>
    </row>
    <row r="1293" spans="24:46" x14ac:dyDescent="0.35" ht="14.5" customHeight="true">
      <c r="X1293" s="51"/>
      <c r="Y1293" s="51"/>
      <c r="AQ1293" s="51"/>
      <c r="AR1293" s="51"/>
      <c r="AS1293" s="51"/>
      <c r="AT1293" s="51"/>
    </row>
  </sheetData>
  <sheetProtection autoFilter="0"/>
  <autoFilter ref="A4:AP4" xr:uid="{A756D8C9-2E7C-4D01-A70B-7F424FDB1F37}"/>
  <dataConsolidate/>
  <dataValidations count="59" xWindow="422" yWindow="477">
    <dataValidation allowBlank="1" operator="equal" prompt="Hourly, Salaried" promptTitle="Pay Type" showInputMessage="1" sqref="R4" xr:uid="{00000000-0002-0000-0100-000000000000}">
      <formula1>0</formula1>
      <formula2>0</formula2>
    </dataValidation>
    <dataValidation allowBlank="1" operator="equal" promptTitle="Pay Group" showErrorMessage="1" showInputMessage="1" sqref="S4" xr:uid="{00000000-0002-0000-0100-000001000000}"/>
    <dataValidation allowBlank="1" error="Please enter 1 to 50 lengths character only." errorTitle="Error:" prompt="Please enter details if the Employment Type I is 'Other'." promptTitle="Conditional:" showErrorMessage="1" showInputMessage="1" sqref="Q5:Q1021" type="textLength" xr:uid="{00000000-0002-0000-0100-000002000000}">
      <formula1>1</formula1>
      <formula2>50</formula2>
    </dataValidation>
    <dataValidation allowBlank="1" error="Please select the value from the drop down only." errorTitle="Error:" prompt="Please select State(Abbreviation)" promptTitle="Required:" showInputMessage="1" sqref="AO5 AO7:AO1021" type="list" xr:uid="{00000000-0002-0000-0100-000003000000}">
      <formula1>State_Codes</formula1>
    </dataValidation>
    <dataValidation allowBlank="1" error="Rate should be number and character length should be upto 5." errorTitle="Error:" prompt="Information is required if 'Pay Type' selected as 'Hourly'." promptTitle="Conditional:" showErrorMessage="1" showInputMessage="1" sqref="W5:W1021" type="custom" xr:uid="{00000000-0002-0000-0100-000004000000}">
      <formula1>AND(ISNUMBER(W5),LEN(W5)&lt;=5)</formula1>
    </dataValidation>
    <dataValidation allowBlank="1" error="Please enter 2 to 30 lengths character only." errorTitle="Error:" prompt="Please enter City." promptTitle="Required:" showErrorMessage="1" showInputMessage="1" sqref="AM5:AM1021" type="textLength" xr:uid="{00000000-0002-0000-0100-000005000000}">
      <formula1>2</formula1>
      <formula2>30</formula2>
    </dataValidation>
    <dataValidation allowBlank="1" error="Please enter 1 to 55 lengths character only." errorTitle="Error:" prompt="Please enter employee's Address Line 2." promptTitle="Optional:" showErrorMessage="1" showInputMessage="1" sqref="AL5:AL1021" type="textLength" xr:uid="{00000000-0002-0000-0100-000006000000}">
      <formula1>1</formula1>
      <formula2>55</formula2>
    </dataValidation>
    <dataValidation allowBlank="1" error="Please enter valid E-Mail address." errorTitle="Error:" prompt="Please enter employee's official email address." promptTitle="Required:" showErrorMessage="1" showInputMessage="1" sqref="AI5:AI1021" type="custom" xr:uid="{00000000-0002-0000-0100-000007000000}">
      <formula1>FIND("@",AI5)</formula1>
    </dataValidation>
    <dataValidation allowBlank="1" error="Please enter 1 to 30 lengths character only." errorTitle="Error:" prompt="Please enter Employee's Job Title." promptTitle="Optional:" showErrorMessage="1" showInputMessage="1" sqref="AA5:AA1021" type="textLength" xr:uid="{00000000-0002-0000-0100-000008000000}">
      <formula1>1</formula1>
      <formula2>30</formula2>
    </dataValidation>
    <dataValidation allowBlank="1" error="Please enter 1 to 50 lengths character only." errorTitle="Error:" prompt="Please enter Employee's Department." promptTitle="Optional:" showErrorMessage="1" showInputMessage="1" sqref="AB5:AB1021" type="textLength" xr:uid="{00000000-0002-0000-0100-000009000000}">
      <formula1>1</formula1>
      <formula2>50</formula2>
    </dataValidation>
    <dataValidation allowBlank="1" error="Please select the Employment Type I from the drop down only." errorTitle="Error:" prompt="Please select the Employment Type I." promptTitle="Required:" showInputMessage="1" sqref="P7:P1021" type="list" xr:uid="{00000000-0002-0000-0100-00000A000000}">
      <formula1>"Full Time,Part Time,Other,Seasonal"</formula1>
    </dataValidation>
    <dataValidation allowBlank="1" error="Please enter only date in this field._x000a_Date should be in MM/DD/YYYY format." errorTitle="Error:" operator="greaterThanOrEqual" prompt="Date should be in MM/DD/YYYY format." promptTitle="Required:" showErrorMessage="1" showInputMessage="1" sqref="M5:M1021 G5:G1021 AZ5:AZ1100" type="date" xr:uid="{00000000-0002-0000-0100-00000B000000}">
      <formula1>1</formula1>
    </dataValidation>
    <dataValidation allowBlank="1" error="Length should be 1 to 35 character." errorTitle="Error:" prompt="Please enter employee's first name." promptTitle="Required:" showErrorMessage="1" showInputMessage="1" sqref="C5:C1021" type="textLength" xr:uid="{00000000-0002-0000-0100-00000C000000}">
      <formula1>1</formula1>
      <formula2>35</formula2>
    </dataValidation>
    <dataValidation allowBlank="1" error="Please enter only the first character of employee's middle name." errorTitle="Error:" prompt="Please enter employee's middle initial." promptTitle="Optional:" showErrorMessage="1" showInputMessage="1" sqref="D5:D1021" type="custom" xr:uid="{00000000-0002-0000-0100-00000D000000}">
      <formula1>AND(ISNUMBER(D5)=FALSE,LEN(D5)=1)</formula1>
    </dataValidation>
    <dataValidation allowBlank="1" error="Please enter text length 1 to 60 characters only." errorTitle="Error:" prompt="Please enter employee's last name." promptTitle="Required:" showErrorMessage="1" showInputMessage="1" sqref="E5:E1021" type="textLength" xr:uid="{00000000-0002-0000-0100-00000E000000}">
      <formula1>1</formula1>
      <formula2>60</formula2>
    </dataValidation>
    <dataValidation allowBlank="1" error="Please select employee's suffix from the drop down only." errorTitle="Error:" prompt="Please select employee's suffix." promptTitle="Optional:" showInputMessage="1" sqref="F5:F1100" type="list" xr:uid="{00000000-0002-0000-0100-00000F000000}">
      <formula1>"Jr., Sr., I, II, III,IV"</formula1>
    </dataValidation>
    <dataValidation allowBlank="1" error="Please select employee's gender from the drop down only." errorTitle="Error:" prompt="Please select employee's gender." showInputMessage="1" sqref="H5:H1021" type="list" xr:uid="{00000000-0002-0000-0100-000010000000}">
      <formula1>"Male,Female"</formula1>
    </dataValidation>
    <dataValidation allowBlank="1" error="Please select Employee Tobacco usage in last 6 months from the drop down only." errorTitle="Error:" prompt="Please select YES if your employee has used any tobacco product in the past twelve months." promptTitle="Optional:" showInputMessage="1" sqref="J5:J1021" type="list" xr:uid="{00000000-0002-0000-0100-000011000000}">
      <formula1>"Yes,No"</formula1>
    </dataValidation>
    <dataValidation allowBlank="1" error="Please enter 1 to 50 lengths character only." errorTitle="Error:" prompt="Please enter Employee Class." promptTitle="Optional:" showErrorMessage="1" showInputMessage="1" sqref="Z5:Z1021" type="textLength" xr:uid="{00000000-0002-0000-0100-000012000000}">
      <formula1>1</formula1>
      <formula2>50</formula2>
    </dataValidation>
    <dataValidation allowBlank="1" error="Please enter valid E-Mail address." errorTitle="Error:" prompt="Please enter employee's personal email address." promptTitle="Optional:" showErrorMessage="1" showInputMessage="1" sqref="AH5:AH1021" type="custom" xr:uid="{00000000-0002-0000-0100-000013000000}">
      <formula1>FIND("@",AH5)</formula1>
    </dataValidation>
    <dataValidation allowBlank="1" error="Please enter 1 to 55 lengths character only." errorTitle="Error:" prompt="Please enter employee's Address Line 1." showErrorMessage="1" showInputMessage="1" sqref="AK5:AK1021" type="textLength" xr:uid="{00000000-0002-0000-0100-000014000000}">
      <formula1>1</formula1>
      <formula2>55</formula2>
    </dataValidation>
    <dataValidation allowBlank="1" error="Please enter 1 to 50 length only." errorTitle="Error:" prompt="Please enter the Employee ID." promptTitle="Required:" showErrorMessage="1" showInputMessage="1" sqref="K5:K1021" type="textLength" xr:uid="{00000000-0002-0000-0100-000015000000}">
      <formula1>1</formula1>
      <formula2>50</formula2>
    </dataValidation>
    <dataValidation allowBlank="1" error="Please select the Employment status from the drop down only." errorTitle="Error:" prompt="Please select the Employment status." promptTitle="Required:" showInputMessage="1" sqref="L5:L1021" type="list" xr:uid="{00000000-0002-0000-0100-000016000000}">
      <formula1>"Active,Terminated"</formula1>
    </dataValidation>
    <dataValidation allowBlank="1" error="Please enter only date in this field._x000a_Date should be in MM/DD/YYYY format." errorTitle="Error:" operator="greaterThanOrEqual" prompt="Date should be in MM/DD/YYYY format." promptTitle="Optional:" showErrorMessage="1" showInputMessage="1" sqref="N5:N1021" type="date" xr:uid="{00000000-0002-0000-0100-000017000000}">
      <formula1>1</formula1>
    </dataValidation>
    <dataValidation allowBlank="1" error="Please enter 5 digit ZIP Code." errorTitle="Error:" operator="equal" prompt="Please enter 5 digit zipcode." promptTitle="Required:" showErrorMessage="1" showInputMessage="1" sqref="AN5:AN1021" type="textLength" xr:uid="{00000000-0002-0000-0100-000018000000}">
      <formula1>5</formula1>
    </dataValidation>
    <dataValidation allowBlank="1" error="Please select the Pay Type from the drop down only." errorTitle="Error:" prompt="Please select the Pay type." promptTitle="Required:" showInputMessage="1" sqref="R5:R1021" type="list" xr:uid="{00000000-0002-0000-0100-000019000000}">
      <formula1>"Salaried,Hourly"</formula1>
    </dataValidation>
    <dataValidation allowBlank="1" error="Please select the value from the drop down only." errorTitle="Error:" prompt="Please select Termination Reason." promptTitle="Optional:" showInputMessage="1" sqref="O5 O7:O1021" type="list" xr:uid="{00000000-0002-0000-0100-00001B000000}">
      <formula1>"Death,Retirement,Voluntary Termination of Employment,Involuntary Termination of Employment,Permanent Disability, Transfer,Other"</formula1>
    </dataValidation>
    <dataValidation allowBlank="1" error="Please select Employment Type II from the drop down only." errorTitle="Error:" prompt="Please select Employee Type." promptTitle="Optional:" showInputMessage="1" sqref="AC7:AC1021" type="list" xr:uid="{00000000-0002-0000-0100-00001C000000}">
      <formula1>"Permanent,Temporary"</formula1>
    </dataValidation>
    <dataValidation allowBlank="1" error="Please select Employment Classification I from the drop down only." errorTitle="Error:" prompt="Please select Employment Classification I." promptTitle="Optional:" showInputMessage="1" sqref="AD5 AD7:AD1021" type="list" xr:uid="{00000000-0002-0000-0100-00001D000000}">
      <formula1>"Union,Non-Union"</formula1>
    </dataValidation>
    <dataValidation allowBlank="1" error="Please select Employment Classification II from the drop down only." errorTitle="Error:" prompt="Please select Employment Classification II." promptTitle="Optional:" showInputMessage="1" sqref="AE5 AE7:AE1021" type="list" xr:uid="{00000000-0002-0000-0100-00001E000000}">
      <formula1>"Exempt,Non-Exempt"</formula1>
    </dataValidation>
    <dataValidation allowBlank="1" error="Please enter 1 to 80 lengths character only." errorTitle="Error:" prompt="Please enter Employee's Work Location." promptTitle="Optional:" showErrorMessage="1" showInputMessage="1" sqref="AF5:AF1021" type="textLength" xr:uid="{00000000-0002-0000-0100-00001F000000}">
      <formula1>1</formula1>
      <formula2>80</formula2>
    </dataValidation>
    <dataValidation allowBlank="1" error="Please enter 1 to 50 lengths character only." errorTitle="Error:" prompt="Please enter Employee's Division." promptTitle="Optional:" showErrorMessage="1" showInputMessage="1" sqref="AG5:AG1021" type="textLength" xr:uid="{00000000-0002-0000-0100-000020000000}">
      <formula1>1</formula1>
      <formula2>50</formula2>
    </dataValidation>
    <dataValidation allowBlank="1" operator="greaterThanOrEqual" prompt="Date should be in MM/DD/YYYY format." promptTitle="Optional" showErrorMessage="1" showInputMessage="1" sqref="U5:U1021" type="date" xr:uid="{00000000-0002-0000-0100-000021000000}">
      <formula1>32874</formula1>
    </dataValidation>
    <dataValidation allowBlank="1" error="Please select employee's suffix from the drop down only." errorTitle="Error:" prompt="Please select dependent's suffix." promptTitle="Optional:" showErrorMessage="1" showInputMessage="1" sqref="AY5:AY1100" type="list" xr:uid="{82F87941-6A09-4ED8-B7D2-CC32531CCDA5}">
      <formula1>"Jr., Sr., I, II, III, IV"</formula1>
    </dataValidation>
    <dataValidation allowBlank="1" error="Please select employee's prefix from the drop down only." errorTitle="Error:" prompt="Please select dependent's prefix." promptTitle="Optional:" showErrorMessage="1" showInputMessage="1" sqref="AU5:AU1100" type="list" xr:uid="{7B59A85C-80C1-4D22-8ADB-6CB2487BC900}">
      <formula1>"Mr.,Mrs.,Ms.,Miss.,Dr."</formula1>
    </dataValidation>
    <dataValidation allowBlank="1" error="Please select Is Disabled from the drop down only." errorTitle="Error:" prompt="Please select dependent's disability status." promptTitle="Optional:" showErrorMessage="1" showInputMessage="1" sqref="BD5:BD1100" type="list" xr:uid="{C79DEA2B-FFCA-4722-81F6-2E2747084DD1}">
      <formula1>"Yes,No"</formula1>
    </dataValidation>
    <dataValidation allowBlank="1" error="Please select Employee Tobacco usage in last 6 months from the drop down only." errorTitle="Error:" prompt="Please select YES if employee's dependent has used any tobacco product in the past six months." promptTitle="Optional:" showErrorMessage="1" showInputMessage="1" sqref="BB5:BB1100" type="list" xr:uid="{6CC20F1F-10F3-4B84-B0EF-B5BD1340C2D3}">
      <formula1>"Yes,No"</formula1>
    </dataValidation>
    <dataValidation allowBlank="1" error="Please enter text length 1 to 60 characters only." errorTitle="Error:" prompt="Please enter dependent's last name." promptTitle="Required:" showErrorMessage="1" showInputMessage="1" sqref="AX5:AX1100" type="textLength" xr:uid="{86AA5E5E-CDD2-4B3B-9008-2B9034333A25}">
      <formula1>1</formula1>
      <formula2>60</formula2>
    </dataValidation>
    <dataValidation allowBlank="1" error="Please enter only the first character of dependent's middle name." errorTitle="Error:" prompt="Please enter dependent's middle initial." promptTitle="Optional:" showErrorMessage="1" showInputMessage="1" sqref="AW5:AW1100" type="custom" xr:uid="{D613E3DD-93BE-441C-B4EE-DD2504A56E99}">
      <formula1>AND(EXACT(AW5,AW5),LEN(AW5)=1)</formula1>
    </dataValidation>
    <dataValidation allowBlank="1" error="Length should be 1 to 35 character." errorTitle="Error:" prompt="Please enter dependent's first name." promptTitle="Required:" showErrorMessage="1" showInputMessage="1" sqref="AV5:AV1100" type="textLength" xr:uid="{40BF793E-CFBC-4DD7-A708-0F4E59B092FB}">
      <formula1>1</formula1>
      <formula2>35</formula2>
    </dataValidation>
    <dataValidation allowBlank="1" error="Please select Relationship from the drop down only." errorTitle="Error:" prompt="Please select Relationship." promptTitle="Required:" showErrorMessage="1" showInputMessage="1" sqref="BC5:BC1100" type="list" xr:uid="{BA4F97EA-5894-464D-9771-A6E10F30D9E5}">
      <formula1>"Spouse,Child,Domestic Partner,Other dependent"</formula1>
    </dataValidation>
    <dataValidation allowBlank="1" operator="greaterThanOrEqual" showErrorMessage="1" showInputMessage="1" sqref="T1101:T1048576 U1022:U1100" type="date" xr:uid="{00000000-0002-0000-0100-00002C000000}">
      <formula1>32874</formula1>
    </dataValidation>
    <dataValidation allowBlank="1" operator="greaterThanOrEqual" showErrorMessage="1" showInputMessage="1" sqref="T2:T3 U4" xr:uid="{00000000-0002-0000-0100-00002D000000}"/>
    <dataValidation allowBlank="1" error="Enter a valid 9 digit Employer Identification Number" errorTitle="Error" prompt="Enter 9 digit Employer Identification Number." promptTitle="Conditional:" showErrorMessage="1" showInputMessage="1" sqref="A5:A1100" type="custom" xr:uid="{00000000-0002-0000-0100-00002E000000}">
      <formula1>AND(ISNUMBER(A5+0),LEN(A5)=9)</formula1>
    </dataValidation>
    <dataValidation allowBlank="1" prompt="Enter 9 digit Employee SSN." promptTitle="Employee SSN" showErrorMessage="1" showInputMessage="1" sqref="I5:I1100" xr:uid="{00000000-0002-0000-0100-00002F000000}"/>
    <dataValidation allowBlank="1" prompt="Enter 10 digit phone number." promptTitle="Phone Number" showErrorMessage="1" showInputMessage="1" sqref="AJ1:AJ1048576" xr:uid="{00000000-0002-0000-0100-000030000000}"/>
    <dataValidation allowBlank="1" error="Please enter numbers only, upto 10 character value." errorTitle="Error:" prompt="Information is required if 'Pay Type' selected as 'Salaried'." promptTitle="Conditional:" showErrorMessage="1" showInputMessage="1" sqref="T5:T1100" type="custom" xr:uid="{00000000-0002-0000-0100-000031000000}">
      <formula1>AND(ISNUMBER(T5),LEN(T5)&lt;=10)</formula1>
    </dataValidation>
    <dataValidation allowBlank="1" error="Please select employee's prefix from the drop down only." errorTitle="Error:" prompt="Please select employee's prefix." promptTitle="Optional:" showInputMessage="1" sqref="B5:B1100" type="list" xr:uid="{00000000-0002-0000-0100-000032000000}">
      <formula1>"Mr.,Mrs.,Ms.,Miss.,Dr."</formula1>
    </dataValidation>
    <dataValidation allowBlank="1" error="Please select the value from the drop down only." errorTitle="Error:" operator="equal" prompt="Please select State(Abbreviation)" promptTitle="Required:" showInputMessage="1" sqref="AO6" type="list" xr:uid="{00000000-0002-0000-0100-000034000000}">
      <formula1>State_Codes</formula1>
    </dataValidation>
    <dataValidation allowBlank="1" error="Please select employee's gender from the drop down only." errorTitle="Error:" prompt="Please select dependent's gender." promptTitle="Optional:" showInputMessage="1" sqref="BA5:BA1100" type="list" xr:uid="{5F86DFF8-0AF6-48E4-9990-4157914E4E47}">
      <formula1>"Male,Female"</formula1>
    </dataValidation>
    <dataValidation allowBlank="1" prompt="This should be entered as an annualized value e.g. if amount is $500 per quarter then only 2000 should be entered without $ as an annual value. if it is 5% per quarter then 20% should be entered as the annual value." promptTitle="Optional:" showErrorMessage="1" showInputMessage="1" sqref="X5:X1205 Y5:Y1200" xr:uid="{686AEFD4-B5B3-49CA-B30F-B8F957DCB3E7}"/>
    <dataValidation allowBlank="1" prompt="Enter the value as per the format provided in the column header comment." showErrorMessage="1" showInputMessage="1" sqref="AP5:AT1200" xr:uid="{E677F442-D4C9-4124-8844-F36048F1836A}"/>
    <dataValidation allowBlank="1" error="Please enter numbers only, upto 2 digits and 2 decimal value." errorTitle="Error:" prompt="Information is required if 'Pay Type' selected as 'Hourly'." promptTitle="Conditional:" showErrorMessage="1" showInputMessage="1" sqref="V5:V1048576" type="custom" xr:uid="{4CFF8AEA-84DD-4368-B377-417AC7A8E9F4}">
      <formula1>AND(ROUND(V5,2)=V5,V5&lt;100,V5&gt;=0)</formula1>
    </dataValidation>
    <dataValidation allowBlank="1" error="Please select Pay Frequency from the drop down only." errorTitle="Error:" prompt="Please select Pay Group." promptTitle="Required:" showInputMessage="1" sqref="S5:S1216" xr:uid="{6C626173-76DF-4729-961E-73D6DA1392CA}"/>
    <dataValidation allowBlank="1" error="Please select the Employment Type I from the drop down only." errorTitle="Error:" prompt="Please select the Employment Type." promptTitle="Required:" showInputMessage="1" sqref="P6" type="list" xr:uid="{5570EBDD-FD1F-48F4-8ADE-C4A146BF4D75}">
      <formula1>"Full Time,Part Time,Other,Seasonal"</formula1>
    </dataValidation>
    <dataValidation allowBlank="1" error="Please select Employment Classification I from the drop down only." errorTitle="Error:" prompt="Please select Union Classification." promptTitle="Optional:" showInputMessage="1" sqref="AD6" type="list" xr:uid="{1356DD09-AB35-4EF5-A22A-1D52DC0523FF}">
      <formula1>"Union,Non-Union"</formula1>
    </dataValidation>
    <dataValidation allowBlank="1" error="Please select Employment Classification II from the drop down only." errorTitle="Error:" prompt="Please select FLSA Classification." promptTitle="Optional:" showInputMessage="1" sqref="AE6" type="list" xr:uid="{43C760C3-0616-4277-AF93-5BBE7B63A61F}">
      <formula1>"Exempt,Non-Exempt"</formula1>
    </dataValidation>
    <dataValidation allowBlank="1" error="Please select the Employment Type I from the drop down only." errorTitle="Error:" prompt="Please select the Employment Type I." promptTitle="Required:" showInputMessage="1" sqref="P5" type="list" xr:uid="{46405962-04B4-419D-8B6D-E112CEAE8170}">
      <formula1>"Full Time,Part Time,Other,Seasonal"</formula1>
    </dataValidation>
    <dataValidation allowBlank="1" error="Please select Employment Type II from the drop down only." errorTitle="Error:" prompt="Please select Employee Type." promptTitle="Optional:" showInputMessage="1" sqref="AC5 AC6" type="list" xr:uid="{069DB0D8-BE27-4691-953A-BCBE2685E81A}">
      <formula1>"Permanent,Temporary"</formula1>
    </dataValidation>
  </dataValidations>
  <pageMargins bottom="0.75" footer="0.3" header="0.3" left="0.7" right="0.7" top="0.75"/>
  <pageSetup orientation="portrait" r:id="rId1"/>
  <drawing r:id="rId2"/>
  <legacyDrawing r:id="rId3"/>
  <mc:AlternateContent>
    <mc:Choice Requires="x14">
      <controls>
        <mc:AlternateContent>
          <mc:Choice Requires="x14">
            <control name="Button 1" r:id="rId4" shapeId="5121">
              <controlPr autoFill="0" autoPict="0" defaultSize="0" macro="[0]!Show_Form_Custom_Column" print="0">
                <anchor moveWithCells="1" sizeWithCells="1">
                  <from>
                    <xdr:col>1</xdr:col>
                    <xdr:colOff>1536700</xdr:colOff>
                    <xdr:row>0</xdr:row>
                    <xdr:rowOff>57150</xdr:rowOff>
                  </from>
                  <to>
                    <xdr:col>3</xdr:col>
                    <xdr:colOff>0</xdr:colOff>
                    <xdr:row>2</xdr:row>
                    <xdr:rowOff>19050</xdr:rowOff>
                  </to>
                </anchor>
              </controlPr>
            </control>
          </mc:Choice>
        </mc:AlternateContent>
        <mc:AlternateContent>
          <mc:Choice Requires="x14">
            <control name="Button 2" r:id="rId5" shapeId="5122">
              <controlPr autoFill="0" autoPict="0" defaultSize="0" macro="[0]!validate_data" print="0">
                <anchor moveWithCells="1">
                  <from>
                    <xdr:col>3</xdr:col>
                    <xdr:colOff>1581150</xdr:colOff>
                    <xdr:row>0</xdr:row>
                    <xdr:rowOff>57150</xdr:rowOff>
                  </from>
                  <to>
                    <xdr:col>4</xdr:col>
                    <xdr:colOff>742950</xdr:colOff>
                    <xdr:row>2</xdr:row>
                    <xdr:rowOff>31750</xdr:rowOff>
                  </to>
                </anchor>
              </controlPr>
            </control>
          </mc:Choice>
        </mc:AlternateContent>
        <mc:AlternateContent>
          <mc:Choice Requires="x14">
            <control name="Button 10" r:id="rId6" shapeId="5130">
              <controlPr autoFill="0" autoPict="0" defaultSize="0" macro="[0]!Show_Form_Dependent" print="0">
                <anchor moveWithCells="1" sizeWithCells="1">
                  <from>
                    <xdr:col>3</xdr:col>
                    <xdr:colOff>127000</xdr:colOff>
                    <xdr:row>0</xdr:row>
                    <xdr:rowOff>38100</xdr:rowOff>
                  </from>
                  <to>
                    <xdr:col>3</xdr:col>
                    <xdr:colOff>1428750</xdr:colOff>
                    <xdr:row>2</xdr:row>
                    <xdr:rowOff>31750</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X10407"/>
  <sheetViews>
    <sheetView topLeftCell="DD1" workbookViewId="0" zoomScale="90" zoomScaleNormal="90" zoomScalePageLayoutView="90">
      <selection activeCell="DR2" sqref="DR2"/>
    </sheetView>
  </sheetViews>
  <sheetFormatPr defaultColWidth="8.81640625" defaultRowHeight="14.5" x14ac:dyDescent="0.35"/>
  <cols>
    <col min="1" max="1" bestFit="true" customWidth="true" width="11.453125" collapsed="false"/>
    <col min="2" max="4" customWidth="true" width="11.453125" collapsed="false"/>
    <col min="5" max="5" customWidth="true" style="42" width="16.81640625" collapsed="false"/>
    <col min="6" max="6" customWidth="true" style="42" width="58.0" collapsed="false"/>
    <col min="7" max="7" customWidth="true" width="7.7265625" collapsed="false"/>
    <col min="8" max="8" bestFit="true" customWidth="true" width="15.1796875" collapsed="false"/>
    <col min="9" max="9" customWidth="true" width="15.1796875" collapsed="false"/>
    <col min="11" max="11" customWidth="true" width="10.453125" collapsed="false"/>
    <col min="12" max="12" bestFit="true" customWidth="true" width="13.26953125" collapsed="false"/>
    <col min="14" max="14" customWidth="true" width="47.81640625" collapsed="false"/>
    <col min="16" max="16" bestFit="true" customWidth="true" width="20.453125" collapsed="false"/>
    <col min="17" max="17" bestFit="true" customWidth="true" width="15.81640625" collapsed="false"/>
    <col min="24" max="24" customWidth="true" width="42.1796875" collapsed="false"/>
    <col min="25" max="25" customWidth="true" width="68.7265625" collapsed="false"/>
    <col min="27" max="27" bestFit="true" customWidth="true" width="24.453125" collapsed="false"/>
    <col min="32" max="32" customWidth="true" width="12.1796875" collapsed="false"/>
    <col min="33" max="33" customWidth="true" width="20.0" collapsed="false"/>
    <col min="34" max="34" bestFit="true" customWidth="true" width="13.1796875" collapsed="false"/>
    <col min="35" max="35" customWidth="true" width="25.26953125" collapsed="false"/>
    <col min="36" max="36" customWidth="true" width="11.81640625" collapsed="false"/>
    <col min="37" max="37" customWidth="true" width="15.453125" collapsed="false"/>
    <col min="38" max="38" customWidth="true" width="11.453125" collapsed="false"/>
    <col min="39" max="39" customWidth="true" width="18.0" collapsed="false"/>
    <col min="40" max="40" bestFit="true" customWidth="true" width="12.1796875" collapsed="false"/>
    <col min="41" max="41" customWidth="true" width="16.7265625" collapsed="false"/>
    <col min="42" max="42" customWidth="true" width="4.453125" collapsed="false"/>
    <col min="43" max="43" bestFit="true" customWidth="true" width="22.0" collapsed="false"/>
    <col min="46" max="46" bestFit="true" customWidth="true" width="37.26953125" collapsed="false"/>
    <col min="47" max="47" bestFit="true" customWidth="true" width="58.0" collapsed="false"/>
    <col min="48" max="48" bestFit="true" customWidth="true" width="25.7265625" collapsed="false"/>
    <col min="52" max="52" bestFit="true" customWidth="true" width="27.453125" collapsed="false"/>
    <col min="56" max="56" customWidth="true" width="12.26953125" collapsed="false"/>
    <col min="57" max="57" customWidth="true" width="15.7265625" collapsed="false"/>
    <col min="58" max="58" customWidth="true" width="16.0" collapsed="false"/>
    <col min="59" max="59" customWidth="true" width="18.0" collapsed="false"/>
    <col min="60" max="60" customWidth="true" width="16.453125" collapsed="false"/>
    <col min="61" max="61" customWidth="true" width="15.26953125" collapsed="false"/>
    <col min="62" max="62" customWidth="true" width="14.1796875" collapsed="false"/>
    <col min="63" max="63" customWidth="true" width="20.0" collapsed="false"/>
    <col min="64" max="64" customWidth="true" width="15.26953125" collapsed="false"/>
    <col min="65" max="65" customWidth="true" width="14.7265625" collapsed="false"/>
    <col min="66" max="66" customWidth="true" width="13.453125" collapsed="false"/>
    <col min="73" max="73" customWidth="true" width="19.7265625" collapsed="false"/>
    <col min="75" max="75" bestFit="true" customWidth="true" width="27.81640625" collapsed="false"/>
    <col min="79" max="79" bestFit="true" customWidth="true" width="29.26953125" collapsed="false"/>
    <col min="80" max="80" bestFit="true" customWidth="true" width="15.453125" collapsed="false"/>
    <col min="81" max="81" bestFit="true" customWidth="true" width="18.0" collapsed="false"/>
    <col min="82" max="82" bestFit="true" customWidth="true" width="13.81640625" collapsed="false"/>
    <col min="83" max="83" bestFit="true" customWidth="true" width="16.453125" collapsed="false"/>
    <col min="84" max="84" bestFit="true" customWidth="true" width="15.0" collapsed="false"/>
    <col min="86" max="86" bestFit="true" customWidth="true" width="17.453125" collapsed="false"/>
    <col min="89" max="89" bestFit="true" customWidth="true" width="16.26953125" collapsed="false"/>
    <col min="90" max="90" customWidth="true" width="9.453125" collapsed="false"/>
    <col min="91" max="91" bestFit="true" customWidth="true" width="14.26953125" collapsed="false"/>
    <col min="93" max="93" bestFit="true" customWidth="true" width="24.453125" collapsed="false"/>
    <col min="104" max="104" customWidth="true" width="19.453125" collapsed="false"/>
    <col min="109" max="109" bestFit="true" customWidth="true" width="19.26953125" collapsed="false"/>
  </cols>
  <sheetData>
    <row ht="21.5" r="1" spans="1:127" thickBot="1" x14ac:dyDescent="0.4">
      <c r="A1" s="50" t="s">
        <v>171</v>
      </c>
      <c r="C1" s="21" t="s">
        <v>162</v>
      </c>
      <c r="E1" s="41" t="s">
        <v>163</v>
      </c>
      <c r="F1" s="41" t="s">
        <v>164</v>
      </c>
      <c r="G1" s="26"/>
      <c r="H1" s="21" t="s">
        <v>165</v>
      </c>
      <c r="K1" s="26" t="s">
        <v>163</v>
      </c>
      <c r="L1" s="21" t="s">
        <v>166</v>
      </c>
      <c r="N1" s="26" t="s">
        <v>164</v>
      </c>
      <c r="O1" s="26"/>
      <c r="P1" s="21" t="s">
        <v>167</v>
      </c>
      <c r="X1" s="39" t="s">
        <v>168</v>
      </c>
      <c r="Y1" s="39" t="s">
        <v>169</v>
      </c>
      <c r="AA1" s="21" t="s">
        <v>170</v>
      </c>
      <c r="AF1" s="87" t="s">
        <v>257</v>
      </c>
      <c r="AG1" s="88"/>
      <c r="AH1" s="88"/>
      <c r="AI1" s="88"/>
      <c r="AJ1" s="88"/>
      <c r="AK1" s="88"/>
      <c r="AL1" s="88"/>
      <c r="AM1" s="88"/>
      <c r="AN1" s="88"/>
      <c r="AO1" s="89"/>
      <c r="AQ1" s="20" t="s">
        <v>138</v>
      </c>
      <c r="AT1" t="s">
        <v>146</v>
      </c>
      <c r="AU1">
        <f>MATCH("COUNTY*",'Employee Details'!$A$4:$AP$4,0)+1</f>
        <v>43</v>
      </c>
      <c r="AV1" s="21" t="s">
        <v>147</v>
      </c>
      <c r="AY1" s="22"/>
      <c r="AZ1" s="21" t="s">
        <v>154</v>
      </c>
      <c r="BD1" s="90" t="s">
        <v>237</v>
      </c>
      <c r="BE1" s="91"/>
      <c r="BF1" s="91"/>
      <c r="BG1" s="91"/>
      <c r="BH1" s="91"/>
      <c r="BI1" s="91"/>
      <c r="BJ1" s="91"/>
      <c r="BK1" s="91"/>
      <c r="BL1" s="91"/>
      <c r="BM1" s="91"/>
      <c r="BN1" s="92"/>
      <c r="BU1" s="25"/>
      <c r="BV1" s="46"/>
      <c r="BW1" s="21" t="s">
        <v>270</v>
      </c>
      <c r="CA1" s="47" t="s">
        <v>272</v>
      </c>
      <c r="CB1" s="47" t="s">
        <v>273</v>
      </c>
      <c r="CC1" s="47" t="s">
        <v>274</v>
      </c>
      <c r="CD1" s="47" t="s">
        <v>275</v>
      </c>
      <c r="CE1" s="47" t="s">
        <v>276</v>
      </c>
      <c r="CF1" s="47" t="s">
        <v>277</v>
      </c>
      <c r="CH1" s="48" t="s">
        <v>278</v>
      </c>
      <c r="CK1" t="s">
        <v>287</v>
      </c>
      <c r="CL1">
        <f>IF(ISERROR(MATCH(CK1,'Employee Details'!$4:$4,0)),0,MATCH(CK1,'Employee Details'!$4:$4,0))</f>
        <v>52</v>
      </c>
      <c r="CM1" t="s">
        <v>280</v>
      </c>
      <c r="CO1" s="48" t="s">
        <v>288</v>
      </c>
      <c r="DE1" s="23" t="s">
        <v>153</v>
      </c>
      <c r="DJ1" t="s">
        <v>230</v>
      </c>
      <c r="DK1" t="s">
        <v>3</v>
      </c>
      <c r="DL1" t="s">
        <v>268</v>
      </c>
      <c r="DM1" t="s">
        <v>2343</v>
      </c>
      <c r="DN1" t="s">
        <v>2241</v>
      </c>
      <c r="DO1" t="s">
        <v>241</v>
      </c>
      <c r="DP1" t="s">
        <v>2242</v>
      </c>
      <c r="DQ1" t="s">
        <v>2243</v>
      </c>
      <c r="DR1" t="s">
        <v>2244</v>
      </c>
      <c r="DS1" t="s">
        <v>2237</v>
      </c>
      <c r="DT1" t="s">
        <v>2239</v>
      </c>
      <c r="DU1" t="s">
        <v>2238</v>
      </c>
      <c r="DV1" t="s">
        <v>2245</v>
      </c>
      <c r="DW1" t="s">
        <v>2246</v>
      </c>
    </row>
    <row ht="39.5" r="2" spans="1:127" thickBot="1" x14ac:dyDescent="0.4">
      <c r="A2" s="50" t="s">
        <v>173</v>
      </c>
      <c r="E2" t="s">
        <v>171</v>
      </c>
      <c r="F2" t="s">
        <v>301</v>
      </c>
      <c r="G2" s="28"/>
      <c r="K2" s="29"/>
      <c r="O2" s="28"/>
      <c r="P2" s="21" t="s">
        <v>172</v>
      </c>
      <c r="X2" s="40"/>
      <c r="Y2" s="40"/>
      <c r="AF2" s="43" t="s">
        <v>29</v>
      </c>
      <c r="AG2" s="43" t="s">
        <v>2285</v>
      </c>
      <c r="AH2" s="43" t="s">
        <v>31</v>
      </c>
      <c r="AI2" s="43" t="s">
        <v>2286</v>
      </c>
      <c r="AJ2" s="43" t="s">
        <v>33</v>
      </c>
      <c r="AK2" s="43" t="s">
        <v>2287</v>
      </c>
      <c r="AL2" s="43" t="s">
        <v>2354</v>
      </c>
      <c r="AM2" s="43" t="s">
        <v>2345</v>
      </c>
      <c r="AN2" s="43" t="s">
        <v>2288</v>
      </c>
      <c r="AO2" s="43" t="s">
        <v>2289</v>
      </c>
      <c r="AQ2" s="21" t="s">
        <v>139</v>
      </c>
      <c r="AT2" t="s">
        <v>144</v>
      </c>
      <c r="AU2">
        <f>Col_Heading+1</f>
        <v>5</v>
      </c>
      <c r="AV2" s="21" t="s">
        <v>148</v>
      </c>
      <c r="BD2" s="35" t="s">
        <v>63</v>
      </c>
      <c r="BE2" s="36" t="s">
        <v>156</v>
      </c>
      <c r="BF2" s="36" t="s">
        <v>136</v>
      </c>
      <c r="BG2" s="36" t="s">
        <v>157</v>
      </c>
      <c r="BH2" s="36" t="s">
        <v>137</v>
      </c>
      <c r="BI2" s="36" t="s">
        <v>158</v>
      </c>
      <c r="BJ2" s="36" t="s">
        <v>159</v>
      </c>
      <c r="BK2" s="37" t="s">
        <v>2346</v>
      </c>
      <c r="BL2" s="36" t="s">
        <v>160</v>
      </c>
      <c r="BM2" s="36" t="s">
        <v>161</v>
      </c>
      <c r="BN2" s="38" t="s">
        <v>231</v>
      </c>
      <c r="BU2" s="34"/>
      <c r="BV2" s="34"/>
      <c r="BW2" s="21" t="s">
        <v>271</v>
      </c>
      <c r="CA2" t="s">
        <v>279</v>
      </c>
      <c r="CB2">
        <f>MATCH(CA2,'Employee Details'!$4:$4,0)</f>
        <v>7</v>
      </c>
      <c r="CC2" t="s">
        <v>280</v>
      </c>
      <c r="CD2" t="s">
        <v>281</v>
      </c>
      <c r="DE2" s="24" t="s">
        <v>152</v>
      </c>
      <c r="DJ2" t="s">
        <v>2357</v>
      </c>
      <c r="DK2" t="s">
        <v>2362</v>
      </c>
      <c r="DL2" t="s">
        <v>2247</v>
      </c>
      <c r="DM2" t="s">
        <v>2248</v>
      </c>
      <c r="DN2" t="s">
        <v>2249</v>
      </c>
      <c r="DO2" t="s">
        <v>2250</v>
      </c>
      <c r="DP2" t="s">
        <v>2251</v>
      </c>
      <c r="DQ2" t="s">
        <v>2252</v>
      </c>
      <c r="DR2" t="s">
        <v>2253</v>
      </c>
      <c r="DS2" t="s">
        <v>2254</v>
      </c>
      <c r="DT2" t="s">
        <v>2255</v>
      </c>
      <c r="DU2" t="s">
        <v>2256</v>
      </c>
      <c r="DV2" t="s">
        <v>2257</v>
      </c>
      <c r="DW2" t="s">
        <v>2248</v>
      </c>
    </row>
    <row r="3" spans="1:127" x14ac:dyDescent="0.35">
      <c r="A3" s="50" t="s">
        <v>175</v>
      </c>
      <c r="E3" t="s">
        <v>171</v>
      </c>
      <c r="F3" t="s">
        <v>302</v>
      </c>
      <c r="G3" s="28"/>
      <c r="K3" s="30"/>
      <c r="O3" s="28"/>
      <c r="P3" s="21" t="s">
        <v>174</v>
      </c>
      <c r="X3" s="40"/>
      <c r="Y3" s="40"/>
      <c r="AF3" s="34"/>
      <c r="AG3" s="34"/>
      <c r="AH3" s="34"/>
      <c r="AI3" s="34"/>
      <c r="AJ3" s="34"/>
      <c r="AK3" s="44"/>
      <c r="AL3" s="34"/>
      <c r="AM3" s="34"/>
      <c r="AN3" s="33"/>
      <c r="AO3" s="33"/>
      <c r="AQ3" s="21" t="s">
        <v>258</v>
      </c>
      <c r="AT3" t="s">
        <v>145</v>
      </c>
      <c r="AU3">
        <v>4</v>
      </c>
      <c r="AV3" s="21" t="s">
        <v>149</v>
      </c>
      <c r="BD3" s="34"/>
      <c r="BE3" s="34"/>
      <c r="BF3" s="34"/>
      <c r="BG3" s="34"/>
      <c r="BH3" s="34"/>
      <c r="BI3" s="44"/>
      <c r="BJ3" s="34"/>
      <c r="BK3" s="34"/>
      <c r="BL3" s="33"/>
      <c r="BM3" s="33"/>
      <c r="BN3" s="33"/>
      <c r="CA3" t="s">
        <v>282</v>
      </c>
      <c r="CB3">
        <f>MATCH(CA3,'Employee Details'!$4:$4,0)</f>
        <v>13</v>
      </c>
      <c r="CC3" t="s">
        <v>280</v>
      </c>
      <c r="CD3" t="s">
        <v>281</v>
      </c>
      <c r="CK3" t="s">
        <v>260</v>
      </c>
      <c r="CL3">
        <f>IF(ISERROR(MATCH(CK3,'Employee Details'!$4:$4,0)),0,MATCH(CK3,'Employee Details'!$4:$4,0))</f>
        <v>47</v>
      </c>
      <c r="CO3" s="48" t="s">
        <v>292</v>
      </c>
      <c r="DJ3" t="s">
        <v>2358</v>
      </c>
      <c r="DK3" t="s">
        <v>2363</v>
      </c>
      <c r="DL3" t="s">
        <v>2258</v>
      </c>
      <c r="DM3" t="s">
        <v>2259</v>
      </c>
      <c r="DN3" t="s">
        <v>2260</v>
      </c>
      <c r="DO3" t="s">
        <v>2261</v>
      </c>
      <c r="DP3" t="s">
        <v>2262</v>
      </c>
      <c r="DQ3" t="s">
        <v>2263</v>
      </c>
      <c r="DR3" t="s">
        <v>2264</v>
      </c>
      <c r="DS3" t="s">
        <v>2265</v>
      </c>
      <c r="DT3" t="s">
        <v>2266</v>
      </c>
      <c r="DU3" t="s">
        <v>2267</v>
      </c>
      <c r="DV3" t="s">
        <v>2268</v>
      </c>
      <c r="DW3" t="s">
        <v>2269</v>
      </c>
    </row>
    <row r="4" spans="1:127" x14ac:dyDescent="0.35">
      <c r="A4" s="50" t="s">
        <v>293</v>
      </c>
      <c r="E4" t="s">
        <v>171</v>
      </c>
      <c r="F4" t="s">
        <v>303</v>
      </c>
      <c r="G4" s="28"/>
      <c r="K4" s="27"/>
      <c r="O4" s="28"/>
      <c r="X4" s="40"/>
      <c r="Y4" s="40"/>
      <c r="AT4" t="s">
        <v>151</v>
      </c>
      <c r="AU4">
        <f>Col_Heading-1</f>
        <v>3</v>
      </c>
      <c r="AV4" s="21" t="s">
        <v>150</v>
      </c>
      <c r="CA4" t="s">
        <v>240</v>
      </c>
      <c r="CB4">
        <f>MATCH(CA4,'Employee Details'!$4:$4,0)</f>
        <v>14</v>
      </c>
      <c r="CC4" t="s">
        <v>280</v>
      </c>
      <c r="CD4" t="s">
        <v>281</v>
      </c>
      <c r="DJ4" t="s">
        <v>2359</v>
      </c>
      <c r="DK4" t="s">
        <v>2270</v>
      </c>
      <c r="DL4" t="s">
        <v>76</v>
      </c>
      <c r="DO4" t="s">
        <v>2271</v>
      </c>
      <c r="DP4" t="s">
        <v>2272</v>
      </c>
      <c r="DR4" t="s">
        <v>2273</v>
      </c>
      <c r="DV4" t="s">
        <v>2274</v>
      </c>
    </row>
    <row r="5" spans="1:127" x14ac:dyDescent="0.35">
      <c r="A5" s="50" t="s">
        <v>177</v>
      </c>
      <c r="E5" t="s">
        <v>171</v>
      </c>
      <c r="F5" t="s">
        <v>304</v>
      </c>
      <c r="G5" s="28"/>
      <c r="K5" s="27"/>
      <c r="O5" s="28"/>
      <c r="X5" s="40"/>
      <c r="Y5" s="40"/>
      <c r="AT5" t="s">
        <v>225</v>
      </c>
      <c r="AU5">
        <f>MATCH("State(Abbreviation)*",'Employee Details'!$A$4:$AP$4,0)</f>
        <v>41</v>
      </c>
      <c r="AV5" s="21" t="s">
        <v>226</v>
      </c>
      <c r="CA5" t="s">
        <v>13</v>
      </c>
      <c r="CB5">
        <v>20</v>
      </c>
      <c r="CC5" s="49" t="s">
        <v>283</v>
      </c>
      <c r="CD5" t="s">
        <v>284</v>
      </c>
      <c r="CE5" t="s">
        <v>285</v>
      </c>
      <c r="CF5">
        <v>10</v>
      </c>
      <c r="DJ5" t="s">
        <v>2360</v>
      </c>
      <c r="DK5" t="s">
        <v>2275</v>
      </c>
      <c r="DL5" t="s">
        <v>2378</v>
      </c>
      <c r="DO5" t="s">
        <v>2276</v>
      </c>
      <c r="DR5" t="s">
        <v>2277</v>
      </c>
      <c r="DV5" t="s">
        <v>2278</v>
      </c>
    </row>
    <row r="6" spans="1:127" x14ac:dyDescent="0.35">
      <c r="A6" s="50" t="s">
        <v>178</v>
      </c>
      <c r="E6" t="s">
        <v>171</v>
      </c>
      <c r="F6" t="s">
        <v>305</v>
      </c>
      <c r="G6" s="28"/>
      <c r="K6" s="27"/>
      <c r="O6" s="28"/>
      <c r="X6" s="40"/>
      <c r="Y6" s="40"/>
      <c r="AT6" t="s">
        <v>227</v>
      </c>
      <c r="AV6" s="21" t="s">
        <v>176</v>
      </c>
      <c r="CA6" t="s">
        <v>2350</v>
      </c>
      <c r="CB6">
        <f>MATCH(CA6,'Employee Details'!$4:$4,0)</f>
        <v>22</v>
      </c>
      <c r="CC6" t="s">
        <v>286</v>
      </c>
      <c r="CD6" t="s">
        <v>284</v>
      </c>
      <c r="CE6" t="s">
        <v>285</v>
      </c>
      <c r="CF6">
        <v>2</v>
      </c>
      <c r="DJ6" t="s">
        <v>2361</v>
      </c>
      <c r="DK6" t="s">
        <v>2279</v>
      </c>
      <c r="DO6" t="s">
        <v>2280</v>
      </c>
    </row>
    <row r="7" spans="1:127" x14ac:dyDescent="0.35">
      <c r="A7" s="50" t="s">
        <v>179</v>
      </c>
      <c r="E7" t="s">
        <v>171</v>
      </c>
      <c r="F7" t="s">
        <v>306</v>
      </c>
      <c r="G7" s="28"/>
      <c r="K7" s="27"/>
      <c r="O7" s="28"/>
      <c r="X7" s="40"/>
      <c r="Y7" s="40"/>
      <c r="AT7" t="s">
        <v>234</v>
      </c>
      <c r="AU7" t="e">
        <f>MATCH("Employment Type I*",'Employee Details'!$A$4:$AP$4,0)</f>
        <v>#N/A</v>
      </c>
      <c r="AV7" s="21" t="s">
        <v>233</v>
      </c>
      <c r="CA7" t="s">
        <v>2349</v>
      </c>
      <c r="CB7">
        <f>MATCH(CA7,'Employee Details'!$4:$4,0)</f>
        <v>23</v>
      </c>
      <c r="CC7" t="s">
        <v>286</v>
      </c>
      <c r="CD7" t="s">
        <v>284</v>
      </c>
      <c r="CE7" t="s">
        <v>285</v>
      </c>
      <c r="CF7">
        <v>5</v>
      </c>
      <c r="DK7" t="s">
        <v>2284</v>
      </c>
    </row>
    <row r="8" spans="1:127" x14ac:dyDescent="0.35">
      <c r="A8" s="50" t="s">
        <v>180</v>
      </c>
      <c r="E8" t="s">
        <v>171</v>
      </c>
      <c r="F8" t="s">
        <v>307</v>
      </c>
      <c r="G8" s="28"/>
      <c r="K8" s="27"/>
      <c r="O8" s="28"/>
      <c r="X8" s="40"/>
      <c r="Y8" s="40"/>
      <c r="AT8" t="s">
        <v>235</v>
      </c>
      <c r="AU8">
        <v>1100</v>
      </c>
      <c r="AV8" s="21" t="s">
        <v>236</v>
      </c>
      <c r="CA8" t="s">
        <v>22</v>
      </c>
      <c r="CB8">
        <f>MATCH(CA8,'Employee Details'!$4:$4,0)</f>
        <v>36</v>
      </c>
      <c r="CC8" t="s">
        <v>286</v>
      </c>
      <c r="CD8" t="s">
        <v>2342</v>
      </c>
      <c r="CE8" t="s">
        <v>285</v>
      </c>
      <c r="CF8">
        <v>10</v>
      </c>
    </row>
    <row r="9" spans="1:127" x14ac:dyDescent="0.35">
      <c r="A9" s="50" t="s">
        <v>181</v>
      </c>
      <c r="E9" t="s">
        <v>171</v>
      </c>
      <c r="F9" t="s">
        <v>308</v>
      </c>
      <c r="G9" s="28"/>
      <c r="K9" s="27"/>
      <c r="O9" s="28"/>
      <c r="X9" s="40"/>
      <c r="Y9" s="40"/>
      <c r="AT9" t="s">
        <v>238</v>
      </c>
      <c r="AU9" t="e">
        <f>MATCH("Others (Employment-Type I)*",'Employee Details'!$A$4:$AP$4,0)</f>
        <v>#N/A</v>
      </c>
      <c r="AV9" s="21" t="s">
        <v>239</v>
      </c>
    </row>
    <row r="10" spans="1:127" x14ac:dyDescent="0.35">
      <c r="A10" s="50" t="s">
        <v>182</v>
      </c>
      <c r="E10" t="s">
        <v>171</v>
      </c>
      <c r="F10" t="s">
        <v>309</v>
      </c>
      <c r="G10" s="28"/>
      <c r="K10" s="27"/>
      <c r="O10" s="28"/>
      <c r="X10" s="40"/>
      <c r="Y10" s="40"/>
      <c r="AT10" t="s">
        <v>242</v>
      </c>
      <c r="AU10">
        <f>MATCH("Employment
Status*",'Employee Details'!$A$4:$AP$4,0)</f>
        <v>12</v>
      </c>
      <c r="AV10" s="21" t="s">
        <v>245</v>
      </c>
    </row>
    <row r="11" spans="1:127" x14ac:dyDescent="0.35">
      <c r="A11" s="50" t="s">
        <v>183</v>
      </c>
      <c r="E11" t="s">
        <v>171</v>
      </c>
      <c r="F11" t="s">
        <v>310</v>
      </c>
      <c r="G11" s="28"/>
      <c r="K11" s="27"/>
      <c r="O11" s="28"/>
      <c r="X11" s="40"/>
      <c r="Y11" s="40"/>
      <c r="AT11" t="s">
        <v>243</v>
      </c>
      <c r="AU11">
        <f>MATCH("Termination Date",'Employee Details'!$A$4:$AP$4,0)</f>
        <v>14</v>
      </c>
      <c r="AV11" s="21" t="s">
        <v>246</v>
      </c>
    </row>
    <row r="12" spans="1:127" x14ac:dyDescent="0.35">
      <c r="A12" s="50" t="s">
        <v>294</v>
      </c>
      <c r="E12" t="s">
        <v>171</v>
      </c>
      <c r="F12" t="s">
        <v>311</v>
      </c>
      <c r="G12" s="28"/>
      <c r="K12" s="27"/>
      <c r="O12" s="28"/>
      <c r="X12" s="40"/>
      <c r="Y12" s="40"/>
      <c r="AT12" s="45" t="s">
        <v>244</v>
      </c>
      <c r="AU12" s="45" t="s">
        <v>269</v>
      </c>
      <c r="AV12" s="21" t="s">
        <v>247</v>
      </c>
    </row>
    <row r="13" spans="1:127" x14ac:dyDescent="0.35">
      <c r="A13" s="50" t="s">
        <v>184</v>
      </c>
      <c r="E13" t="s">
        <v>171</v>
      </c>
      <c r="F13" t="s">
        <v>312</v>
      </c>
      <c r="G13" s="28"/>
      <c r="K13" s="27"/>
      <c r="O13" s="28"/>
      <c r="X13" s="40"/>
      <c r="Y13" s="40"/>
      <c r="AT13" t="s">
        <v>241</v>
      </c>
      <c r="AU13">
        <f>MATCH("Termination Reason",'Employee Details'!$A$4:$AP$4,0)</f>
        <v>15</v>
      </c>
      <c r="AV13" s="21" t="s">
        <v>248</v>
      </c>
    </row>
    <row r="14" spans="1:127" x14ac:dyDescent="0.35">
      <c r="A14" s="50" t="s">
        <v>295</v>
      </c>
      <c r="E14" t="s">
        <v>171</v>
      </c>
      <c r="F14" t="s">
        <v>313</v>
      </c>
      <c r="G14" s="28"/>
      <c r="K14" s="31"/>
      <c r="O14" s="28"/>
      <c r="X14" s="40"/>
      <c r="Y14" s="40"/>
      <c r="AT14" t="s">
        <v>2350</v>
      </c>
      <c r="AU14">
        <f>MATCH("Working Hours per Week(Digits)**",'Employee Details'!$A$4:$AP$4,0)</f>
        <v>22</v>
      </c>
      <c r="AV14" s="21" t="s">
        <v>249</v>
      </c>
    </row>
    <row r="15" spans="1:127" x14ac:dyDescent="0.35">
      <c r="A15" s="50" t="s">
        <v>185</v>
      </c>
      <c r="E15" t="s">
        <v>171</v>
      </c>
      <c r="F15" t="s">
        <v>314</v>
      </c>
      <c r="G15" s="28"/>
      <c r="K15" s="27"/>
      <c r="O15" s="28"/>
      <c r="X15" s="40"/>
      <c r="Y15" s="40"/>
      <c r="AT15" t="s">
        <v>250</v>
      </c>
      <c r="AU15">
        <f>MATCH("COUNTY*",'Employee Details'!$A$4:$AP$4,0)</f>
        <v>42</v>
      </c>
      <c r="AV15" s="21" t="s">
        <v>251</v>
      </c>
    </row>
    <row r="16" spans="1:127" x14ac:dyDescent="0.35">
      <c r="A16" s="50" t="s">
        <v>186</v>
      </c>
      <c r="E16" t="s">
        <v>171</v>
      </c>
      <c r="F16" t="s">
        <v>315</v>
      </c>
      <c r="G16" s="28"/>
      <c r="K16" s="27"/>
      <c r="O16" s="28"/>
      <c r="X16" s="40"/>
      <c r="Y16" s="40"/>
      <c r="AT16" t="s">
        <v>253</v>
      </c>
      <c r="AU16">
        <f>MATCH("Pay Type*",'Employee Details'!$A$4:$AP$4,0)</f>
        <v>18</v>
      </c>
      <c r="AV16" s="21" t="s">
        <v>256</v>
      </c>
    </row>
    <row r="17" spans="1:48" x14ac:dyDescent="0.35">
      <c r="A17" s="50" t="s">
        <v>187</v>
      </c>
      <c r="E17" t="s">
        <v>171</v>
      </c>
      <c r="F17" t="s">
        <v>316</v>
      </c>
      <c r="G17" s="28"/>
      <c r="O17" s="28"/>
      <c r="X17" s="40"/>
      <c r="Y17" s="40"/>
      <c r="AT17" t="s">
        <v>254</v>
      </c>
      <c r="AU17" t="e">
        <f>MATCH("Pay Frequency*",'Employee Details'!$A$4:$AP$4,0)</f>
        <v>#N/A</v>
      </c>
      <c r="AV17" s="21" t="s">
        <v>255</v>
      </c>
    </row>
    <row r="18" spans="1:48" x14ac:dyDescent="0.35">
      <c r="A18" s="50" t="s">
        <v>188</v>
      </c>
      <c r="E18" t="s">
        <v>171</v>
      </c>
      <c r="F18" t="s">
        <v>317</v>
      </c>
      <c r="G18" s="28"/>
      <c r="O18" s="28"/>
      <c r="X18" s="40"/>
      <c r="Y18" s="40"/>
      <c r="AT18" t="s">
        <v>261</v>
      </c>
      <c r="AU18" t="s">
        <v>260</v>
      </c>
      <c r="AV18" s="21" t="s">
        <v>262</v>
      </c>
    </row>
    <row r="19" spans="1:48" x14ac:dyDescent="0.35">
      <c r="A19" s="50" t="s">
        <v>189</v>
      </c>
      <c r="E19" t="s">
        <v>171</v>
      </c>
      <c r="F19" t="s">
        <v>318</v>
      </c>
      <c r="G19" s="28"/>
      <c r="O19" s="28"/>
      <c r="X19" s="40"/>
      <c r="Y19" s="40"/>
      <c r="AT19" t="s">
        <v>289</v>
      </c>
      <c r="AU19">
        <f>MATCH("Employee SSN",'Employee Details'!$A$4:$AP$4,0)</f>
        <v>9</v>
      </c>
      <c r="AV19" s="21" t="s">
        <v>290</v>
      </c>
    </row>
    <row r="20" spans="1:48" x14ac:dyDescent="0.35">
      <c r="A20" s="50" t="s">
        <v>190</v>
      </c>
      <c r="E20" t="s">
        <v>171</v>
      </c>
      <c r="F20" t="s">
        <v>319</v>
      </c>
      <c r="G20" s="28"/>
      <c r="O20" s="28"/>
      <c r="X20" s="40"/>
      <c r="Y20" s="40"/>
      <c r="AT20" t="s">
        <v>2350</v>
      </c>
      <c r="AU20">
        <f>MATCH("Hourly Pay Rate**",'Employee Details'!$A$4:$AP$4,0)</f>
        <v>23</v>
      </c>
      <c r="AV20" s="21" t="s">
        <v>291</v>
      </c>
    </row>
    <row r="21" spans="1:48" x14ac:dyDescent="0.35">
      <c r="A21" s="50" t="s">
        <v>191</v>
      </c>
      <c r="E21" t="s">
        <v>171</v>
      </c>
      <c r="F21" t="s">
        <v>320</v>
      </c>
      <c r="G21" s="28"/>
      <c r="O21" s="28"/>
      <c r="X21" s="40"/>
      <c r="Y21" s="40"/>
      <c r="AT21" t="s">
        <v>2382</v>
      </c>
      <c r="AU21" t="s">
        <v>2383</v>
      </c>
      <c r="AV21" t="s">
        <v>2384</v>
      </c>
    </row>
    <row r="22" spans="1:48" x14ac:dyDescent="0.35">
      <c r="A22" s="50" t="s">
        <v>192</v>
      </c>
      <c r="E22" t="s">
        <v>171</v>
      </c>
      <c r="F22" t="s">
        <v>321</v>
      </c>
      <c r="G22" s="28"/>
      <c r="O22" s="28"/>
      <c r="X22" s="40"/>
      <c r="Y22" s="40"/>
    </row>
    <row r="23" spans="1:48" x14ac:dyDescent="0.35">
      <c r="A23" s="50" t="s">
        <v>193</v>
      </c>
      <c r="E23" t="s">
        <v>171</v>
      </c>
      <c r="F23" t="s">
        <v>322</v>
      </c>
      <c r="G23" s="28"/>
      <c r="O23" s="28"/>
      <c r="X23" s="40"/>
      <c r="Y23" s="40"/>
    </row>
    <row r="24" spans="1:48" x14ac:dyDescent="0.35">
      <c r="A24" s="50" t="s">
        <v>194</v>
      </c>
      <c r="E24" t="s">
        <v>171</v>
      </c>
      <c r="F24" t="s">
        <v>323</v>
      </c>
      <c r="G24" s="28"/>
      <c r="O24" s="28"/>
      <c r="X24" s="40"/>
      <c r="Y24" s="40"/>
    </row>
    <row r="25" spans="1:48" x14ac:dyDescent="0.35">
      <c r="A25" s="50" t="s">
        <v>195</v>
      </c>
      <c r="E25" t="s">
        <v>171</v>
      </c>
      <c r="F25" t="s">
        <v>324</v>
      </c>
      <c r="G25" s="28"/>
      <c r="O25" s="28"/>
      <c r="X25" s="40"/>
      <c r="Y25" s="40"/>
    </row>
    <row r="26" spans="1:48" x14ac:dyDescent="0.35">
      <c r="A26" s="50" t="s">
        <v>296</v>
      </c>
      <c r="E26" t="s">
        <v>171</v>
      </c>
      <c r="F26" t="s">
        <v>325</v>
      </c>
      <c r="G26" s="28"/>
      <c r="O26" s="28"/>
      <c r="X26" s="40"/>
      <c r="Y26" s="40"/>
    </row>
    <row r="27" spans="1:48" x14ac:dyDescent="0.35">
      <c r="A27" s="50" t="s">
        <v>196</v>
      </c>
      <c r="E27" t="s">
        <v>171</v>
      </c>
      <c r="F27" t="s">
        <v>326</v>
      </c>
      <c r="G27" s="28"/>
      <c r="O27" s="28"/>
      <c r="X27" s="40"/>
      <c r="Y27" s="40"/>
    </row>
    <row r="28" spans="1:48" x14ac:dyDescent="0.35">
      <c r="A28" s="50" t="s">
        <v>197</v>
      </c>
      <c r="E28" t="s">
        <v>171</v>
      </c>
      <c r="F28" t="s">
        <v>327</v>
      </c>
      <c r="G28" s="28"/>
      <c r="O28" s="28"/>
      <c r="X28" s="40"/>
      <c r="Y28" s="40"/>
    </row>
    <row r="29" spans="1:48" x14ac:dyDescent="0.35">
      <c r="A29" s="50" t="s">
        <v>198</v>
      </c>
      <c r="E29" t="s">
        <v>171</v>
      </c>
      <c r="F29" t="s">
        <v>328</v>
      </c>
      <c r="G29" s="28"/>
      <c r="O29" s="28"/>
      <c r="X29" s="40"/>
      <c r="Y29" s="40"/>
    </row>
    <row r="30" spans="1:48" x14ac:dyDescent="0.35">
      <c r="A30" s="50" t="s">
        <v>297</v>
      </c>
      <c r="E30" t="s">
        <v>171</v>
      </c>
      <c r="F30" t="s">
        <v>329</v>
      </c>
      <c r="G30" s="28"/>
      <c r="O30" s="28"/>
      <c r="X30" s="40"/>
      <c r="Y30" s="40"/>
    </row>
    <row r="31" spans="1:48" x14ac:dyDescent="0.35">
      <c r="A31" s="50" t="s">
        <v>199</v>
      </c>
      <c r="E31" t="s">
        <v>173</v>
      </c>
      <c r="F31" t="s">
        <v>330</v>
      </c>
      <c r="G31" s="28"/>
      <c r="O31" s="28"/>
      <c r="X31" s="40"/>
      <c r="Y31" s="40"/>
    </row>
    <row r="32" spans="1:48" x14ac:dyDescent="0.35">
      <c r="A32" s="50" t="s">
        <v>200</v>
      </c>
      <c r="E32" t="s">
        <v>173</v>
      </c>
      <c r="F32" t="s">
        <v>331</v>
      </c>
      <c r="G32" s="28"/>
      <c r="O32" s="28"/>
      <c r="X32" s="40"/>
      <c r="Y32" s="40"/>
    </row>
    <row r="33" spans="1:25" x14ac:dyDescent="0.35">
      <c r="A33" s="50" t="s">
        <v>201</v>
      </c>
      <c r="E33" t="s">
        <v>173</v>
      </c>
      <c r="F33" t="s">
        <v>332</v>
      </c>
      <c r="G33" s="28"/>
      <c r="O33" s="28"/>
      <c r="X33" s="40"/>
      <c r="Y33" s="40"/>
    </row>
    <row r="34" spans="1:25" x14ac:dyDescent="0.35">
      <c r="A34" s="50" t="s">
        <v>202</v>
      </c>
      <c r="E34" t="s">
        <v>173</v>
      </c>
      <c r="F34" t="s">
        <v>333</v>
      </c>
      <c r="G34" s="28"/>
      <c r="O34" s="28"/>
      <c r="X34" s="40"/>
      <c r="Y34" s="40"/>
    </row>
    <row r="35" spans="1:25" x14ac:dyDescent="0.35">
      <c r="A35" s="50" t="s">
        <v>203</v>
      </c>
      <c r="E35" t="s">
        <v>173</v>
      </c>
      <c r="F35" t="s">
        <v>334</v>
      </c>
      <c r="G35" s="28"/>
      <c r="O35" s="28"/>
      <c r="X35" s="40"/>
      <c r="Y35" s="40"/>
    </row>
    <row r="36" spans="1:25" x14ac:dyDescent="0.35">
      <c r="A36" s="50" t="s">
        <v>204</v>
      </c>
      <c r="E36" t="s">
        <v>173</v>
      </c>
      <c r="F36" t="s">
        <v>335</v>
      </c>
      <c r="G36" s="28"/>
      <c r="O36" s="28"/>
      <c r="X36" s="40"/>
      <c r="Y36" s="40"/>
    </row>
    <row r="37" spans="1:25" x14ac:dyDescent="0.35">
      <c r="A37" s="50" t="s">
        <v>205</v>
      </c>
      <c r="E37" t="s">
        <v>173</v>
      </c>
      <c r="F37" t="s">
        <v>336</v>
      </c>
      <c r="G37" s="28"/>
      <c r="O37" s="28"/>
      <c r="X37" s="40"/>
      <c r="Y37" s="40"/>
    </row>
    <row r="38" spans="1:25" x14ac:dyDescent="0.35">
      <c r="A38" s="50" t="s">
        <v>206</v>
      </c>
      <c r="E38" t="s">
        <v>173</v>
      </c>
      <c r="F38" t="s">
        <v>337</v>
      </c>
      <c r="G38" s="28"/>
      <c r="O38" s="28"/>
      <c r="X38" s="40"/>
      <c r="Y38" s="40"/>
    </row>
    <row r="39" spans="1:25" x14ac:dyDescent="0.35">
      <c r="A39" s="50" t="s">
        <v>207</v>
      </c>
      <c r="E39" t="s">
        <v>173</v>
      </c>
      <c r="F39" t="s">
        <v>338</v>
      </c>
      <c r="G39" s="28"/>
      <c r="O39" s="28"/>
      <c r="X39" s="40"/>
      <c r="Y39" s="40"/>
    </row>
    <row r="40" spans="1:25" x14ac:dyDescent="0.35">
      <c r="A40" s="50" t="s">
        <v>208</v>
      </c>
      <c r="E40" t="s">
        <v>173</v>
      </c>
      <c r="F40" t="s">
        <v>339</v>
      </c>
      <c r="G40" s="28"/>
      <c r="O40" s="28"/>
      <c r="X40" s="40"/>
      <c r="Y40" s="40"/>
    </row>
    <row r="41" spans="1:25" x14ac:dyDescent="0.35">
      <c r="A41" s="50" t="s">
        <v>209</v>
      </c>
      <c r="E41" t="s">
        <v>173</v>
      </c>
      <c r="F41" t="s">
        <v>340</v>
      </c>
      <c r="G41" s="28"/>
      <c r="O41" s="28"/>
      <c r="X41" s="40"/>
      <c r="Y41" s="40"/>
    </row>
    <row r="42" spans="1:25" x14ac:dyDescent="0.35">
      <c r="A42" s="50" t="s">
        <v>210</v>
      </c>
      <c r="E42" t="s">
        <v>173</v>
      </c>
      <c r="F42" t="s">
        <v>341</v>
      </c>
      <c r="G42" s="28"/>
      <c r="O42" s="28"/>
      <c r="X42" s="40"/>
      <c r="Y42" s="40"/>
    </row>
    <row r="43" spans="1:25" x14ac:dyDescent="0.35">
      <c r="A43" s="50" t="s">
        <v>211</v>
      </c>
      <c r="E43" t="s">
        <v>173</v>
      </c>
      <c r="F43" t="s">
        <v>342</v>
      </c>
      <c r="G43" s="28"/>
      <c r="O43" s="28"/>
      <c r="X43" s="40"/>
      <c r="Y43" s="40"/>
    </row>
    <row r="44" spans="1:25" x14ac:dyDescent="0.35">
      <c r="A44" s="50" t="s">
        <v>212</v>
      </c>
      <c r="E44" t="s">
        <v>173</v>
      </c>
      <c r="F44" t="s">
        <v>343</v>
      </c>
      <c r="G44" s="28"/>
      <c r="O44" s="28"/>
      <c r="X44" s="40"/>
      <c r="Y44" s="40"/>
    </row>
    <row r="45" spans="1:25" x14ac:dyDescent="0.35">
      <c r="A45" s="50" t="s">
        <v>298</v>
      </c>
      <c r="E45" t="s">
        <v>173</v>
      </c>
      <c r="F45" t="s">
        <v>344</v>
      </c>
      <c r="G45" s="28"/>
      <c r="O45" s="28"/>
      <c r="X45" s="40"/>
      <c r="Y45" s="40"/>
    </row>
    <row r="46" spans="1:25" x14ac:dyDescent="0.35">
      <c r="A46" s="50" t="s">
        <v>299</v>
      </c>
      <c r="E46" t="s">
        <v>173</v>
      </c>
      <c r="F46" t="s">
        <v>345</v>
      </c>
      <c r="G46" s="28"/>
      <c r="O46" s="28"/>
      <c r="X46" s="40"/>
      <c r="Y46" s="40"/>
    </row>
    <row r="47" spans="1:25" x14ac:dyDescent="0.35">
      <c r="A47" s="50" t="s">
        <v>213</v>
      </c>
      <c r="E47" t="s">
        <v>173</v>
      </c>
      <c r="F47" t="s">
        <v>346</v>
      </c>
      <c r="G47" s="28"/>
      <c r="O47" s="28"/>
      <c r="X47" s="40"/>
      <c r="Y47" s="40"/>
    </row>
    <row r="48" spans="1:25" x14ac:dyDescent="0.35">
      <c r="A48" s="50" t="s">
        <v>214</v>
      </c>
      <c r="E48" t="s">
        <v>173</v>
      </c>
      <c r="F48" t="s">
        <v>347</v>
      </c>
      <c r="G48" s="28"/>
      <c r="O48" s="28"/>
      <c r="X48" s="40"/>
      <c r="Y48" s="40"/>
    </row>
    <row r="49" spans="1:25" x14ac:dyDescent="0.35">
      <c r="A49" s="50" t="s">
        <v>215</v>
      </c>
      <c r="E49" t="s">
        <v>173</v>
      </c>
      <c r="F49" t="s">
        <v>348</v>
      </c>
      <c r="G49" s="28"/>
      <c r="O49" s="28"/>
      <c r="X49" s="40"/>
      <c r="Y49" s="40"/>
    </row>
    <row r="50" spans="1:25" x14ac:dyDescent="0.35">
      <c r="A50" s="50" t="s">
        <v>216</v>
      </c>
      <c r="E50" t="s">
        <v>173</v>
      </c>
      <c r="F50" t="s">
        <v>349</v>
      </c>
      <c r="G50" s="28"/>
      <c r="O50" s="28"/>
      <c r="X50" s="40"/>
      <c r="Y50" s="40"/>
    </row>
    <row r="51" spans="1:25" x14ac:dyDescent="0.35">
      <c r="A51" s="50" t="s">
        <v>217</v>
      </c>
      <c r="E51" t="s">
        <v>173</v>
      </c>
      <c r="F51" t="s">
        <v>350</v>
      </c>
      <c r="G51" s="28"/>
      <c r="O51" s="28"/>
      <c r="X51" s="40"/>
      <c r="Y51" s="40"/>
    </row>
    <row r="52" spans="1:25" x14ac:dyDescent="0.35">
      <c r="A52" s="50" t="s">
        <v>218</v>
      </c>
      <c r="E52" t="s">
        <v>173</v>
      </c>
      <c r="F52" t="s">
        <v>351</v>
      </c>
      <c r="G52" s="28"/>
      <c r="O52" s="28"/>
      <c r="X52" s="40"/>
      <c r="Y52" s="40"/>
    </row>
    <row r="53" spans="1:25" x14ac:dyDescent="0.35">
      <c r="A53" s="50" t="s">
        <v>219</v>
      </c>
      <c r="E53" t="s">
        <v>173</v>
      </c>
      <c r="F53" t="s">
        <v>352</v>
      </c>
      <c r="G53" s="28"/>
      <c r="O53" s="28"/>
      <c r="X53" s="40"/>
      <c r="Y53" s="40"/>
    </row>
    <row r="54" spans="1:25" x14ac:dyDescent="0.35">
      <c r="A54" s="50" t="s">
        <v>300</v>
      </c>
      <c r="E54" t="s">
        <v>173</v>
      </c>
      <c r="F54" t="s">
        <v>353</v>
      </c>
      <c r="G54" s="28"/>
      <c r="O54" s="28"/>
      <c r="X54" s="40"/>
      <c r="Y54" s="40"/>
    </row>
    <row r="55" spans="1:25" x14ac:dyDescent="0.35">
      <c r="A55" s="50" t="s">
        <v>220</v>
      </c>
      <c r="E55" t="s">
        <v>173</v>
      </c>
      <c r="F55" t="s">
        <v>354</v>
      </c>
      <c r="G55" s="28"/>
      <c r="O55" s="28"/>
      <c r="X55" s="40"/>
      <c r="Y55" s="40"/>
    </row>
    <row r="56" spans="1:25" x14ac:dyDescent="0.35">
      <c r="A56" s="50" t="s">
        <v>221</v>
      </c>
      <c r="E56" t="s">
        <v>173</v>
      </c>
      <c r="F56" t="s">
        <v>355</v>
      </c>
      <c r="G56" s="28"/>
      <c r="O56" s="28"/>
      <c r="X56" s="40"/>
      <c r="Y56" s="40"/>
    </row>
    <row r="57" spans="1:25" x14ac:dyDescent="0.35">
      <c r="A57" s="50" t="s">
        <v>222</v>
      </c>
      <c r="E57" t="s">
        <v>173</v>
      </c>
      <c r="F57" t="s">
        <v>356</v>
      </c>
      <c r="G57" s="28"/>
      <c r="O57" s="28"/>
      <c r="X57" s="40"/>
      <c r="Y57" s="40"/>
    </row>
    <row r="58" spans="1:25" x14ac:dyDescent="0.35">
      <c r="A58" s="50" t="s">
        <v>223</v>
      </c>
      <c r="E58" t="s">
        <v>173</v>
      </c>
      <c r="F58" t="s">
        <v>357</v>
      </c>
      <c r="G58" s="28"/>
      <c r="O58" s="28"/>
      <c r="X58" s="40"/>
      <c r="Y58" s="40"/>
    </row>
    <row r="59" spans="1:25" x14ac:dyDescent="0.35">
      <c r="A59" s="50" t="s">
        <v>224</v>
      </c>
      <c r="E59" t="s">
        <v>173</v>
      </c>
      <c r="F59" t="s">
        <v>358</v>
      </c>
      <c r="G59" s="28"/>
      <c r="O59" s="28"/>
      <c r="X59" s="40"/>
      <c r="Y59" s="40"/>
    </row>
    <row r="60" spans="1:25" x14ac:dyDescent="0.35">
      <c r="E60" t="s">
        <v>173</v>
      </c>
      <c r="F60" t="s">
        <v>359</v>
      </c>
      <c r="G60" s="28"/>
      <c r="O60" s="28"/>
      <c r="X60" s="40"/>
      <c r="Y60" s="40"/>
    </row>
    <row r="61" spans="1:25" x14ac:dyDescent="0.35">
      <c r="E61" t="s">
        <v>173</v>
      </c>
      <c r="F61" t="s">
        <v>360</v>
      </c>
      <c r="G61" s="28"/>
      <c r="O61" s="28"/>
      <c r="X61" s="40"/>
      <c r="Y61" s="40"/>
    </row>
    <row r="62" spans="1:25" x14ac:dyDescent="0.35">
      <c r="E62" t="s">
        <v>173</v>
      </c>
      <c r="F62" t="s">
        <v>361</v>
      </c>
      <c r="G62" s="28"/>
      <c r="O62" s="28"/>
      <c r="X62" s="40"/>
      <c r="Y62" s="40"/>
    </row>
    <row r="63" spans="1:25" x14ac:dyDescent="0.35">
      <c r="E63" t="s">
        <v>173</v>
      </c>
      <c r="F63" t="s">
        <v>362</v>
      </c>
      <c r="G63" s="28"/>
      <c r="O63" s="28"/>
      <c r="X63" s="40"/>
      <c r="Y63" s="40"/>
    </row>
    <row r="64" spans="1:25" x14ac:dyDescent="0.35">
      <c r="E64" t="s">
        <v>173</v>
      </c>
      <c r="F64" t="s">
        <v>363</v>
      </c>
      <c r="G64" s="28"/>
      <c r="O64" s="28"/>
      <c r="X64" s="40"/>
      <c r="Y64" s="40"/>
    </row>
    <row r="65" spans="5:25" x14ac:dyDescent="0.35">
      <c r="E65" t="s">
        <v>173</v>
      </c>
      <c r="F65" t="s">
        <v>364</v>
      </c>
      <c r="G65" s="28"/>
      <c r="O65" s="28"/>
      <c r="X65" s="40"/>
      <c r="Y65" s="40"/>
    </row>
    <row r="66" spans="5:25" x14ac:dyDescent="0.35">
      <c r="E66" t="s">
        <v>173</v>
      </c>
      <c r="F66" t="s">
        <v>365</v>
      </c>
      <c r="G66" s="28"/>
      <c r="O66" s="28"/>
      <c r="X66" s="40"/>
      <c r="Y66" s="40"/>
    </row>
    <row r="67" spans="5:25" x14ac:dyDescent="0.35">
      <c r="E67" t="s">
        <v>173</v>
      </c>
      <c r="F67" t="s">
        <v>366</v>
      </c>
      <c r="G67" s="28"/>
      <c r="O67" s="28"/>
      <c r="X67" s="40"/>
      <c r="Y67" s="40"/>
    </row>
    <row r="68" spans="5:25" x14ac:dyDescent="0.35">
      <c r="E68" t="s">
        <v>173</v>
      </c>
      <c r="F68" t="s">
        <v>367</v>
      </c>
      <c r="G68" s="28"/>
      <c r="O68" s="28"/>
      <c r="X68" s="40"/>
      <c r="Y68" s="40"/>
    </row>
    <row r="69" spans="5:25" x14ac:dyDescent="0.35">
      <c r="E69" t="s">
        <v>173</v>
      </c>
      <c r="F69" t="s">
        <v>368</v>
      </c>
      <c r="G69" s="28"/>
      <c r="O69" s="28"/>
      <c r="X69" s="40"/>
      <c r="Y69" s="40"/>
    </row>
    <row r="70" spans="5:25" x14ac:dyDescent="0.35">
      <c r="E70" t="s">
        <v>173</v>
      </c>
      <c r="F70" t="s">
        <v>369</v>
      </c>
      <c r="G70" s="28"/>
      <c r="O70" s="28"/>
      <c r="X70" s="40"/>
      <c r="Y70" s="40"/>
    </row>
    <row r="71" spans="5:25" x14ac:dyDescent="0.35">
      <c r="E71" t="s">
        <v>173</v>
      </c>
      <c r="F71" t="s">
        <v>370</v>
      </c>
      <c r="G71" s="28"/>
      <c r="O71" s="28"/>
      <c r="X71" s="40"/>
      <c r="Y71" s="40"/>
    </row>
    <row r="72" spans="5:25" x14ac:dyDescent="0.35">
      <c r="E72" t="s">
        <v>173</v>
      </c>
      <c r="F72" t="s">
        <v>371</v>
      </c>
      <c r="G72" s="28"/>
      <c r="O72" s="28"/>
      <c r="X72" s="40"/>
      <c r="Y72" s="40"/>
    </row>
    <row r="73" spans="5:25" x14ac:dyDescent="0.35">
      <c r="E73" t="s">
        <v>173</v>
      </c>
      <c r="F73" t="s">
        <v>372</v>
      </c>
      <c r="G73" s="28"/>
      <c r="O73" s="28"/>
      <c r="X73" s="40"/>
      <c r="Y73" s="40"/>
    </row>
    <row r="74" spans="5:25" x14ac:dyDescent="0.35">
      <c r="E74" t="s">
        <v>173</v>
      </c>
      <c r="F74" t="s">
        <v>373</v>
      </c>
      <c r="G74" s="28"/>
      <c r="O74" s="28"/>
      <c r="X74" s="40"/>
      <c r="Y74" s="40"/>
    </row>
    <row r="75" spans="5:25" x14ac:dyDescent="0.35">
      <c r="E75" t="s">
        <v>173</v>
      </c>
      <c r="F75" t="s">
        <v>374</v>
      </c>
      <c r="G75" s="28"/>
      <c r="O75" s="28"/>
      <c r="X75" s="40"/>
      <c r="Y75" s="40"/>
    </row>
    <row r="76" spans="5:25" x14ac:dyDescent="0.35">
      <c r="E76" t="s">
        <v>173</v>
      </c>
      <c r="F76" t="s">
        <v>375</v>
      </c>
      <c r="G76" s="28"/>
      <c r="O76" s="28"/>
      <c r="X76" s="40"/>
      <c r="Y76" s="40"/>
    </row>
    <row r="77" spans="5:25" x14ac:dyDescent="0.35">
      <c r="E77" t="s">
        <v>173</v>
      </c>
      <c r="F77" t="s">
        <v>376</v>
      </c>
      <c r="G77" s="28"/>
      <c r="O77" s="28"/>
      <c r="X77" s="40"/>
      <c r="Y77" s="40"/>
    </row>
    <row r="78" spans="5:25" x14ac:dyDescent="0.35">
      <c r="E78" t="s">
        <v>173</v>
      </c>
      <c r="F78" t="s">
        <v>377</v>
      </c>
      <c r="G78" s="28"/>
      <c r="O78" s="28"/>
      <c r="X78" s="40"/>
      <c r="Y78" s="40"/>
    </row>
    <row r="79" spans="5:25" x14ac:dyDescent="0.35">
      <c r="E79" t="s">
        <v>173</v>
      </c>
      <c r="F79" t="s">
        <v>378</v>
      </c>
      <c r="G79" s="28"/>
      <c r="O79" s="28"/>
      <c r="X79" s="40"/>
      <c r="Y79" s="40"/>
    </row>
    <row r="80" spans="5:25" x14ac:dyDescent="0.35">
      <c r="E80" t="s">
        <v>173</v>
      </c>
      <c r="F80" t="s">
        <v>379</v>
      </c>
      <c r="G80" s="28"/>
      <c r="O80" s="28"/>
      <c r="X80" s="40"/>
      <c r="Y80" s="40"/>
    </row>
    <row r="81" spans="5:25" x14ac:dyDescent="0.35">
      <c r="E81" t="s">
        <v>173</v>
      </c>
      <c r="F81" t="s">
        <v>380</v>
      </c>
      <c r="G81" s="28"/>
      <c r="O81" s="28"/>
      <c r="X81" s="40"/>
      <c r="Y81" s="40"/>
    </row>
    <row r="82" spans="5:25" x14ac:dyDescent="0.35">
      <c r="E82" t="s">
        <v>173</v>
      </c>
      <c r="F82" t="s">
        <v>381</v>
      </c>
      <c r="G82" s="28"/>
      <c r="O82" s="28"/>
      <c r="X82" s="40"/>
      <c r="Y82" s="40"/>
    </row>
    <row r="83" spans="5:25" x14ac:dyDescent="0.35">
      <c r="E83" t="s">
        <v>173</v>
      </c>
      <c r="F83" t="s">
        <v>382</v>
      </c>
      <c r="G83" s="28"/>
      <c r="O83" s="28"/>
      <c r="X83" s="40"/>
      <c r="Y83" s="40"/>
    </row>
    <row r="84" spans="5:25" x14ac:dyDescent="0.35">
      <c r="E84" t="s">
        <v>173</v>
      </c>
      <c r="F84" t="s">
        <v>383</v>
      </c>
      <c r="G84" s="28"/>
      <c r="O84" s="28"/>
      <c r="X84" s="40"/>
      <c r="Y84" s="40"/>
    </row>
    <row r="85" spans="5:25" x14ac:dyDescent="0.35">
      <c r="E85" t="s">
        <v>173</v>
      </c>
      <c r="F85" t="s">
        <v>384</v>
      </c>
      <c r="G85" s="28"/>
      <c r="O85" s="28"/>
      <c r="X85" s="40"/>
      <c r="Y85" s="40"/>
    </row>
    <row r="86" spans="5:25" x14ac:dyDescent="0.35">
      <c r="E86" t="s">
        <v>173</v>
      </c>
      <c r="F86" t="s">
        <v>385</v>
      </c>
      <c r="G86" s="28"/>
      <c r="O86" s="28"/>
      <c r="X86" s="40"/>
      <c r="Y86" s="40"/>
    </row>
    <row r="87" spans="5:25" x14ac:dyDescent="0.35">
      <c r="E87" t="s">
        <v>173</v>
      </c>
      <c r="F87" t="s">
        <v>386</v>
      </c>
      <c r="G87" s="28"/>
      <c r="O87" s="28"/>
      <c r="X87" s="40"/>
      <c r="Y87" s="40"/>
    </row>
    <row r="88" spans="5:25" x14ac:dyDescent="0.35">
      <c r="E88" t="s">
        <v>173</v>
      </c>
      <c r="F88" t="s">
        <v>387</v>
      </c>
      <c r="G88" s="28"/>
      <c r="O88" s="28"/>
      <c r="X88" s="40"/>
      <c r="Y88" s="40"/>
    </row>
    <row r="89" spans="5:25" x14ac:dyDescent="0.35">
      <c r="E89" t="s">
        <v>173</v>
      </c>
      <c r="F89" t="s">
        <v>388</v>
      </c>
      <c r="G89" s="28"/>
      <c r="O89" s="28"/>
      <c r="X89" s="40"/>
      <c r="Y89" s="40"/>
    </row>
    <row r="90" spans="5:25" x14ac:dyDescent="0.35">
      <c r="E90" t="s">
        <v>173</v>
      </c>
      <c r="F90" t="s">
        <v>389</v>
      </c>
      <c r="G90" s="28"/>
      <c r="O90" s="28"/>
      <c r="X90" s="40"/>
      <c r="Y90" s="40"/>
    </row>
    <row r="91" spans="5:25" x14ac:dyDescent="0.35">
      <c r="E91" t="s">
        <v>173</v>
      </c>
      <c r="F91" t="s">
        <v>390</v>
      </c>
      <c r="G91" s="28"/>
      <c r="O91" s="28"/>
      <c r="X91" s="40"/>
      <c r="Y91" s="40"/>
    </row>
    <row r="92" spans="5:25" x14ac:dyDescent="0.35">
      <c r="E92" t="s">
        <v>173</v>
      </c>
      <c r="F92" t="s">
        <v>391</v>
      </c>
      <c r="G92" s="28"/>
      <c r="O92" s="28"/>
      <c r="X92" s="40"/>
      <c r="Y92" s="40"/>
    </row>
    <row r="93" spans="5:25" x14ac:dyDescent="0.35">
      <c r="E93" t="s">
        <v>173</v>
      </c>
      <c r="F93" t="s">
        <v>392</v>
      </c>
      <c r="G93" s="28"/>
      <c r="O93" s="28"/>
      <c r="X93" s="40"/>
      <c r="Y93" s="40"/>
    </row>
    <row r="94" spans="5:25" x14ac:dyDescent="0.35">
      <c r="E94" t="s">
        <v>173</v>
      </c>
      <c r="F94" t="s">
        <v>393</v>
      </c>
      <c r="G94" s="28"/>
      <c r="O94" s="28"/>
      <c r="X94" s="40"/>
      <c r="Y94" s="40"/>
    </row>
    <row r="95" spans="5:25" x14ac:dyDescent="0.35">
      <c r="E95" t="s">
        <v>173</v>
      </c>
      <c r="F95" t="s">
        <v>394</v>
      </c>
      <c r="G95" s="28"/>
      <c r="O95" s="28"/>
      <c r="X95" s="40"/>
      <c r="Y95" s="40"/>
    </row>
    <row r="96" spans="5:25" x14ac:dyDescent="0.35">
      <c r="E96" t="s">
        <v>173</v>
      </c>
      <c r="F96" t="s">
        <v>395</v>
      </c>
      <c r="G96" s="28"/>
      <c r="O96" s="28"/>
      <c r="X96" s="40"/>
      <c r="Y96" s="40"/>
    </row>
    <row r="97" spans="5:25" x14ac:dyDescent="0.35">
      <c r="E97" t="s">
        <v>173</v>
      </c>
      <c r="F97" t="s">
        <v>396</v>
      </c>
      <c r="G97" s="28"/>
      <c r="O97" s="28"/>
      <c r="X97" s="40"/>
      <c r="Y97" s="40"/>
    </row>
    <row r="98" spans="5:25" x14ac:dyDescent="0.35">
      <c r="E98" t="s">
        <v>175</v>
      </c>
      <c r="F98" t="s">
        <v>397</v>
      </c>
      <c r="G98" s="28"/>
      <c r="O98" s="28"/>
      <c r="X98" s="40"/>
      <c r="Y98" s="40"/>
    </row>
    <row r="99" spans="5:25" x14ac:dyDescent="0.35">
      <c r="E99" t="s">
        <v>175</v>
      </c>
      <c r="F99" t="s">
        <v>398</v>
      </c>
      <c r="G99" s="28"/>
      <c r="O99" s="28"/>
      <c r="X99" s="40"/>
      <c r="Y99" s="40"/>
    </row>
    <row r="100" spans="5:25" x14ac:dyDescent="0.35">
      <c r="E100" t="s">
        <v>175</v>
      </c>
      <c r="F100" t="s">
        <v>399</v>
      </c>
      <c r="G100" s="28"/>
      <c r="O100" s="28"/>
      <c r="X100" s="40"/>
      <c r="Y100" s="40"/>
    </row>
    <row r="101" spans="5:25" x14ac:dyDescent="0.35">
      <c r="E101" t="s">
        <v>175</v>
      </c>
      <c r="F101" t="s">
        <v>400</v>
      </c>
      <c r="G101" s="28"/>
      <c r="O101" s="28"/>
      <c r="X101" s="40"/>
      <c r="Y101" s="40"/>
    </row>
    <row r="102" spans="5:25" x14ac:dyDescent="0.35">
      <c r="E102" t="s">
        <v>175</v>
      </c>
      <c r="F102" t="s">
        <v>401</v>
      </c>
      <c r="G102" s="28"/>
      <c r="O102" s="28"/>
      <c r="X102" s="40"/>
      <c r="Y102" s="40"/>
    </row>
    <row r="103" spans="5:25" x14ac:dyDescent="0.35">
      <c r="E103" t="s">
        <v>175</v>
      </c>
      <c r="F103" t="s">
        <v>402</v>
      </c>
      <c r="G103" s="28"/>
      <c r="O103" s="28"/>
      <c r="X103" s="40"/>
      <c r="Y103" s="40"/>
    </row>
    <row r="104" spans="5:25" x14ac:dyDescent="0.35">
      <c r="E104" t="s">
        <v>175</v>
      </c>
      <c r="F104" t="s">
        <v>337</v>
      </c>
      <c r="G104" s="28"/>
      <c r="O104" s="28"/>
      <c r="X104" s="40"/>
      <c r="Y104" s="40"/>
    </row>
    <row r="105" spans="5:25" x14ac:dyDescent="0.35">
      <c r="E105" t="s">
        <v>175</v>
      </c>
      <c r="F105" t="s">
        <v>403</v>
      </c>
      <c r="G105" s="28"/>
      <c r="O105" s="28"/>
      <c r="X105" s="40"/>
      <c r="Y105" s="40"/>
    </row>
    <row r="106" spans="5:25" x14ac:dyDescent="0.35">
      <c r="E106" t="s">
        <v>175</v>
      </c>
      <c r="F106" t="s">
        <v>404</v>
      </c>
      <c r="G106" s="28"/>
      <c r="O106" s="28"/>
      <c r="X106" s="40"/>
      <c r="Y106" s="40"/>
    </row>
    <row r="107" spans="5:25" x14ac:dyDescent="0.35">
      <c r="E107" t="s">
        <v>175</v>
      </c>
      <c r="F107" t="s">
        <v>405</v>
      </c>
      <c r="G107" s="28"/>
      <c r="O107" s="28"/>
      <c r="X107" s="40"/>
      <c r="Y107" s="40"/>
    </row>
    <row r="108" spans="5:25" x14ac:dyDescent="0.35">
      <c r="E108" t="s">
        <v>175</v>
      </c>
      <c r="F108" t="s">
        <v>343</v>
      </c>
      <c r="G108" s="28"/>
      <c r="O108" s="28"/>
      <c r="X108" s="40"/>
      <c r="Y108" s="40"/>
    </row>
    <row r="109" spans="5:25" x14ac:dyDescent="0.35">
      <c r="E109" t="s">
        <v>175</v>
      </c>
      <c r="F109" t="s">
        <v>344</v>
      </c>
      <c r="G109" s="28"/>
      <c r="O109" s="28"/>
      <c r="X109" s="40"/>
      <c r="Y109" s="40"/>
    </row>
    <row r="110" spans="5:25" x14ac:dyDescent="0.35">
      <c r="E110" t="s">
        <v>175</v>
      </c>
      <c r="F110" t="s">
        <v>406</v>
      </c>
      <c r="G110" s="28"/>
      <c r="O110" s="28"/>
      <c r="X110" s="40"/>
      <c r="Y110" s="40"/>
    </row>
    <row r="111" spans="5:25" x14ac:dyDescent="0.35">
      <c r="E111" t="s">
        <v>175</v>
      </c>
      <c r="F111" t="s">
        <v>407</v>
      </c>
      <c r="G111" s="28"/>
      <c r="O111" s="28"/>
      <c r="X111" s="40"/>
      <c r="Y111" s="40"/>
    </row>
    <row r="112" spans="5:25" x14ac:dyDescent="0.35">
      <c r="E112" t="s">
        <v>175</v>
      </c>
      <c r="F112" t="s">
        <v>408</v>
      </c>
      <c r="G112" s="28"/>
      <c r="O112" s="28"/>
      <c r="X112" s="40"/>
      <c r="Y112" s="40"/>
    </row>
    <row r="113" spans="5:25" x14ac:dyDescent="0.35">
      <c r="E113" t="s">
        <v>175</v>
      </c>
      <c r="F113" t="s">
        <v>409</v>
      </c>
      <c r="G113" s="28"/>
      <c r="O113" s="28"/>
      <c r="X113" s="40"/>
      <c r="Y113" s="40"/>
    </row>
    <row r="114" spans="5:25" x14ac:dyDescent="0.35">
      <c r="E114" t="s">
        <v>175</v>
      </c>
      <c r="F114" t="s">
        <v>410</v>
      </c>
      <c r="G114" s="28"/>
      <c r="O114" s="28"/>
      <c r="X114" s="40"/>
      <c r="Y114" s="40"/>
    </row>
    <row r="115" spans="5:25" x14ac:dyDescent="0.35">
      <c r="E115" t="s">
        <v>175</v>
      </c>
      <c r="F115" t="s">
        <v>411</v>
      </c>
      <c r="G115" s="28"/>
      <c r="O115" s="28"/>
      <c r="X115" s="40"/>
      <c r="Y115" s="40"/>
    </row>
    <row r="116" spans="5:25" x14ac:dyDescent="0.35">
      <c r="E116" t="s">
        <v>175</v>
      </c>
      <c r="F116" t="s">
        <v>412</v>
      </c>
      <c r="G116" s="28"/>
      <c r="O116" s="28"/>
      <c r="X116" s="40"/>
      <c r="Y116" s="40"/>
    </row>
    <row r="117" spans="5:25" x14ac:dyDescent="0.35">
      <c r="E117" t="s">
        <v>175</v>
      </c>
      <c r="F117" t="s">
        <v>353</v>
      </c>
      <c r="G117" s="28"/>
      <c r="O117" s="28"/>
      <c r="X117" s="40"/>
      <c r="Y117" s="40"/>
    </row>
    <row r="118" spans="5:25" x14ac:dyDescent="0.35">
      <c r="E118" t="s">
        <v>175</v>
      </c>
      <c r="F118" t="s">
        <v>413</v>
      </c>
      <c r="G118" s="28"/>
      <c r="O118" s="28"/>
      <c r="X118" s="40"/>
      <c r="Y118" s="40"/>
    </row>
    <row r="119" spans="5:25" x14ac:dyDescent="0.35">
      <c r="E119" t="s">
        <v>175</v>
      </c>
      <c r="F119" t="s">
        <v>414</v>
      </c>
      <c r="G119" s="28"/>
      <c r="O119" s="28"/>
      <c r="X119" s="40"/>
      <c r="Y119" s="40"/>
    </row>
    <row r="120" spans="5:25" x14ac:dyDescent="0.35">
      <c r="E120" t="s">
        <v>175</v>
      </c>
      <c r="F120" t="s">
        <v>415</v>
      </c>
      <c r="G120" s="28"/>
      <c r="O120" s="28"/>
      <c r="X120" s="40"/>
      <c r="Y120" s="40"/>
    </row>
    <row r="121" spans="5:25" x14ac:dyDescent="0.35">
      <c r="E121" t="s">
        <v>175</v>
      </c>
      <c r="F121" t="s">
        <v>359</v>
      </c>
      <c r="G121" s="28"/>
      <c r="O121" s="28"/>
      <c r="X121" s="40"/>
      <c r="Y121" s="40"/>
    </row>
    <row r="122" spans="5:25" x14ac:dyDescent="0.35">
      <c r="E122" t="s">
        <v>175</v>
      </c>
      <c r="F122" t="s">
        <v>416</v>
      </c>
      <c r="G122" s="28"/>
      <c r="O122" s="28"/>
      <c r="X122" s="40"/>
      <c r="Y122" s="40"/>
    </row>
    <row r="123" spans="5:25" x14ac:dyDescent="0.35">
      <c r="E123" t="s">
        <v>175</v>
      </c>
      <c r="F123" t="s">
        <v>417</v>
      </c>
      <c r="G123" s="28"/>
      <c r="O123" s="28"/>
      <c r="X123" s="40"/>
      <c r="Y123" s="40"/>
    </row>
    <row r="124" spans="5:25" x14ac:dyDescent="0.35">
      <c r="E124" t="s">
        <v>175</v>
      </c>
      <c r="F124" t="s">
        <v>418</v>
      </c>
      <c r="G124" s="28"/>
      <c r="O124" s="28"/>
      <c r="X124" s="40"/>
      <c r="Y124" s="40"/>
    </row>
    <row r="125" spans="5:25" x14ac:dyDescent="0.35">
      <c r="E125" t="s">
        <v>175</v>
      </c>
      <c r="F125" t="s">
        <v>361</v>
      </c>
      <c r="G125" s="28"/>
      <c r="O125" s="28"/>
      <c r="X125" s="40"/>
      <c r="Y125" s="40"/>
    </row>
    <row r="126" spans="5:25" x14ac:dyDescent="0.35">
      <c r="E126" t="s">
        <v>175</v>
      </c>
      <c r="F126" t="s">
        <v>419</v>
      </c>
      <c r="G126" s="28"/>
      <c r="O126" s="28"/>
      <c r="X126" s="40"/>
      <c r="Y126" s="40"/>
    </row>
    <row r="127" spans="5:25" x14ac:dyDescent="0.35">
      <c r="E127" t="s">
        <v>175</v>
      </c>
      <c r="F127" t="s">
        <v>420</v>
      </c>
      <c r="G127" s="28"/>
      <c r="O127" s="28"/>
      <c r="X127" s="40"/>
      <c r="Y127" s="40"/>
    </row>
    <row r="128" spans="5:25" x14ac:dyDescent="0.35">
      <c r="E128" t="s">
        <v>175</v>
      </c>
      <c r="F128" t="s">
        <v>421</v>
      </c>
      <c r="G128" s="28"/>
      <c r="O128" s="28"/>
      <c r="X128" s="40"/>
      <c r="Y128" s="40"/>
    </row>
    <row r="129" spans="5:25" x14ac:dyDescent="0.35">
      <c r="E129" t="s">
        <v>175</v>
      </c>
      <c r="F129" t="s">
        <v>422</v>
      </c>
      <c r="G129" s="28"/>
      <c r="O129" s="28"/>
      <c r="X129" s="40"/>
      <c r="Y129" s="40"/>
    </row>
    <row r="130" spans="5:25" x14ac:dyDescent="0.35">
      <c r="E130" t="s">
        <v>175</v>
      </c>
      <c r="F130" t="s">
        <v>423</v>
      </c>
      <c r="G130" s="28"/>
      <c r="O130" s="28"/>
      <c r="X130" s="40"/>
      <c r="Y130" s="40"/>
    </row>
    <row r="131" spans="5:25" x14ac:dyDescent="0.35">
      <c r="E131" t="s">
        <v>175</v>
      </c>
      <c r="F131" t="s">
        <v>365</v>
      </c>
      <c r="G131" s="28"/>
      <c r="O131" s="28"/>
      <c r="X131" s="40"/>
      <c r="Y131" s="40"/>
    </row>
    <row r="132" spans="5:25" x14ac:dyDescent="0.35">
      <c r="E132" t="s">
        <v>175</v>
      </c>
      <c r="F132" t="s">
        <v>366</v>
      </c>
      <c r="G132" s="28"/>
      <c r="O132" s="28"/>
      <c r="X132" s="40"/>
      <c r="Y132" s="40"/>
    </row>
    <row r="133" spans="5:25" x14ac:dyDescent="0.35">
      <c r="E133" t="s">
        <v>175</v>
      </c>
      <c r="F133" t="s">
        <v>424</v>
      </c>
      <c r="G133" s="28"/>
      <c r="O133" s="28"/>
      <c r="X133" s="40"/>
      <c r="Y133" s="40"/>
    </row>
    <row r="134" spans="5:25" x14ac:dyDescent="0.35">
      <c r="E134" t="s">
        <v>175</v>
      </c>
      <c r="F134" t="s">
        <v>425</v>
      </c>
      <c r="G134" s="28"/>
      <c r="O134" s="28"/>
      <c r="X134" s="40"/>
      <c r="Y134" s="40"/>
    </row>
    <row r="135" spans="5:25" x14ac:dyDescent="0.35">
      <c r="E135" t="s">
        <v>175</v>
      </c>
      <c r="F135" t="s">
        <v>369</v>
      </c>
      <c r="G135" s="28"/>
      <c r="O135" s="28"/>
      <c r="X135" s="40"/>
      <c r="Y135" s="40"/>
    </row>
    <row r="136" spans="5:25" x14ac:dyDescent="0.35">
      <c r="E136" t="s">
        <v>175</v>
      </c>
      <c r="F136" t="s">
        <v>370</v>
      </c>
      <c r="G136" s="28"/>
      <c r="O136" s="28"/>
      <c r="X136" s="40"/>
      <c r="Y136" s="40"/>
    </row>
    <row r="137" spans="5:25" x14ac:dyDescent="0.35">
      <c r="E137" t="s">
        <v>175</v>
      </c>
      <c r="F137" t="s">
        <v>426</v>
      </c>
      <c r="G137" s="28"/>
      <c r="O137" s="28"/>
      <c r="X137" s="40"/>
      <c r="Y137" s="40"/>
    </row>
    <row r="138" spans="5:25" x14ac:dyDescent="0.35">
      <c r="E138" t="s">
        <v>175</v>
      </c>
      <c r="F138" t="s">
        <v>427</v>
      </c>
      <c r="G138" s="28"/>
      <c r="O138" s="28"/>
      <c r="X138" s="40"/>
      <c r="Y138" s="40"/>
    </row>
    <row r="139" spans="5:25" x14ac:dyDescent="0.35">
      <c r="E139" t="s">
        <v>175</v>
      </c>
      <c r="F139" t="s">
        <v>428</v>
      </c>
      <c r="G139" s="28"/>
      <c r="O139" s="28"/>
      <c r="X139" s="40"/>
      <c r="Y139" s="40"/>
    </row>
    <row r="140" spans="5:25" x14ac:dyDescent="0.35">
      <c r="E140" t="s">
        <v>175</v>
      </c>
      <c r="F140" t="s">
        <v>429</v>
      </c>
      <c r="G140" s="28"/>
      <c r="O140" s="28"/>
      <c r="X140" s="40"/>
      <c r="Y140" s="40"/>
    </row>
    <row r="141" spans="5:25" x14ac:dyDescent="0.35">
      <c r="E141" t="s">
        <v>175</v>
      </c>
      <c r="F141" t="s">
        <v>374</v>
      </c>
      <c r="G141" s="28"/>
      <c r="O141" s="28"/>
      <c r="X141" s="40"/>
      <c r="Y141" s="40"/>
    </row>
    <row r="142" spans="5:25" x14ac:dyDescent="0.35">
      <c r="E142" t="s">
        <v>175</v>
      </c>
      <c r="F142" t="s">
        <v>376</v>
      </c>
      <c r="G142" s="28"/>
      <c r="O142" s="28"/>
      <c r="X142" s="40"/>
      <c r="Y142" s="40"/>
    </row>
    <row r="143" spans="5:25" x14ac:dyDescent="0.35">
      <c r="E143" t="s">
        <v>175</v>
      </c>
      <c r="F143" t="s">
        <v>430</v>
      </c>
      <c r="G143" s="28"/>
      <c r="O143" s="28"/>
      <c r="X143" s="40"/>
      <c r="Y143" s="40"/>
    </row>
    <row r="144" spans="5:25" x14ac:dyDescent="0.35">
      <c r="E144" t="s">
        <v>175</v>
      </c>
      <c r="F144" t="s">
        <v>431</v>
      </c>
      <c r="G144" s="28"/>
      <c r="O144" s="28"/>
      <c r="X144" s="40"/>
      <c r="Y144" s="40"/>
    </row>
    <row r="145" spans="5:25" x14ac:dyDescent="0.35">
      <c r="E145" t="s">
        <v>175</v>
      </c>
      <c r="F145" t="s">
        <v>379</v>
      </c>
      <c r="G145" s="28"/>
      <c r="O145" s="28"/>
      <c r="X145" s="40"/>
      <c r="Y145" s="40"/>
    </row>
    <row r="146" spans="5:25" x14ac:dyDescent="0.35">
      <c r="E146" t="s">
        <v>175</v>
      </c>
      <c r="F146" t="s">
        <v>380</v>
      </c>
      <c r="G146" s="28"/>
      <c r="O146" s="28"/>
      <c r="X146" s="40"/>
      <c r="Y146" s="40"/>
    </row>
    <row r="147" spans="5:25" x14ac:dyDescent="0.35">
      <c r="E147" t="s">
        <v>175</v>
      </c>
      <c r="F147" t="s">
        <v>432</v>
      </c>
      <c r="G147" s="28"/>
      <c r="O147" s="28"/>
      <c r="X147" s="40"/>
      <c r="Y147" s="40"/>
    </row>
    <row r="148" spans="5:25" x14ac:dyDescent="0.35">
      <c r="E148" t="s">
        <v>175</v>
      </c>
      <c r="F148" t="s">
        <v>433</v>
      </c>
      <c r="G148" s="28"/>
      <c r="O148" s="28"/>
      <c r="X148" s="40"/>
      <c r="Y148" s="40"/>
    </row>
    <row r="149" spans="5:25" x14ac:dyDescent="0.35">
      <c r="E149" t="s">
        <v>175</v>
      </c>
      <c r="F149" t="s">
        <v>434</v>
      </c>
      <c r="G149" s="28"/>
      <c r="O149" s="28"/>
      <c r="X149" s="40"/>
      <c r="Y149" s="40"/>
    </row>
    <row r="150" spans="5:25" x14ac:dyDescent="0.35">
      <c r="E150" t="s">
        <v>175</v>
      </c>
      <c r="F150" t="s">
        <v>382</v>
      </c>
      <c r="G150" s="28"/>
      <c r="O150" s="28"/>
      <c r="X150" s="40"/>
      <c r="Y150" s="40"/>
    </row>
    <row r="151" spans="5:25" x14ac:dyDescent="0.35">
      <c r="E151" t="s">
        <v>175</v>
      </c>
      <c r="F151" t="s">
        <v>435</v>
      </c>
      <c r="G151" s="28"/>
      <c r="O151" s="28"/>
      <c r="X151" s="40"/>
      <c r="Y151" s="40"/>
    </row>
    <row r="152" spans="5:25" x14ac:dyDescent="0.35">
      <c r="E152" t="s">
        <v>175</v>
      </c>
      <c r="F152" t="s">
        <v>384</v>
      </c>
      <c r="G152" s="28"/>
      <c r="O152" s="28"/>
      <c r="X152" s="40"/>
      <c r="Y152" s="40"/>
    </row>
    <row r="153" spans="5:25" x14ac:dyDescent="0.35">
      <c r="E153" t="s">
        <v>175</v>
      </c>
      <c r="F153" t="s">
        <v>436</v>
      </c>
      <c r="G153" s="28"/>
      <c r="O153" s="28"/>
      <c r="X153" s="40"/>
      <c r="Y153" s="40"/>
    </row>
    <row r="154" spans="5:25" x14ac:dyDescent="0.35">
      <c r="E154" t="s">
        <v>175</v>
      </c>
      <c r="F154" t="s">
        <v>437</v>
      </c>
      <c r="G154" s="28"/>
      <c r="O154" s="28"/>
      <c r="X154" s="40"/>
      <c r="Y154" s="40"/>
    </row>
    <row r="155" spans="5:25" x14ac:dyDescent="0.35">
      <c r="E155" t="s">
        <v>175</v>
      </c>
      <c r="F155" t="s">
        <v>438</v>
      </c>
      <c r="G155" s="28"/>
      <c r="O155" s="28"/>
      <c r="X155" s="40"/>
      <c r="Y155" s="40"/>
    </row>
    <row r="156" spans="5:25" x14ac:dyDescent="0.35">
      <c r="E156" t="s">
        <v>175</v>
      </c>
      <c r="F156" t="s">
        <v>439</v>
      </c>
      <c r="G156" s="28"/>
      <c r="O156" s="28"/>
      <c r="X156" s="40"/>
      <c r="Y156" s="40"/>
    </row>
    <row r="157" spans="5:25" x14ac:dyDescent="0.35">
      <c r="E157" t="s">
        <v>175</v>
      </c>
      <c r="F157" t="s">
        <v>440</v>
      </c>
      <c r="G157" s="28"/>
      <c r="O157" s="28"/>
      <c r="X157" s="40"/>
      <c r="Y157" s="40"/>
    </row>
    <row r="158" spans="5:25" x14ac:dyDescent="0.35">
      <c r="E158" t="s">
        <v>175</v>
      </c>
      <c r="F158" t="s">
        <v>385</v>
      </c>
      <c r="G158" s="28"/>
      <c r="O158" s="28"/>
      <c r="X158" s="40"/>
      <c r="Y158" s="40"/>
    </row>
    <row r="159" spans="5:25" x14ac:dyDescent="0.35">
      <c r="E159" t="s">
        <v>175</v>
      </c>
      <c r="F159" t="s">
        <v>441</v>
      </c>
      <c r="G159" s="28"/>
      <c r="O159" s="28"/>
      <c r="X159" s="40"/>
      <c r="Y159" s="40"/>
    </row>
    <row r="160" spans="5:25" x14ac:dyDescent="0.35">
      <c r="E160" t="s">
        <v>175</v>
      </c>
      <c r="F160" t="s">
        <v>442</v>
      </c>
      <c r="G160" s="28"/>
      <c r="O160" s="28"/>
      <c r="X160" s="40"/>
      <c r="Y160" s="40"/>
    </row>
    <row r="161" spans="5:25" x14ac:dyDescent="0.35">
      <c r="E161" t="s">
        <v>175</v>
      </c>
      <c r="F161" t="s">
        <v>443</v>
      </c>
      <c r="G161" s="28"/>
      <c r="O161" s="28"/>
      <c r="X161" s="40"/>
      <c r="Y161" s="40"/>
    </row>
    <row r="162" spans="5:25" x14ac:dyDescent="0.35">
      <c r="E162" t="s">
        <v>175</v>
      </c>
      <c r="F162" t="s">
        <v>444</v>
      </c>
      <c r="G162" s="28"/>
      <c r="O162" s="28"/>
      <c r="X162" s="40"/>
      <c r="Y162" s="40"/>
    </row>
    <row r="163" spans="5:25" x14ac:dyDescent="0.35">
      <c r="E163" t="s">
        <v>175</v>
      </c>
      <c r="F163" t="s">
        <v>445</v>
      </c>
      <c r="G163" s="28"/>
      <c r="O163" s="28"/>
      <c r="X163" s="40"/>
      <c r="Y163" s="40"/>
    </row>
    <row r="164" spans="5:25" x14ac:dyDescent="0.35">
      <c r="E164" t="s">
        <v>175</v>
      </c>
      <c r="F164" t="s">
        <v>446</v>
      </c>
      <c r="G164" s="28"/>
      <c r="O164" s="28"/>
      <c r="X164" s="40"/>
      <c r="Y164" s="40"/>
    </row>
    <row r="165" spans="5:25" x14ac:dyDescent="0.35">
      <c r="E165" t="s">
        <v>175</v>
      </c>
      <c r="F165" t="s">
        <v>447</v>
      </c>
      <c r="G165" s="28"/>
      <c r="O165" s="28"/>
      <c r="X165" s="40"/>
      <c r="Y165" s="40"/>
    </row>
    <row r="166" spans="5:25" x14ac:dyDescent="0.35">
      <c r="E166" t="s">
        <v>175</v>
      </c>
      <c r="F166" t="s">
        <v>448</v>
      </c>
      <c r="G166" s="28"/>
      <c r="O166" s="28"/>
      <c r="X166" s="40"/>
      <c r="Y166" s="40"/>
    </row>
    <row r="167" spans="5:25" x14ac:dyDescent="0.35">
      <c r="E167" t="s">
        <v>175</v>
      </c>
      <c r="F167" t="s">
        <v>449</v>
      </c>
      <c r="G167" s="28"/>
      <c r="O167" s="28"/>
      <c r="X167" s="40"/>
      <c r="Y167" s="40"/>
    </row>
    <row r="168" spans="5:25" x14ac:dyDescent="0.35">
      <c r="E168" t="s">
        <v>175</v>
      </c>
      <c r="F168" t="s">
        <v>450</v>
      </c>
      <c r="G168" s="28"/>
      <c r="O168" s="28"/>
      <c r="X168" s="40"/>
      <c r="Y168" s="40"/>
    </row>
    <row r="169" spans="5:25" x14ac:dyDescent="0.35">
      <c r="E169" t="s">
        <v>175</v>
      </c>
      <c r="F169" t="s">
        <v>394</v>
      </c>
      <c r="G169" s="28"/>
      <c r="O169" s="28"/>
      <c r="X169" s="40"/>
      <c r="Y169" s="40"/>
    </row>
    <row r="170" spans="5:25" x14ac:dyDescent="0.35">
      <c r="E170" t="s">
        <v>175</v>
      </c>
      <c r="F170" t="s">
        <v>451</v>
      </c>
      <c r="G170" s="28"/>
      <c r="O170" s="28"/>
      <c r="X170" s="40"/>
      <c r="Y170" s="40"/>
    </row>
    <row r="171" spans="5:25" x14ac:dyDescent="0.35">
      <c r="E171" t="s">
        <v>175</v>
      </c>
      <c r="F171" t="s">
        <v>452</v>
      </c>
      <c r="G171" s="28"/>
      <c r="O171" s="28"/>
      <c r="X171" s="40"/>
      <c r="Y171" s="40"/>
    </row>
    <row r="172" spans="5:25" x14ac:dyDescent="0.35">
      <c r="E172" t="s">
        <v>175</v>
      </c>
      <c r="F172" t="s">
        <v>453</v>
      </c>
      <c r="G172" s="28"/>
      <c r="O172" s="28"/>
      <c r="X172" s="40"/>
      <c r="Y172" s="40"/>
    </row>
    <row r="173" spans="5:25" x14ac:dyDescent="0.35">
      <c r="E173" t="s">
        <v>293</v>
      </c>
      <c r="F173" t="s">
        <v>454</v>
      </c>
      <c r="G173" s="28"/>
      <c r="O173" s="28"/>
      <c r="X173" s="40"/>
      <c r="Y173" s="40"/>
    </row>
    <row r="174" spans="5:25" x14ac:dyDescent="0.35">
      <c r="E174" t="s">
        <v>177</v>
      </c>
      <c r="F174" t="s">
        <v>455</v>
      </c>
      <c r="G174" s="28"/>
      <c r="O174" s="28"/>
      <c r="X174" s="40"/>
      <c r="Y174" s="40"/>
    </row>
    <row r="175" spans="5:25" x14ac:dyDescent="0.35">
      <c r="E175" t="s">
        <v>177</v>
      </c>
      <c r="F175" t="s">
        <v>456</v>
      </c>
      <c r="G175" s="28"/>
      <c r="O175" s="28"/>
      <c r="X175" s="40"/>
      <c r="Y175" s="40"/>
    </row>
    <row r="176" spans="5:25" x14ac:dyDescent="0.35">
      <c r="E176" t="s">
        <v>177</v>
      </c>
      <c r="F176" t="s">
        <v>457</v>
      </c>
      <c r="G176" s="28"/>
      <c r="O176" s="28"/>
      <c r="X176" s="40"/>
      <c r="Y176" s="40"/>
    </row>
    <row r="177" spans="5:25" x14ac:dyDescent="0.35">
      <c r="E177" t="s">
        <v>177</v>
      </c>
      <c r="F177" t="s">
        <v>458</v>
      </c>
      <c r="G177" s="28"/>
      <c r="O177" s="28"/>
      <c r="X177" s="40"/>
      <c r="Y177" s="40"/>
    </row>
    <row r="178" spans="5:25" x14ac:dyDescent="0.35">
      <c r="E178" t="s">
        <v>177</v>
      </c>
      <c r="F178" t="s">
        <v>459</v>
      </c>
      <c r="G178" s="28"/>
      <c r="O178" s="28"/>
      <c r="X178" s="40"/>
      <c r="Y178" s="40"/>
    </row>
    <row r="179" spans="5:25" x14ac:dyDescent="0.35">
      <c r="E179" t="s">
        <v>177</v>
      </c>
      <c r="F179" t="s">
        <v>460</v>
      </c>
      <c r="G179" s="28"/>
      <c r="O179" s="28"/>
      <c r="X179" s="40"/>
      <c r="Y179" s="40"/>
    </row>
    <row r="180" spans="5:25" x14ac:dyDescent="0.35">
      <c r="E180" t="s">
        <v>177</v>
      </c>
      <c r="F180" t="s">
        <v>461</v>
      </c>
      <c r="G180" s="28"/>
      <c r="O180" s="28"/>
      <c r="X180" s="40"/>
      <c r="Y180" s="40"/>
    </row>
    <row r="181" spans="5:25" x14ac:dyDescent="0.35">
      <c r="E181" t="s">
        <v>177</v>
      </c>
      <c r="F181" t="s">
        <v>462</v>
      </c>
      <c r="G181" s="28"/>
      <c r="O181" s="28"/>
      <c r="X181" s="40"/>
      <c r="Y181" s="40"/>
    </row>
    <row r="182" spans="5:25" x14ac:dyDescent="0.35">
      <c r="E182" t="s">
        <v>177</v>
      </c>
      <c r="F182" t="s">
        <v>463</v>
      </c>
      <c r="G182" s="28"/>
      <c r="O182" s="28"/>
      <c r="X182" s="40"/>
      <c r="Y182" s="40"/>
    </row>
    <row r="183" spans="5:25" x14ac:dyDescent="0.35">
      <c r="E183" t="s">
        <v>177</v>
      </c>
      <c r="F183" t="s">
        <v>464</v>
      </c>
      <c r="G183" s="28"/>
      <c r="O183" s="28"/>
      <c r="X183" s="40"/>
      <c r="Y183" s="40"/>
    </row>
    <row r="184" spans="5:25" x14ac:dyDescent="0.35">
      <c r="E184" t="s">
        <v>177</v>
      </c>
      <c r="F184" t="s">
        <v>465</v>
      </c>
      <c r="G184" s="28"/>
      <c r="O184" s="28"/>
      <c r="X184" s="40"/>
      <c r="Y184" s="40"/>
    </row>
    <row r="185" spans="5:25" x14ac:dyDescent="0.35">
      <c r="E185" t="s">
        <v>177</v>
      </c>
      <c r="F185" t="s">
        <v>466</v>
      </c>
      <c r="G185" s="28"/>
      <c r="O185" s="28"/>
      <c r="X185" s="40"/>
      <c r="Y185" s="40"/>
    </row>
    <row r="186" spans="5:25" x14ac:dyDescent="0.35">
      <c r="E186" t="s">
        <v>177</v>
      </c>
      <c r="F186" t="s">
        <v>467</v>
      </c>
      <c r="G186" s="28"/>
      <c r="O186" s="28"/>
      <c r="X186" s="40"/>
      <c r="Y186" s="40"/>
    </row>
    <row r="187" spans="5:25" x14ac:dyDescent="0.35">
      <c r="E187" t="s">
        <v>177</v>
      </c>
      <c r="F187" t="s">
        <v>468</v>
      </c>
      <c r="G187" s="28"/>
      <c r="O187" s="28"/>
      <c r="X187" s="40"/>
      <c r="Y187" s="40"/>
    </row>
    <row r="188" spans="5:25" x14ac:dyDescent="0.35">
      <c r="E188" t="s">
        <v>177</v>
      </c>
      <c r="F188" t="s">
        <v>469</v>
      </c>
      <c r="G188" s="28"/>
      <c r="O188" s="28"/>
      <c r="X188" s="40"/>
      <c r="Y188" s="40"/>
    </row>
    <row r="189" spans="5:25" x14ac:dyDescent="0.35">
      <c r="E189" t="s">
        <v>178</v>
      </c>
      <c r="F189" t="s">
        <v>470</v>
      </c>
      <c r="G189" s="28"/>
      <c r="O189" s="28"/>
      <c r="X189" s="40"/>
      <c r="Y189" s="40"/>
    </row>
    <row r="190" spans="5:25" x14ac:dyDescent="0.35">
      <c r="E190" t="s">
        <v>178</v>
      </c>
      <c r="F190" t="s">
        <v>471</v>
      </c>
      <c r="G190" s="28"/>
      <c r="O190" s="28"/>
      <c r="X190" s="40"/>
      <c r="Y190" s="40"/>
    </row>
    <row r="191" spans="5:25" x14ac:dyDescent="0.35">
      <c r="E191" t="s">
        <v>178</v>
      </c>
      <c r="F191" t="s">
        <v>472</v>
      </c>
      <c r="G191" s="28"/>
      <c r="O191" s="28"/>
      <c r="X191" s="40"/>
      <c r="Y191" s="40"/>
    </row>
    <row r="192" spans="5:25" x14ac:dyDescent="0.35">
      <c r="E192" t="s">
        <v>178</v>
      </c>
      <c r="F192" t="s">
        <v>473</v>
      </c>
      <c r="G192" s="28"/>
      <c r="O192" s="28"/>
      <c r="X192" s="40"/>
      <c r="Y192" s="40"/>
    </row>
    <row r="193" spans="5:25" x14ac:dyDescent="0.35">
      <c r="E193" t="s">
        <v>178</v>
      </c>
      <c r="F193" t="s">
        <v>474</v>
      </c>
      <c r="G193" s="28"/>
      <c r="O193" s="28"/>
      <c r="X193" s="40"/>
      <c r="Y193" s="40"/>
    </row>
    <row r="194" spans="5:25" x14ac:dyDescent="0.35">
      <c r="E194" t="s">
        <v>178</v>
      </c>
      <c r="F194" t="s">
        <v>475</v>
      </c>
      <c r="G194" s="28"/>
      <c r="O194" s="28"/>
      <c r="X194" s="40"/>
      <c r="Y194" s="40"/>
    </row>
    <row r="195" spans="5:25" x14ac:dyDescent="0.35">
      <c r="E195" t="s">
        <v>178</v>
      </c>
      <c r="F195" t="s">
        <v>476</v>
      </c>
      <c r="G195" s="28"/>
      <c r="O195" s="28"/>
      <c r="X195" s="40"/>
      <c r="Y195" s="40"/>
    </row>
    <row r="196" spans="5:25" x14ac:dyDescent="0.35">
      <c r="E196" t="s">
        <v>178</v>
      </c>
      <c r="F196" t="s">
        <v>477</v>
      </c>
      <c r="G196" s="28"/>
      <c r="O196" s="28"/>
      <c r="X196" s="40"/>
      <c r="Y196" s="40"/>
    </row>
    <row r="197" spans="5:25" x14ac:dyDescent="0.35">
      <c r="E197" t="s">
        <v>178</v>
      </c>
      <c r="F197" t="s">
        <v>478</v>
      </c>
      <c r="G197" s="28"/>
      <c r="O197" s="28"/>
      <c r="X197" s="40"/>
      <c r="Y197" s="40"/>
    </row>
    <row r="198" spans="5:25" x14ac:dyDescent="0.35">
      <c r="E198" t="s">
        <v>178</v>
      </c>
      <c r="F198" t="s">
        <v>479</v>
      </c>
      <c r="G198" s="28"/>
      <c r="O198" s="28"/>
      <c r="X198" s="40"/>
      <c r="Y198" s="40"/>
    </row>
    <row r="199" spans="5:25" x14ac:dyDescent="0.35">
      <c r="E199" t="s">
        <v>178</v>
      </c>
      <c r="F199" t="s">
        <v>480</v>
      </c>
      <c r="G199" s="28"/>
      <c r="O199" s="28"/>
      <c r="X199" s="40"/>
      <c r="Y199" s="40"/>
    </row>
    <row r="200" spans="5:25" x14ac:dyDescent="0.35">
      <c r="E200" t="s">
        <v>178</v>
      </c>
      <c r="F200" t="s">
        <v>481</v>
      </c>
      <c r="G200" s="28"/>
      <c r="O200" s="28"/>
      <c r="X200" s="40"/>
      <c r="Y200" s="40"/>
    </row>
    <row r="201" spans="5:25" x14ac:dyDescent="0.35">
      <c r="E201" t="s">
        <v>178</v>
      </c>
      <c r="F201" t="s">
        <v>482</v>
      </c>
      <c r="G201" s="28"/>
      <c r="O201" s="28"/>
      <c r="X201" s="40"/>
      <c r="Y201" s="40"/>
    </row>
    <row r="202" spans="5:25" x14ac:dyDescent="0.35">
      <c r="E202" t="s">
        <v>178</v>
      </c>
      <c r="F202" t="s">
        <v>483</v>
      </c>
      <c r="G202" s="28"/>
      <c r="O202" s="28"/>
      <c r="X202" s="40"/>
      <c r="Y202" s="40"/>
    </row>
    <row r="203" spans="5:25" x14ac:dyDescent="0.35">
      <c r="E203" t="s">
        <v>178</v>
      </c>
      <c r="F203" t="s">
        <v>484</v>
      </c>
      <c r="G203" s="28"/>
      <c r="O203" s="28"/>
      <c r="X203" s="40"/>
      <c r="Y203" s="40"/>
    </row>
    <row r="204" spans="5:25" x14ac:dyDescent="0.35">
      <c r="E204" t="s">
        <v>178</v>
      </c>
      <c r="F204" t="s">
        <v>485</v>
      </c>
      <c r="G204" s="28"/>
      <c r="O204" s="28"/>
      <c r="X204" s="40"/>
      <c r="Y204" s="40"/>
    </row>
    <row r="205" spans="5:25" x14ac:dyDescent="0.35">
      <c r="E205" t="s">
        <v>178</v>
      </c>
      <c r="F205" t="s">
        <v>486</v>
      </c>
      <c r="G205" s="28"/>
      <c r="O205" s="28"/>
      <c r="X205" s="40"/>
      <c r="Y205" s="40"/>
    </row>
    <row r="206" spans="5:25" x14ac:dyDescent="0.35">
      <c r="E206" t="s">
        <v>178</v>
      </c>
      <c r="F206" t="s">
        <v>487</v>
      </c>
      <c r="G206" s="28"/>
      <c r="O206" s="28"/>
      <c r="X206" s="40"/>
      <c r="Y206" s="40"/>
    </row>
    <row r="207" spans="5:25" x14ac:dyDescent="0.35">
      <c r="E207" t="s">
        <v>178</v>
      </c>
      <c r="F207" t="s">
        <v>488</v>
      </c>
      <c r="G207" s="28"/>
      <c r="O207" s="28"/>
      <c r="X207" s="40"/>
      <c r="Y207" s="40"/>
    </row>
    <row r="208" spans="5:25" x14ac:dyDescent="0.35">
      <c r="E208" t="s">
        <v>178</v>
      </c>
      <c r="F208" t="s">
        <v>489</v>
      </c>
      <c r="G208" s="28"/>
      <c r="O208" s="28"/>
      <c r="X208" s="40"/>
      <c r="Y208" s="40"/>
    </row>
    <row r="209" spans="5:25" x14ac:dyDescent="0.35">
      <c r="E209" t="s">
        <v>178</v>
      </c>
      <c r="F209" t="s">
        <v>490</v>
      </c>
      <c r="G209" s="28"/>
      <c r="O209" s="28"/>
      <c r="X209" s="40"/>
      <c r="Y209" s="40"/>
    </row>
    <row r="210" spans="5:25" x14ac:dyDescent="0.35">
      <c r="E210" t="s">
        <v>178</v>
      </c>
      <c r="F210" t="s">
        <v>491</v>
      </c>
      <c r="G210" s="28"/>
      <c r="O210" s="28"/>
      <c r="X210" s="40"/>
      <c r="Y210" s="40"/>
    </row>
    <row r="211" spans="5:25" x14ac:dyDescent="0.35">
      <c r="E211" t="s">
        <v>178</v>
      </c>
      <c r="F211" t="s">
        <v>492</v>
      </c>
      <c r="G211" s="28"/>
      <c r="O211" s="28"/>
      <c r="X211" s="40"/>
      <c r="Y211" s="40"/>
    </row>
    <row r="212" spans="5:25" x14ac:dyDescent="0.35">
      <c r="E212" t="s">
        <v>178</v>
      </c>
      <c r="F212" t="s">
        <v>493</v>
      </c>
      <c r="G212" s="28"/>
      <c r="O212" s="28"/>
      <c r="X212" s="40"/>
      <c r="Y212" s="40"/>
    </row>
    <row r="213" spans="5:25" x14ac:dyDescent="0.35">
      <c r="E213" t="s">
        <v>178</v>
      </c>
      <c r="F213" t="s">
        <v>494</v>
      </c>
      <c r="G213" s="28"/>
      <c r="O213" s="28"/>
      <c r="X213" s="40"/>
      <c r="Y213" s="40"/>
    </row>
    <row r="214" spans="5:25" x14ac:dyDescent="0.35">
      <c r="E214" t="s">
        <v>178</v>
      </c>
      <c r="F214" t="s">
        <v>495</v>
      </c>
      <c r="G214" s="28"/>
      <c r="O214" s="28"/>
      <c r="X214" s="40"/>
      <c r="Y214" s="40"/>
    </row>
    <row r="215" spans="5:25" x14ac:dyDescent="0.35">
      <c r="E215" t="s">
        <v>178</v>
      </c>
      <c r="F215" t="s">
        <v>496</v>
      </c>
      <c r="G215" s="28"/>
      <c r="O215" s="28"/>
      <c r="X215" s="40"/>
      <c r="Y215" s="40"/>
    </row>
    <row r="216" spans="5:25" x14ac:dyDescent="0.35">
      <c r="E216" t="s">
        <v>178</v>
      </c>
      <c r="F216" t="s">
        <v>497</v>
      </c>
      <c r="G216" s="28"/>
      <c r="O216" s="28"/>
      <c r="X216" s="40"/>
      <c r="Y216" s="40"/>
    </row>
    <row r="217" spans="5:25" x14ac:dyDescent="0.35">
      <c r="E217" t="s">
        <v>178</v>
      </c>
      <c r="F217" t="s">
        <v>432</v>
      </c>
      <c r="G217" s="28"/>
      <c r="O217" s="28"/>
      <c r="X217" s="40"/>
      <c r="Y217" s="40"/>
    </row>
    <row r="218" spans="5:25" x14ac:dyDescent="0.35">
      <c r="E218" t="s">
        <v>178</v>
      </c>
      <c r="F218" t="s">
        <v>498</v>
      </c>
      <c r="G218" s="28"/>
      <c r="O218" s="28"/>
      <c r="X218" s="40"/>
      <c r="Y218" s="40"/>
    </row>
    <row r="219" spans="5:25" x14ac:dyDescent="0.35">
      <c r="E219" t="s">
        <v>178</v>
      </c>
      <c r="F219" t="s">
        <v>499</v>
      </c>
      <c r="G219" s="28"/>
      <c r="O219" s="28"/>
      <c r="X219" s="40"/>
      <c r="Y219" s="40"/>
    </row>
    <row r="220" spans="5:25" x14ac:dyDescent="0.35">
      <c r="E220" t="s">
        <v>178</v>
      </c>
      <c r="F220" t="s">
        <v>500</v>
      </c>
      <c r="G220" s="28"/>
      <c r="O220" s="28"/>
      <c r="X220" s="40"/>
      <c r="Y220" s="40"/>
    </row>
    <row r="221" spans="5:25" x14ac:dyDescent="0.35">
      <c r="E221" t="s">
        <v>178</v>
      </c>
      <c r="F221" t="s">
        <v>501</v>
      </c>
      <c r="G221" s="28"/>
      <c r="O221" s="28"/>
      <c r="X221" s="40"/>
      <c r="Y221" s="40"/>
    </row>
    <row r="222" spans="5:25" x14ac:dyDescent="0.35">
      <c r="E222" t="s">
        <v>178</v>
      </c>
      <c r="F222" t="s">
        <v>502</v>
      </c>
      <c r="G222" s="28"/>
      <c r="O222" s="28"/>
      <c r="X222" s="40"/>
      <c r="Y222" s="40"/>
    </row>
    <row r="223" spans="5:25" x14ac:dyDescent="0.35">
      <c r="E223" t="s">
        <v>178</v>
      </c>
      <c r="F223" t="s">
        <v>503</v>
      </c>
      <c r="G223" s="28"/>
      <c r="O223" s="28"/>
      <c r="X223" s="40"/>
      <c r="Y223" s="40"/>
    </row>
    <row r="224" spans="5:25" x14ac:dyDescent="0.35">
      <c r="E224" t="s">
        <v>178</v>
      </c>
      <c r="F224" t="s">
        <v>504</v>
      </c>
      <c r="G224" s="28"/>
      <c r="O224" s="28"/>
      <c r="X224" s="40"/>
      <c r="Y224" s="40"/>
    </row>
    <row r="225" spans="5:25" x14ac:dyDescent="0.35">
      <c r="E225" t="s">
        <v>178</v>
      </c>
      <c r="F225" t="s">
        <v>505</v>
      </c>
      <c r="G225" s="28"/>
      <c r="O225" s="28"/>
      <c r="X225" s="40"/>
      <c r="Y225" s="40"/>
    </row>
    <row r="226" spans="5:25" x14ac:dyDescent="0.35">
      <c r="E226" t="s">
        <v>178</v>
      </c>
      <c r="F226" t="s">
        <v>506</v>
      </c>
      <c r="G226" s="28"/>
      <c r="O226" s="28"/>
      <c r="X226" s="40"/>
      <c r="Y226" s="40"/>
    </row>
    <row r="227" spans="5:25" x14ac:dyDescent="0.35">
      <c r="E227" t="s">
        <v>178</v>
      </c>
      <c r="F227" t="s">
        <v>507</v>
      </c>
      <c r="G227" s="28"/>
      <c r="O227" s="28"/>
      <c r="X227" s="40"/>
      <c r="Y227" s="40"/>
    </row>
    <row r="228" spans="5:25" x14ac:dyDescent="0.35">
      <c r="E228" t="s">
        <v>178</v>
      </c>
      <c r="F228" t="s">
        <v>508</v>
      </c>
      <c r="G228" s="28"/>
      <c r="O228" s="28"/>
      <c r="X228" s="40"/>
      <c r="Y228" s="40"/>
    </row>
    <row r="229" spans="5:25" x14ac:dyDescent="0.35">
      <c r="E229" t="s">
        <v>178</v>
      </c>
      <c r="F229" t="s">
        <v>509</v>
      </c>
      <c r="G229" s="28"/>
      <c r="O229" s="28"/>
      <c r="X229" s="40"/>
      <c r="Y229" s="40"/>
    </row>
    <row r="230" spans="5:25" x14ac:dyDescent="0.35">
      <c r="E230" t="s">
        <v>178</v>
      </c>
      <c r="F230" t="s">
        <v>510</v>
      </c>
      <c r="G230" s="28"/>
      <c r="O230" s="28"/>
      <c r="X230" s="40"/>
      <c r="Y230" s="40"/>
    </row>
    <row r="231" spans="5:25" x14ac:dyDescent="0.35">
      <c r="E231" t="s">
        <v>178</v>
      </c>
      <c r="F231" t="s">
        <v>511</v>
      </c>
      <c r="G231" s="28"/>
      <c r="O231" s="28"/>
      <c r="X231" s="40"/>
      <c r="Y231" s="40"/>
    </row>
    <row r="232" spans="5:25" x14ac:dyDescent="0.35">
      <c r="E232" t="s">
        <v>178</v>
      </c>
      <c r="F232" t="s">
        <v>467</v>
      </c>
      <c r="G232" s="28"/>
      <c r="O232" s="28"/>
      <c r="X232" s="40"/>
      <c r="Y232" s="40"/>
    </row>
    <row r="233" spans="5:25" x14ac:dyDescent="0.35">
      <c r="E233" t="s">
        <v>178</v>
      </c>
      <c r="F233" t="s">
        <v>512</v>
      </c>
      <c r="G233" s="28"/>
      <c r="O233" s="28"/>
      <c r="X233" s="40"/>
      <c r="Y233" s="40"/>
    </row>
    <row r="234" spans="5:25" x14ac:dyDescent="0.35">
      <c r="E234" t="s">
        <v>178</v>
      </c>
      <c r="F234" t="s">
        <v>513</v>
      </c>
      <c r="G234" s="28"/>
      <c r="O234" s="28"/>
      <c r="X234" s="40"/>
      <c r="Y234" s="40"/>
    </row>
    <row r="235" spans="5:25" x14ac:dyDescent="0.35">
      <c r="E235" t="s">
        <v>178</v>
      </c>
      <c r="F235" t="s">
        <v>514</v>
      </c>
      <c r="G235" s="28"/>
      <c r="O235" s="28"/>
      <c r="X235" s="40"/>
      <c r="Y235" s="40"/>
    </row>
    <row r="236" spans="5:25" x14ac:dyDescent="0.35">
      <c r="E236" t="s">
        <v>178</v>
      </c>
      <c r="F236" t="s">
        <v>515</v>
      </c>
      <c r="G236" s="28"/>
      <c r="O236" s="28"/>
      <c r="X236" s="40"/>
      <c r="Y236" s="40"/>
    </row>
    <row r="237" spans="5:25" x14ac:dyDescent="0.35">
      <c r="E237" t="s">
        <v>178</v>
      </c>
      <c r="F237" t="s">
        <v>516</v>
      </c>
      <c r="G237" s="28"/>
      <c r="O237" s="28"/>
      <c r="X237" s="40"/>
      <c r="Y237" s="40"/>
    </row>
    <row r="238" spans="5:25" x14ac:dyDescent="0.35">
      <c r="E238" t="s">
        <v>178</v>
      </c>
      <c r="F238" t="s">
        <v>517</v>
      </c>
      <c r="G238" s="28"/>
      <c r="O238" s="28"/>
      <c r="X238" s="40"/>
      <c r="Y238" s="40"/>
    </row>
    <row r="239" spans="5:25" x14ac:dyDescent="0.35">
      <c r="E239" t="s">
        <v>178</v>
      </c>
      <c r="F239" t="s">
        <v>518</v>
      </c>
      <c r="G239" s="28"/>
      <c r="O239" s="28"/>
      <c r="X239" s="40"/>
      <c r="Y239" s="40"/>
    </row>
    <row r="240" spans="5:25" x14ac:dyDescent="0.35">
      <c r="E240" t="s">
        <v>178</v>
      </c>
      <c r="F240" t="s">
        <v>519</v>
      </c>
      <c r="G240" s="28"/>
      <c r="O240" s="28"/>
      <c r="X240" s="40"/>
      <c r="Y240" s="40"/>
    </row>
    <row r="241" spans="5:25" x14ac:dyDescent="0.35">
      <c r="E241" t="s">
        <v>178</v>
      </c>
      <c r="F241" t="s">
        <v>520</v>
      </c>
      <c r="G241" s="28"/>
      <c r="O241" s="28"/>
      <c r="X241" s="40"/>
      <c r="Y241" s="40"/>
    </row>
    <row r="242" spans="5:25" x14ac:dyDescent="0.35">
      <c r="E242" t="s">
        <v>178</v>
      </c>
      <c r="F242" t="s">
        <v>521</v>
      </c>
      <c r="G242" s="28"/>
      <c r="O242" s="28"/>
      <c r="X242" s="40"/>
      <c r="Y242" s="40"/>
    </row>
    <row r="243" spans="5:25" x14ac:dyDescent="0.35">
      <c r="E243" t="s">
        <v>178</v>
      </c>
      <c r="F243" t="s">
        <v>522</v>
      </c>
      <c r="G243" s="28"/>
      <c r="O243" s="28"/>
      <c r="X243" s="40"/>
      <c r="Y243" s="40"/>
    </row>
    <row r="244" spans="5:25" x14ac:dyDescent="0.35">
      <c r="E244" t="s">
        <v>178</v>
      </c>
      <c r="F244" t="s">
        <v>523</v>
      </c>
      <c r="G244" s="28"/>
      <c r="O244" s="28"/>
      <c r="X244" s="40"/>
      <c r="Y244" s="40"/>
    </row>
    <row r="245" spans="5:25" x14ac:dyDescent="0.35">
      <c r="E245" t="s">
        <v>178</v>
      </c>
      <c r="F245" t="s">
        <v>524</v>
      </c>
      <c r="G245" s="28"/>
      <c r="O245" s="28"/>
      <c r="X245" s="40"/>
      <c r="Y245" s="40"/>
    </row>
    <row r="246" spans="5:25" x14ac:dyDescent="0.35">
      <c r="E246" t="s">
        <v>178</v>
      </c>
      <c r="F246" t="s">
        <v>525</v>
      </c>
      <c r="G246" s="28"/>
      <c r="O246" s="28"/>
      <c r="X246" s="40"/>
      <c r="Y246" s="40"/>
    </row>
    <row r="247" spans="5:25" x14ac:dyDescent="0.35">
      <c r="E247" t="s">
        <v>179</v>
      </c>
      <c r="F247" t="s">
        <v>526</v>
      </c>
      <c r="G247" s="28"/>
      <c r="O247" s="28"/>
      <c r="X247" s="40"/>
      <c r="Y247" s="40"/>
    </row>
    <row r="248" spans="5:25" x14ac:dyDescent="0.35">
      <c r="E248" t="s">
        <v>179</v>
      </c>
      <c r="F248" t="s">
        <v>527</v>
      </c>
      <c r="G248" s="28"/>
      <c r="O248" s="28"/>
      <c r="X248" s="40"/>
      <c r="Y248" s="40"/>
    </row>
    <row r="249" spans="5:25" x14ac:dyDescent="0.35">
      <c r="E249" t="s">
        <v>179</v>
      </c>
      <c r="F249" t="s">
        <v>528</v>
      </c>
      <c r="G249" s="28"/>
      <c r="O249" s="28"/>
      <c r="X249" s="40"/>
      <c r="Y249" s="40"/>
    </row>
    <row r="250" spans="5:25" x14ac:dyDescent="0.35">
      <c r="E250" t="s">
        <v>179</v>
      </c>
      <c r="F250" t="s">
        <v>529</v>
      </c>
      <c r="G250" s="28"/>
      <c r="O250" s="28"/>
      <c r="X250" s="40"/>
      <c r="Y250" s="40"/>
    </row>
    <row r="251" spans="5:25" x14ac:dyDescent="0.35">
      <c r="E251" t="s">
        <v>179</v>
      </c>
      <c r="F251" t="s">
        <v>530</v>
      </c>
      <c r="G251" s="28"/>
      <c r="O251" s="28"/>
      <c r="X251" s="40"/>
      <c r="Y251" s="40"/>
    </row>
    <row r="252" spans="5:25" x14ac:dyDescent="0.35">
      <c r="E252" t="s">
        <v>179</v>
      </c>
      <c r="F252" t="s">
        <v>531</v>
      </c>
      <c r="G252" s="28"/>
      <c r="O252" s="28"/>
      <c r="X252" s="40"/>
      <c r="Y252" s="40"/>
    </row>
    <row r="253" spans="5:25" x14ac:dyDescent="0.35">
      <c r="E253" t="s">
        <v>179</v>
      </c>
      <c r="F253" t="s">
        <v>532</v>
      </c>
      <c r="G253" s="28"/>
      <c r="O253" s="28"/>
      <c r="X253" s="40"/>
      <c r="Y253" s="40"/>
    </row>
    <row r="254" spans="5:25" x14ac:dyDescent="0.35">
      <c r="E254" t="s">
        <v>179</v>
      </c>
      <c r="F254" t="s">
        <v>533</v>
      </c>
      <c r="G254" s="28"/>
      <c r="O254" s="28"/>
      <c r="X254" s="40"/>
      <c r="Y254" s="40"/>
    </row>
    <row r="255" spans="5:25" x14ac:dyDescent="0.35">
      <c r="E255" t="s">
        <v>179</v>
      </c>
      <c r="F255" t="s">
        <v>534</v>
      </c>
      <c r="G255" s="28"/>
      <c r="O255" s="28"/>
      <c r="X255" s="40"/>
      <c r="Y255" s="40"/>
    </row>
    <row r="256" spans="5:25" x14ac:dyDescent="0.35">
      <c r="E256" t="s">
        <v>179</v>
      </c>
      <c r="F256" t="s">
        <v>535</v>
      </c>
      <c r="G256" s="28"/>
      <c r="N256" s="28"/>
      <c r="O256" s="28"/>
      <c r="X256" s="40"/>
      <c r="Y256" s="40"/>
    </row>
    <row r="257" spans="5:25" x14ac:dyDescent="0.35">
      <c r="E257" t="s">
        <v>179</v>
      </c>
      <c r="F257" t="s">
        <v>536</v>
      </c>
      <c r="G257" s="28"/>
      <c r="N257" s="28"/>
      <c r="O257" s="28"/>
      <c r="X257" s="40"/>
      <c r="Y257" s="40"/>
    </row>
    <row r="258" spans="5:25" x14ac:dyDescent="0.35">
      <c r="E258" t="s">
        <v>179</v>
      </c>
      <c r="F258" t="s">
        <v>537</v>
      </c>
      <c r="G258" s="28"/>
      <c r="N258" s="28"/>
      <c r="O258" s="28"/>
      <c r="X258" s="40"/>
      <c r="Y258" s="40"/>
    </row>
    <row r="259" spans="5:25" x14ac:dyDescent="0.35">
      <c r="E259" t="s">
        <v>179</v>
      </c>
      <c r="F259" t="s">
        <v>538</v>
      </c>
      <c r="G259" s="28"/>
      <c r="N259" s="28"/>
      <c r="O259" s="28"/>
      <c r="X259" s="40"/>
      <c r="Y259" s="40"/>
    </row>
    <row r="260" spans="5:25" x14ac:dyDescent="0.35">
      <c r="E260" t="s">
        <v>179</v>
      </c>
      <c r="F260" t="s">
        <v>539</v>
      </c>
      <c r="G260" s="28"/>
      <c r="N260" s="28"/>
      <c r="O260" s="28"/>
      <c r="X260" s="40"/>
      <c r="Y260" s="40"/>
    </row>
    <row r="261" spans="5:25" x14ac:dyDescent="0.35">
      <c r="E261" t="s">
        <v>179</v>
      </c>
      <c r="F261" t="s">
        <v>540</v>
      </c>
      <c r="G261" s="28"/>
      <c r="N261" s="28"/>
      <c r="O261" s="28"/>
      <c r="X261" s="40"/>
      <c r="Y261" s="40"/>
    </row>
    <row r="262" spans="5:25" x14ac:dyDescent="0.35">
      <c r="E262" t="s">
        <v>179</v>
      </c>
      <c r="F262" t="s">
        <v>541</v>
      </c>
      <c r="G262" s="28"/>
      <c r="N262" s="28"/>
      <c r="O262" s="28"/>
      <c r="X262" s="40"/>
      <c r="Y262" s="40"/>
    </row>
    <row r="263" spans="5:25" x14ac:dyDescent="0.35">
      <c r="E263" t="s">
        <v>179</v>
      </c>
      <c r="F263" t="s">
        <v>542</v>
      </c>
      <c r="G263" s="28"/>
      <c r="N263" s="28"/>
      <c r="O263" s="28"/>
      <c r="X263" s="40"/>
      <c r="Y263" s="40"/>
    </row>
    <row r="264" spans="5:25" x14ac:dyDescent="0.35">
      <c r="E264" t="s">
        <v>179</v>
      </c>
      <c r="F264" t="s">
        <v>543</v>
      </c>
      <c r="G264" s="28"/>
      <c r="N264" s="28"/>
      <c r="O264" s="28"/>
      <c r="X264" s="40"/>
      <c r="Y264" s="40"/>
    </row>
    <row r="265" spans="5:25" x14ac:dyDescent="0.35">
      <c r="E265" t="s">
        <v>179</v>
      </c>
      <c r="F265" t="s">
        <v>544</v>
      </c>
      <c r="G265" s="28"/>
      <c r="N265" s="28"/>
      <c r="O265" s="28"/>
      <c r="X265" s="40"/>
      <c r="Y265" s="40"/>
    </row>
    <row r="266" spans="5:25" x14ac:dyDescent="0.35">
      <c r="E266" t="s">
        <v>179</v>
      </c>
      <c r="F266" t="s">
        <v>545</v>
      </c>
      <c r="G266" s="28"/>
      <c r="N266" s="28"/>
      <c r="O266" s="28"/>
      <c r="X266" s="40"/>
      <c r="Y266" s="40"/>
    </row>
    <row r="267" spans="5:25" x14ac:dyDescent="0.35">
      <c r="E267" t="s">
        <v>179</v>
      </c>
      <c r="F267" t="s">
        <v>546</v>
      </c>
      <c r="G267" s="28"/>
      <c r="N267" s="28"/>
      <c r="O267" s="28"/>
      <c r="X267" s="40"/>
      <c r="Y267" s="40"/>
    </row>
    <row r="268" spans="5:25" x14ac:dyDescent="0.35">
      <c r="E268" t="s">
        <v>179</v>
      </c>
      <c r="F268" t="s">
        <v>547</v>
      </c>
      <c r="G268" s="28"/>
      <c r="N268" s="28"/>
      <c r="O268" s="28"/>
      <c r="X268" s="40"/>
      <c r="Y268" s="40"/>
    </row>
    <row r="269" spans="5:25" x14ac:dyDescent="0.35">
      <c r="E269" t="s">
        <v>179</v>
      </c>
      <c r="F269" t="s">
        <v>548</v>
      </c>
      <c r="G269" s="28"/>
      <c r="N269" s="28"/>
      <c r="O269" s="28"/>
      <c r="X269" s="40"/>
      <c r="Y269" s="40"/>
    </row>
    <row r="270" spans="5:25" x14ac:dyDescent="0.35">
      <c r="E270" t="s">
        <v>179</v>
      </c>
      <c r="F270" t="s">
        <v>549</v>
      </c>
      <c r="G270" s="28"/>
      <c r="N270" s="28"/>
      <c r="O270" s="28"/>
      <c r="X270" s="40"/>
      <c r="Y270" s="40"/>
    </row>
    <row r="271" spans="5:25" x14ac:dyDescent="0.35">
      <c r="E271" t="s">
        <v>179</v>
      </c>
      <c r="F271" t="s">
        <v>550</v>
      </c>
      <c r="G271" s="28"/>
      <c r="N271" s="28"/>
      <c r="O271" s="28"/>
      <c r="X271" s="40"/>
      <c r="Y271" s="40"/>
    </row>
    <row r="272" spans="5:25" x14ac:dyDescent="0.35">
      <c r="E272" t="s">
        <v>179</v>
      </c>
      <c r="F272" t="s">
        <v>551</v>
      </c>
      <c r="G272" s="28"/>
      <c r="N272" s="28"/>
      <c r="O272" s="28"/>
      <c r="X272" s="40"/>
      <c r="Y272" s="40"/>
    </row>
    <row r="273" spans="5:25" x14ac:dyDescent="0.35">
      <c r="E273" t="s">
        <v>179</v>
      </c>
      <c r="F273" t="s">
        <v>552</v>
      </c>
      <c r="G273" s="28"/>
      <c r="N273" s="28"/>
      <c r="O273" s="28"/>
      <c r="X273" s="40"/>
      <c r="Y273" s="40"/>
    </row>
    <row r="274" spans="5:25" x14ac:dyDescent="0.35">
      <c r="E274" t="s">
        <v>179</v>
      </c>
      <c r="F274" t="s">
        <v>553</v>
      </c>
      <c r="G274" s="28"/>
      <c r="N274" s="28"/>
      <c r="O274" s="28"/>
      <c r="X274" s="40"/>
      <c r="Y274" s="40"/>
    </row>
    <row r="275" spans="5:25" x14ac:dyDescent="0.35">
      <c r="E275" t="s">
        <v>179</v>
      </c>
      <c r="F275" t="s">
        <v>554</v>
      </c>
      <c r="G275" s="28"/>
      <c r="N275" s="28"/>
      <c r="O275" s="28"/>
      <c r="X275" s="40"/>
      <c r="Y275" s="40"/>
    </row>
    <row r="276" spans="5:25" x14ac:dyDescent="0.35">
      <c r="E276" t="s">
        <v>179</v>
      </c>
      <c r="F276" t="s">
        <v>365</v>
      </c>
      <c r="G276" s="28"/>
      <c r="N276" s="28"/>
      <c r="O276" s="28"/>
      <c r="X276" s="40"/>
      <c r="Y276" s="40"/>
    </row>
    <row r="277" spans="5:25" x14ac:dyDescent="0.35">
      <c r="E277" t="s">
        <v>179</v>
      </c>
      <c r="F277" t="s">
        <v>366</v>
      </c>
      <c r="G277" s="28"/>
      <c r="N277" s="28"/>
      <c r="O277" s="28"/>
      <c r="X277" s="40"/>
      <c r="Y277" s="40"/>
    </row>
    <row r="278" spans="5:25" x14ac:dyDescent="0.35">
      <c r="E278" t="s">
        <v>179</v>
      </c>
      <c r="F278" t="s">
        <v>555</v>
      </c>
      <c r="G278" s="28"/>
      <c r="N278" s="28"/>
      <c r="O278" s="28"/>
      <c r="X278" s="40"/>
      <c r="Y278" s="40"/>
    </row>
    <row r="279" spans="5:25" x14ac:dyDescent="0.35">
      <c r="E279" t="s">
        <v>179</v>
      </c>
      <c r="F279" t="s">
        <v>556</v>
      </c>
      <c r="G279" s="28"/>
      <c r="N279" s="28"/>
      <c r="O279" s="28"/>
      <c r="X279" s="40"/>
      <c r="Y279" s="40"/>
    </row>
    <row r="280" spans="5:25" x14ac:dyDescent="0.35">
      <c r="E280" t="s">
        <v>179</v>
      </c>
      <c r="F280" t="s">
        <v>557</v>
      </c>
      <c r="G280" s="28"/>
      <c r="N280" s="28"/>
      <c r="O280" s="28"/>
      <c r="X280" s="40"/>
      <c r="Y280" s="40"/>
    </row>
    <row r="281" spans="5:25" x14ac:dyDescent="0.35">
      <c r="E281" t="s">
        <v>179</v>
      </c>
      <c r="F281" t="s">
        <v>486</v>
      </c>
      <c r="G281" s="28"/>
      <c r="N281" s="28"/>
      <c r="O281" s="28"/>
      <c r="X281" s="40"/>
      <c r="Y281" s="40"/>
    </row>
    <row r="282" spans="5:25" x14ac:dyDescent="0.35">
      <c r="E282" t="s">
        <v>179</v>
      </c>
      <c r="F282" t="s">
        <v>558</v>
      </c>
      <c r="G282" s="28"/>
      <c r="N282" s="28"/>
      <c r="O282" s="28"/>
      <c r="X282" s="40"/>
      <c r="Y282" s="40"/>
    </row>
    <row r="283" spans="5:25" x14ac:dyDescent="0.35">
      <c r="E283" t="s">
        <v>179</v>
      </c>
      <c r="F283" t="s">
        <v>559</v>
      </c>
      <c r="G283" s="28"/>
      <c r="N283" s="28"/>
      <c r="O283" s="28"/>
      <c r="X283" s="40"/>
      <c r="Y283" s="40"/>
    </row>
    <row r="284" spans="5:25" x14ac:dyDescent="0.35">
      <c r="E284" t="s">
        <v>179</v>
      </c>
      <c r="F284" t="s">
        <v>426</v>
      </c>
      <c r="G284" s="28"/>
      <c r="N284" s="28"/>
      <c r="O284" s="28"/>
      <c r="X284" s="40"/>
      <c r="Y284" s="40"/>
    </row>
    <row r="285" spans="5:25" x14ac:dyDescent="0.35">
      <c r="E285" t="s">
        <v>179</v>
      </c>
      <c r="F285" t="s">
        <v>428</v>
      </c>
      <c r="G285" s="28"/>
      <c r="N285" s="28"/>
      <c r="O285" s="28"/>
      <c r="X285" s="40"/>
      <c r="Y285" s="40"/>
    </row>
    <row r="286" spans="5:25" x14ac:dyDescent="0.35">
      <c r="E286" t="s">
        <v>179</v>
      </c>
      <c r="F286" t="s">
        <v>560</v>
      </c>
      <c r="G286" s="28"/>
      <c r="N286" s="28"/>
      <c r="O286" s="28"/>
      <c r="X286" s="40"/>
      <c r="Y286" s="40"/>
    </row>
    <row r="287" spans="5:25" x14ac:dyDescent="0.35">
      <c r="E287" t="s">
        <v>179</v>
      </c>
      <c r="F287" t="s">
        <v>561</v>
      </c>
      <c r="G287" s="28"/>
      <c r="N287" s="28"/>
      <c r="O287" s="28"/>
      <c r="X287" s="40"/>
      <c r="Y287" s="40"/>
    </row>
    <row r="288" spans="5:25" x14ac:dyDescent="0.35">
      <c r="E288" t="s">
        <v>179</v>
      </c>
      <c r="F288" t="s">
        <v>562</v>
      </c>
      <c r="G288" s="28"/>
      <c r="N288" s="28"/>
      <c r="O288" s="28"/>
      <c r="X288" s="40"/>
      <c r="Y288" s="40"/>
    </row>
    <row r="289" spans="5:25" x14ac:dyDescent="0.35">
      <c r="E289" t="s">
        <v>179</v>
      </c>
      <c r="F289" t="s">
        <v>563</v>
      </c>
      <c r="G289" s="28"/>
      <c r="N289" s="28"/>
      <c r="O289" s="28"/>
      <c r="X289" s="40"/>
      <c r="Y289" s="40"/>
    </row>
    <row r="290" spans="5:25" x14ac:dyDescent="0.35">
      <c r="E290" t="s">
        <v>179</v>
      </c>
      <c r="F290" t="s">
        <v>564</v>
      </c>
      <c r="G290" s="28"/>
      <c r="N290" s="28"/>
      <c r="O290" s="28"/>
      <c r="X290" s="40"/>
      <c r="Y290" s="40"/>
    </row>
    <row r="291" spans="5:25" x14ac:dyDescent="0.35">
      <c r="E291" t="s">
        <v>179</v>
      </c>
      <c r="F291" t="s">
        <v>381</v>
      </c>
      <c r="G291" s="28"/>
      <c r="N291" s="28"/>
      <c r="O291" s="28"/>
      <c r="X291" s="40"/>
      <c r="Y291" s="40"/>
    </row>
    <row r="292" spans="5:25" x14ac:dyDescent="0.35">
      <c r="E292" t="s">
        <v>179</v>
      </c>
      <c r="F292" t="s">
        <v>565</v>
      </c>
      <c r="G292" s="28"/>
      <c r="N292" s="28"/>
      <c r="O292" s="28"/>
      <c r="X292" s="40"/>
      <c r="Y292" s="40"/>
    </row>
    <row r="293" spans="5:25" x14ac:dyDescent="0.35">
      <c r="E293" t="s">
        <v>179</v>
      </c>
      <c r="F293" t="s">
        <v>566</v>
      </c>
      <c r="G293" s="28"/>
      <c r="N293" s="28"/>
      <c r="O293" s="28"/>
      <c r="X293" s="40"/>
      <c r="Y293" s="40"/>
    </row>
    <row r="294" spans="5:25" x14ac:dyDescent="0.35">
      <c r="E294" t="s">
        <v>179</v>
      </c>
      <c r="F294" t="s">
        <v>567</v>
      </c>
      <c r="G294" s="28"/>
      <c r="N294" s="28"/>
      <c r="O294" s="28"/>
      <c r="X294" s="40"/>
      <c r="Y294" s="40"/>
    </row>
    <row r="295" spans="5:25" x14ac:dyDescent="0.35">
      <c r="E295" t="s">
        <v>179</v>
      </c>
      <c r="F295" t="s">
        <v>435</v>
      </c>
      <c r="G295" s="28"/>
      <c r="N295" s="28"/>
      <c r="O295" s="28"/>
      <c r="X295" s="40"/>
      <c r="Y295" s="40"/>
    </row>
    <row r="296" spans="5:25" x14ac:dyDescent="0.35">
      <c r="E296" t="s">
        <v>179</v>
      </c>
      <c r="F296" t="s">
        <v>568</v>
      </c>
      <c r="G296" s="28"/>
      <c r="N296" s="28"/>
      <c r="O296" s="28"/>
      <c r="X296" s="40"/>
      <c r="Y296" s="40"/>
    </row>
    <row r="297" spans="5:25" x14ac:dyDescent="0.35">
      <c r="E297" t="s">
        <v>179</v>
      </c>
      <c r="F297" t="s">
        <v>569</v>
      </c>
      <c r="G297" s="28"/>
      <c r="N297" s="28"/>
      <c r="O297" s="28"/>
      <c r="X297" s="40"/>
      <c r="Y297" s="40"/>
    </row>
    <row r="298" spans="5:25" x14ac:dyDescent="0.35">
      <c r="E298" t="s">
        <v>179</v>
      </c>
      <c r="F298" t="s">
        <v>570</v>
      </c>
      <c r="G298" s="28"/>
      <c r="N298" s="28"/>
      <c r="O298" s="28"/>
      <c r="X298" s="40"/>
      <c r="Y298" s="40"/>
    </row>
    <row r="299" spans="5:25" x14ac:dyDescent="0.35">
      <c r="E299" t="s">
        <v>179</v>
      </c>
      <c r="F299" t="s">
        <v>571</v>
      </c>
      <c r="G299" s="28"/>
      <c r="N299" s="28"/>
      <c r="O299" s="28"/>
      <c r="X299" s="40"/>
      <c r="Y299" s="40"/>
    </row>
    <row r="300" spans="5:25" x14ac:dyDescent="0.35">
      <c r="E300" t="s">
        <v>179</v>
      </c>
      <c r="F300" t="s">
        <v>572</v>
      </c>
      <c r="G300" s="28"/>
      <c r="N300" s="28"/>
      <c r="O300" s="28"/>
      <c r="X300" s="40"/>
      <c r="Y300" s="40"/>
    </row>
    <row r="301" spans="5:25" x14ac:dyDescent="0.35">
      <c r="E301" t="s">
        <v>179</v>
      </c>
      <c r="F301" t="s">
        <v>573</v>
      </c>
      <c r="G301" s="28"/>
      <c r="N301" s="28"/>
      <c r="O301" s="28"/>
      <c r="X301" s="40"/>
      <c r="Y301" s="40"/>
    </row>
    <row r="302" spans="5:25" x14ac:dyDescent="0.35">
      <c r="E302" t="s">
        <v>179</v>
      </c>
      <c r="F302" t="s">
        <v>574</v>
      </c>
      <c r="G302" s="28"/>
      <c r="N302" s="28"/>
      <c r="O302" s="28"/>
      <c r="X302" s="40"/>
      <c r="Y302" s="40"/>
    </row>
    <row r="303" spans="5:25" x14ac:dyDescent="0.35">
      <c r="E303" t="s">
        <v>179</v>
      </c>
      <c r="F303" t="s">
        <v>575</v>
      </c>
      <c r="G303" s="28"/>
      <c r="N303" s="28"/>
      <c r="O303" s="28"/>
      <c r="X303" s="40"/>
      <c r="Y303" s="40"/>
    </row>
    <row r="304" spans="5:25" x14ac:dyDescent="0.35">
      <c r="E304" t="s">
        <v>179</v>
      </c>
      <c r="F304" t="s">
        <v>576</v>
      </c>
      <c r="G304" s="28"/>
      <c r="N304" s="28"/>
      <c r="O304" s="28"/>
      <c r="X304" s="40"/>
      <c r="Y304" s="40"/>
    </row>
    <row r="305" spans="5:25" x14ac:dyDescent="0.35">
      <c r="E305" t="s">
        <v>179</v>
      </c>
      <c r="F305" t="s">
        <v>577</v>
      </c>
      <c r="G305" s="28"/>
      <c r="N305" s="28"/>
      <c r="O305" s="28"/>
      <c r="X305" s="40"/>
      <c r="Y305" s="40"/>
    </row>
    <row r="306" spans="5:25" x14ac:dyDescent="0.35">
      <c r="E306" t="s">
        <v>179</v>
      </c>
      <c r="F306" t="s">
        <v>578</v>
      </c>
      <c r="G306" s="28"/>
      <c r="N306" s="28"/>
      <c r="O306" s="28"/>
      <c r="X306" s="40"/>
      <c r="Y306" s="40"/>
    </row>
    <row r="307" spans="5:25" x14ac:dyDescent="0.35">
      <c r="E307" t="s">
        <v>179</v>
      </c>
      <c r="F307" t="s">
        <v>579</v>
      </c>
      <c r="G307" s="28"/>
      <c r="N307" s="28"/>
      <c r="O307" s="28"/>
      <c r="X307" s="40"/>
      <c r="Y307" s="40"/>
    </row>
    <row r="308" spans="5:25" x14ac:dyDescent="0.35">
      <c r="E308" t="s">
        <v>179</v>
      </c>
      <c r="F308" t="s">
        <v>394</v>
      </c>
      <c r="G308" s="28"/>
      <c r="N308" s="28"/>
      <c r="O308" s="28"/>
      <c r="X308" s="40"/>
      <c r="Y308" s="40"/>
    </row>
    <row r="309" spans="5:25" x14ac:dyDescent="0.35">
      <c r="E309" t="s">
        <v>179</v>
      </c>
      <c r="F309" t="s">
        <v>580</v>
      </c>
      <c r="G309" s="28"/>
      <c r="N309" s="28"/>
      <c r="O309" s="28"/>
      <c r="X309" s="40"/>
      <c r="Y309" s="40"/>
    </row>
    <row r="310" spans="5:25" x14ac:dyDescent="0.35">
      <c r="E310" t="s">
        <v>179</v>
      </c>
      <c r="F310" t="s">
        <v>469</v>
      </c>
      <c r="G310" s="28"/>
      <c r="N310" s="28"/>
      <c r="O310" s="28"/>
      <c r="X310" s="40"/>
      <c r="Y310" s="40"/>
    </row>
    <row r="311" spans="5:25" x14ac:dyDescent="0.35">
      <c r="E311" t="s">
        <v>180</v>
      </c>
      <c r="F311" t="s">
        <v>581</v>
      </c>
      <c r="G311" s="28"/>
      <c r="N311" s="28"/>
      <c r="O311" s="28"/>
      <c r="X311" s="40"/>
      <c r="Y311" s="40"/>
    </row>
    <row r="312" spans="5:25" x14ac:dyDescent="0.35">
      <c r="E312" t="s">
        <v>180</v>
      </c>
      <c r="F312" t="s">
        <v>582</v>
      </c>
      <c r="G312" s="28"/>
      <c r="N312" s="28"/>
      <c r="O312" s="28"/>
      <c r="X312" s="40"/>
      <c r="Y312" s="40"/>
    </row>
    <row r="313" spans="5:25" x14ac:dyDescent="0.35">
      <c r="E313" t="s">
        <v>180</v>
      </c>
      <c r="F313" t="s">
        <v>583</v>
      </c>
      <c r="G313" s="28"/>
      <c r="N313" s="28"/>
      <c r="O313" s="28"/>
      <c r="X313" s="40"/>
      <c r="Y313" s="40"/>
    </row>
    <row r="314" spans="5:25" x14ac:dyDescent="0.35">
      <c r="E314" t="s">
        <v>180</v>
      </c>
      <c r="F314" t="s">
        <v>584</v>
      </c>
      <c r="G314" s="28"/>
      <c r="N314" s="28"/>
      <c r="O314" s="28"/>
      <c r="X314" s="40"/>
      <c r="Y314" s="40"/>
    </row>
    <row r="315" spans="5:25" x14ac:dyDescent="0.35">
      <c r="E315" t="s">
        <v>180</v>
      </c>
      <c r="F315" t="s">
        <v>585</v>
      </c>
      <c r="G315" s="28"/>
      <c r="N315" s="28"/>
      <c r="O315" s="28"/>
      <c r="X315" s="40"/>
      <c r="Y315" s="40"/>
    </row>
    <row r="316" spans="5:25" x14ac:dyDescent="0.35">
      <c r="E316" t="s">
        <v>180</v>
      </c>
      <c r="F316" t="s">
        <v>586</v>
      </c>
      <c r="G316" s="28"/>
      <c r="N316" s="28"/>
      <c r="O316" s="28"/>
      <c r="X316" s="40"/>
      <c r="Y316" s="40"/>
    </row>
    <row r="317" spans="5:25" x14ac:dyDescent="0.35">
      <c r="E317" t="s">
        <v>180</v>
      </c>
      <c r="F317" t="s">
        <v>587</v>
      </c>
      <c r="G317" s="28"/>
      <c r="N317" s="28"/>
      <c r="O317" s="28"/>
      <c r="X317" s="40"/>
      <c r="Y317" s="40"/>
    </row>
    <row r="318" spans="5:25" x14ac:dyDescent="0.35">
      <c r="E318" t="s">
        <v>180</v>
      </c>
      <c r="F318" t="s">
        <v>588</v>
      </c>
      <c r="G318" s="28"/>
      <c r="N318" s="28"/>
      <c r="O318" s="28"/>
      <c r="X318" s="40"/>
      <c r="Y318" s="40"/>
    </row>
    <row r="319" spans="5:25" x14ac:dyDescent="0.35">
      <c r="E319" t="s">
        <v>181</v>
      </c>
      <c r="F319" t="s">
        <v>589</v>
      </c>
      <c r="G319" s="28"/>
      <c r="N319" s="28"/>
      <c r="O319" s="28"/>
      <c r="X319" s="40"/>
      <c r="Y319" s="40"/>
    </row>
    <row r="320" spans="5:25" x14ac:dyDescent="0.35">
      <c r="E320" t="s">
        <v>182</v>
      </c>
      <c r="F320" t="s">
        <v>590</v>
      </c>
      <c r="G320" s="28"/>
      <c r="N320" s="28"/>
      <c r="O320" s="28"/>
      <c r="X320" s="40"/>
      <c r="Y320" s="40"/>
    </row>
    <row r="321" spans="5:25" x14ac:dyDescent="0.35">
      <c r="E321" t="s">
        <v>182</v>
      </c>
      <c r="F321" t="s">
        <v>591</v>
      </c>
      <c r="G321" s="28"/>
      <c r="N321" s="28"/>
      <c r="O321" s="28"/>
      <c r="X321" s="40"/>
      <c r="Y321" s="40"/>
    </row>
    <row r="322" spans="5:25" x14ac:dyDescent="0.35">
      <c r="E322" t="s">
        <v>182</v>
      </c>
      <c r="F322" t="s">
        <v>592</v>
      </c>
      <c r="G322" s="28"/>
      <c r="N322" s="28"/>
      <c r="O322" s="28"/>
      <c r="X322" s="40"/>
      <c r="Y322" s="40"/>
    </row>
    <row r="323" spans="5:25" x14ac:dyDescent="0.35">
      <c r="E323" t="s">
        <v>183</v>
      </c>
      <c r="F323" t="s">
        <v>593</v>
      </c>
      <c r="G323" s="28"/>
      <c r="N323" s="28"/>
      <c r="O323" s="28"/>
      <c r="X323" s="40"/>
      <c r="Y323" s="40"/>
    </row>
    <row r="324" spans="5:25" x14ac:dyDescent="0.35">
      <c r="E324" t="s">
        <v>183</v>
      </c>
      <c r="F324" t="s">
        <v>594</v>
      </c>
      <c r="G324" s="28"/>
      <c r="N324" s="28"/>
      <c r="O324" s="28"/>
      <c r="X324" s="40"/>
      <c r="Y324" s="40"/>
    </row>
    <row r="325" spans="5:25" x14ac:dyDescent="0.35">
      <c r="E325" t="s">
        <v>183</v>
      </c>
      <c r="F325" t="s">
        <v>595</v>
      </c>
      <c r="G325" s="28"/>
      <c r="N325" s="28"/>
      <c r="O325" s="28"/>
      <c r="X325" s="40"/>
      <c r="Y325" s="40"/>
    </row>
    <row r="326" spans="5:25" x14ac:dyDescent="0.35">
      <c r="E326" t="s">
        <v>183</v>
      </c>
      <c r="F326" t="s">
        <v>596</v>
      </c>
      <c r="G326" s="28"/>
      <c r="N326" s="28"/>
      <c r="O326" s="28"/>
      <c r="X326" s="40"/>
      <c r="Y326" s="40"/>
    </row>
    <row r="327" spans="5:25" x14ac:dyDescent="0.35">
      <c r="E327" t="s">
        <v>183</v>
      </c>
      <c r="F327" t="s">
        <v>597</v>
      </c>
      <c r="G327" s="28"/>
      <c r="N327" s="28"/>
      <c r="O327" s="28"/>
      <c r="X327" s="40"/>
      <c r="Y327" s="40"/>
    </row>
    <row r="328" spans="5:25" x14ac:dyDescent="0.35">
      <c r="E328" t="s">
        <v>183</v>
      </c>
      <c r="F328" t="s">
        <v>598</v>
      </c>
      <c r="G328" s="28"/>
      <c r="N328" s="28"/>
      <c r="O328" s="28"/>
      <c r="X328" s="40"/>
      <c r="Y328" s="40"/>
    </row>
    <row r="329" spans="5:25" x14ac:dyDescent="0.35">
      <c r="E329" t="s">
        <v>183</v>
      </c>
      <c r="F329" t="s">
        <v>337</v>
      </c>
      <c r="G329" s="28"/>
      <c r="N329" s="28"/>
      <c r="O329" s="28"/>
      <c r="X329" s="40"/>
      <c r="Y329" s="40"/>
    </row>
    <row r="330" spans="5:25" x14ac:dyDescent="0.35">
      <c r="E330" t="s">
        <v>183</v>
      </c>
      <c r="F330" t="s">
        <v>599</v>
      </c>
      <c r="G330" s="28"/>
      <c r="N330" s="28"/>
      <c r="O330" s="28"/>
      <c r="X330" s="40"/>
      <c r="Y330" s="40"/>
    </row>
    <row r="331" spans="5:25" x14ac:dyDescent="0.35">
      <c r="E331" t="s">
        <v>183</v>
      </c>
      <c r="F331" t="s">
        <v>600</v>
      </c>
      <c r="G331" s="28"/>
      <c r="N331" s="28"/>
      <c r="O331" s="28"/>
      <c r="X331" s="40"/>
      <c r="Y331" s="40"/>
    </row>
    <row r="332" spans="5:25" x14ac:dyDescent="0.35">
      <c r="E332" t="s">
        <v>183</v>
      </c>
      <c r="F332" t="s">
        <v>343</v>
      </c>
      <c r="G332" s="28"/>
      <c r="N332" s="28"/>
      <c r="O332" s="28"/>
      <c r="X332" s="40"/>
      <c r="Y332" s="40"/>
    </row>
    <row r="333" spans="5:25" x14ac:dyDescent="0.35">
      <c r="E333" t="s">
        <v>183</v>
      </c>
      <c r="F333" t="s">
        <v>601</v>
      </c>
      <c r="G333" s="28"/>
      <c r="N333" s="28"/>
      <c r="O333" s="28"/>
      <c r="X333" s="40"/>
      <c r="Y333" s="40"/>
    </row>
    <row r="334" spans="5:25" x14ac:dyDescent="0.35">
      <c r="E334" t="s">
        <v>183</v>
      </c>
      <c r="F334" t="s">
        <v>407</v>
      </c>
      <c r="G334" s="28"/>
      <c r="N334" s="28"/>
      <c r="O334" s="28"/>
      <c r="X334" s="40"/>
      <c r="Y334" s="40"/>
    </row>
    <row r="335" spans="5:25" x14ac:dyDescent="0.35">
      <c r="E335" t="s">
        <v>183</v>
      </c>
      <c r="F335" t="s">
        <v>602</v>
      </c>
      <c r="G335" s="28"/>
      <c r="N335" s="28"/>
      <c r="O335" s="28"/>
      <c r="X335" s="40"/>
      <c r="Y335" s="40"/>
    </row>
    <row r="336" spans="5:25" x14ac:dyDescent="0.35">
      <c r="E336" t="s">
        <v>183</v>
      </c>
      <c r="F336" t="s">
        <v>603</v>
      </c>
      <c r="G336" s="28"/>
      <c r="N336" s="28"/>
      <c r="O336" s="28"/>
      <c r="X336" s="40"/>
      <c r="Y336" s="40"/>
    </row>
    <row r="337" spans="5:25" x14ac:dyDescent="0.35">
      <c r="E337" t="s">
        <v>183</v>
      </c>
      <c r="F337" t="s">
        <v>604</v>
      </c>
      <c r="G337" s="28"/>
      <c r="N337" s="28"/>
      <c r="O337" s="28"/>
      <c r="X337" s="40"/>
      <c r="Y337" s="40"/>
    </row>
    <row r="338" spans="5:25" x14ac:dyDescent="0.35">
      <c r="E338" t="s">
        <v>183</v>
      </c>
      <c r="F338" t="s">
        <v>356</v>
      </c>
      <c r="G338" s="28"/>
      <c r="N338" s="28"/>
      <c r="O338" s="28"/>
      <c r="X338" s="40"/>
      <c r="Y338" s="40"/>
    </row>
    <row r="339" spans="5:25" x14ac:dyDescent="0.35">
      <c r="E339" t="s">
        <v>183</v>
      </c>
      <c r="F339" t="s">
        <v>605</v>
      </c>
      <c r="G339" s="28"/>
      <c r="N339" s="28"/>
      <c r="O339" s="28"/>
      <c r="X339" s="40"/>
      <c r="Y339" s="40"/>
    </row>
    <row r="340" spans="5:25" x14ac:dyDescent="0.35">
      <c r="E340" t="s">
        <v>183</v>
      </c>
      <c r="F340" t="s">
        <v>359</v>
      </c>
      <c r="G340" s="28"/>
      <c r="N340" s="28"/>
      <c r="O340" s="28"/>
      <c r="X340" s="40"/>
      <c r="Y340" s="40"/>
    </row>
    <row r="341" spans="5:25" x14ac:dyDescent="0.35">
      <c r="E341" t="s">
        <v>183</v>
      </c>
      <c r="F341" t="s">
        <v>606</v>
      </c>
      <c r="G341" s="28"/>
      <c r="N341" s="28"/>
      <c r="O341" s="28"/>
      <c r="X341" s="40"/>
      <c r="Y341" s="40"/>
    </row>
    <row r="342" spans="5:25" x14ac:dyDescent="0.35">
      <c r="E342" t="s">
        <v>183</v>
      </c>
      <c r="F342" t="s">
        <v>607</v>
      </c>
      <c r="G342" s="28"/>
      <c r="N342" s="28"/>
      <c r="O342" s="28"/>
      <c r="X342" s="40"/>
      <c r="Y342" s="40"/>
    </row>
    <row r="343" spans="5:25" x14ac:dyDescent="0.35">
      <c r="E343" t="s">
        <v>183</v>
      </c>
      <c r="F343" t="s">
        <v>608</v>
      </c>
      <c r="G343" s="28"/>
      <c r="N343" s="28"/>
      <c r="O343" s="28"/>
      <c r="X343" s="40"/>
      <c r="Y343" s="40"/>
    </row>
    <row r="344" spans="5:25" x14ac:dyDescent="0.35">
      <c r="E344" t="s">
        <v>183</v>
      </c>
      <c r="F344" t="s">
        <v>609</v>
      </c>
      <c r="G344" s="28"/>
      <c r="N344" s="28"/>
      <c r="O344" s="28"/>
      <c r="X344" s="40"/>
      <c r="Y344" s="40"/>
    </row>
    <row r="345" spans="5:25" x14ac:dyDescent="0.35">
      <c r="E345" t="s">
        <v>183</v>
      </c>
      <c r="F345" t="s">
        <v>610</v>
      </c>
      <c r="G345" s="28"/>
      <c r="N345" s="28"/>
      <c r="O345" s="28"/>
      <c r="X345" s="40"/>
      <c r="Y345" s="40"/>
    </row>
    <row r="346" spans="5:25" x14ac:dyDescent="0.35">
      <c r="E346" t="s">
        <v>183</v>
      </c>
      <c r="F346" t="s">
        <v>611</v>
      </c>
      <c r="G346" s="28"/>
      <c r="N346" s="28"/>
      <c r="O346" s="28"/>
      <c r="X346" s="40"/>
      <c r="Y346" s="40"/>
    </row>
    <row r="347" spans="5:25" x14ac:dyDescent="0.35">
      <c r="E347" t="s">
        <v>183</v>
      </c>
      <c r="F347" t="s">
        <v>612</v>
      </c>
      <c r="G347" s="28"/>
      <c r="N347" s="28"/>
      <c r="O347" s="28"/>
      <c r="X347" s="40"/>
      <c r="Y347" s="40"/>
    </row>
    <row r="348" spans="5:25" x14ac:dyDescent="0.35">
      <c r="E348" t="s">
        <v>183</v>
      </c>
      <c r="F348" t="s">
        <v>613</v>
      </c>
      <c r="G348" s="28"/>
      <c r="N348" s="28"/>
      <c r="O348" s="28"/>
      <c r="X348" s="40"/>
      <c r="Y348" s="40"/>
    </row>
    <row r="349" spans="5:25" x14ac:dyDescent="0.35">
      <c r="E349" t="s">
        <v>183</v>
      </c>
      <c r="F349" t="s">
        <v>614</v>
      </c>
      <c r="G349" s="28"/>
      <c r="N349" s="28"/>
      <c r="O349" s="28"/>
      <c r="X349" s="40"/>
      <c r="Y349" s="40"/>
    </row>
    <row r="350" spans="5:25" x14ac:dyDescent="0.35">
      <c r="E350" t="s">
        <v>183</v>
      </c>
      <c r="F350" t="s">
        <v>615</v>
      </c>
      <c r="G350" s="28"/>
      <c r="N350" s="28"/>
      <c r="O350" s="28"/>
      <c r="X350" s="40"/>
      <c r="Y350" s="40"/>
    </row>
    <row r="351" spans="5:25" x14ac:dyDescent="0.35">
      <c r="E351" t="s">
        <v>183</v>
      </c>
      <c r="F351" t="s">
        <v>616</v>
      </c>
      <c r="G351" s="28"/>
      <c r="N351" s="28"/>
      <c r="O351" s="28"/>
      <c r="X351" s="40"/>
      <c r="Y351" s="40"/>
    </row>
    <row r="352" spans="5:25" x14ac:dyDescent="0.35">
      <c r="E352" t="s">
        <v>183</v>
      </c>
      <c r="F352" t="s">
        <v>617</v>
      </c>
      <c r="G352" s="28"/>
      <c r="N352" s="28"/>
      <c r="O352" s="28"/>
      <c r="X352" s="40"/>
      <c r="Y352" s="40"/>
    </row>
    <row r="353" spans="5:25" x14ac:dyDescent="0.35">
      <c r="E353" t="s">
        <v>183</v>
      </c>
      <c r="F353" t="s">
        <v>365</v>
      </c>
      <c r="G353" s="28"/>
      <c r="N353" s="28"/>
      <c r="O353" s="28"/>
      <c r="X353" s="40"/>
      <c r="Y353" s="40"/>
    </row>
    <row r="354" spans="5:25" x14ac:dyDescent="0.35">
      <c r="E354" t="s">
        <v>183</v>
      </c>
      <c r="F354" t="s">
        <v>366</v>
      </c>
      <c r="G354" s="28"/>
      <c r="N354" s="28"/>
      <c r="O354" s="28"/>
      <c r="X354" s="40"/>
      <c r="Y354" s="40"/>
    </row>
    <row r="355" spans="5:25" x14ac:dyDescent="0.35">
      <c r="E355" t="s">
        <v>183</v>
      </c>
      <c r="F355" t="s">
        <v>425</v>
      </c>
      <c r="G355" s="28"/>
      <c r="N355" s="28"/>
      <c r="O355" s="28"/>
      <c r="X355" s="40"/>
      <c r="Y355" s="40"/>
    </row>
    <row r="356" spans="5:25" x14ac:dyDescent="0.35">
      <c r="E356" t="s">
        <v>183</v>
      </c>
      <c r="F356" t="s">
        <v>486</v>
      </c>
      <c r="G356" s="28"/>
      <c r="N356" s="28"/>
      <c r="O356" s="28"/>
      <c r="X356" s="40"/>
      <c r="Y356" s="40"/>
    </row>
    <row r="357" spans="5:25" x14ac:dyDescent="0.35">
      <c r="E357" t="s">
        <v>183</v>
      </c>
      <c r="F357" t="s">
        <v>370</v>
      </c>
      <c r="G357" s="28"/>
      <c r="N357" s="28"/>
      <c r="O357" s="28"/>
      <c r="X357" s="40"/>
      <c r="Y357" s="40"/>
    </row>
    <row r="358" spans="5:25" x14ac:dyDescent="0.35">
      <c r="E358" t="s">
        <v>183</v>
      </c>
      <c r="F358" t="s">
        <v>618</v>
      </c>
      <c r="G358" s="28"/>
      <c r="N358" s="28"/>
      <c r="O358" s="28"/>
      <c r="X358" s="40"/>
      <c r="Y358" s="40"/>
    </row>
    <row r="359" spans="5:25" x14ac:dyDescent="0.35">
      <c r="E359" t="s">
        <v>183</v>
      </c>
      <c r="F359" t="s">
        <v>619</v>
      </c>
      <c r="G359" s="28"/>
      <c r="N359" s="28"/>
      <c r="O359" s="28"/>
      <c r="X359" s="40"/>
      <c r="Y359" s="40"/>
    </row>
    <row r="360" spans="5:25" x14ac:dyDescent="0.35">
      <c r="E360" t="s">
        <v>183</v>
      </c>
      <c r="F360" t="s">
        <v>620</v>
      </c>
      <c r="G360" s="28"/>
      <c r="N360" s="28"/>
      <c r="O360" s="28"/>
      <c r="X360" s="40"/>
      <c r="Y360" s="40"/>
    </row>
    <row r="361" spans="5:25" x14ac:dyDescent="0.35">
      <c r="E361" t="s">
        <v>183</v>
      </c>
      <c r="F361" t="s">
        <v>374</v>
      </c>
      <c r="G361" s="28"/>
      <c r="N361" s="28"/>
      <c r="O361" s="28"/>
      <c r="X361" s="40"/>
      <c r="Y361" s="40"/>
    </row>
    <row r="362" spans="5:25" x14ac:dyDescent="0.35">
      <c r="E362" t="s">
        <v>183</v>
      </c>
      <c r="F362" t="s">
        <v>621</v>
      </c>
      <c r="G362" s="28"/>
      <c r="N362" s="28"/>
      <c r="O362" s="28"/>
      <c r="X362" s="40"/>
      <c r="Y362" s="40"/>
    </row>
    <row r="363" spans="5:25" x14ac:dyDescent="0.35">
      <c r="E363" t="s">
        <v>183</v>
      </c>
      <c r="F363" t="s">
        <v>376</v>
      </c>
      <c r="G363" s="28"/>
      <c r="N363" s="28"/>
      <c r="O363" s="28"/>
      <c r="X363" s="40"/>
      <c r="Y363" s="40"/>
    </row>
    <row r="364" spans="5:25" x14ac:dyDescent="0.35">
      <c r="E364" t="s">
        <v>183</v>
      </c>
      <c r="F364" t="s">
        <v>622</v>
      </c>
      <c r="G364" s="28"/>
      <c r="N364" s="28"/>
      <c r="O364" s="28"/>
      <c r="X364" s="40"/>
      <c r="Y364" s="40"/>
    </row>
    <row r="365" spans="5:25" x14ac:dyDescent="0.35">
      <c r="E365" t="s">
        <v>183</v>
      </c>
      <c r="F365" t="s">
        <v>623</v>
      </c>
      <c r="G365" s="28"/>
      <c r="N365" s="28"/>
      <c r="O365" s="28"/>
      <c r="X365" s="40"/>
      <c r="Y365" s="40"/>
    </row>
    <row r="366" spans="5:25" x14ac:dyDescent="0.35">
      <c r="E366" t="s">
        <v>183</v>
      </c>
      <c r="F366" t="s">
        <v>379</v>
      </c>
      <c r="G366" s="28"/>
      <c r="N366" s="28"/>
      <c r="O366" s="28"/>
      <c r="X366" s="40"/>
      <c r="Y366" s="40"/>
    </row>
    <row r="367" spans="5:25" x14ac:dyDescent="0.35">
      <c r="E367" t="s">
        <v>183</v>
      </c>
      <c r="F367" t="s">
        <v>624</v>
      </c>
      <c r="G367" s="28"/>
      <c r="N367" s="28"/>
      <c r="O367" s="28"/>
      <c r="X367" s="40"/>
      <c r="Y367" s="40"/>
    </row>
    <row r="368" spans="5:25" x14ac:dyDescent="0.35">
      <c r="E368" t="s">
        <v>183</v>
      </c>
      <c r="F368" t="s">
        <v>625</v>
      </c>
      <c r="G368" s="28"/>
      <c r="N368" s="28"/>
      <c r="O368" s="28"/>
      <c r="X368" s="40"/>
      <c r="Y368" s="40"/>
    </row>
    <row r="369" spans="5:25" x14ac:dyDescent="0.35">
      <c r="E369" t="s">
        <v>183</v>
      </c>
      <c r="F369" t="s">
        <v>626</v>
      </c>
      <c r="G369" s="28"/>
      <c r="N369" s="28"/>
      <c r="O369" s="28"/>
      <c r="X369" s="40"/>
      <c r="Y369" s="40"/>
    </row>
    <row r="370" spans="5:25" x14ac:dyDescent="0.35">
      <c r="E370" t="s">
        <v>183</v>
      </c>
      <c r="F370" t="s">
        <v>498</v>
      </c>
      <c r="G370" s="28"/>
      <c r="N370" s="28"/>
      <c r="O370" s="28"/>
      <c r="X370" s="40"/>
      <c r="Y370" s="40"/>
    </row>
    <row r="371" spans="5:25" x14ac:dyDescent="0.35">
      <c r="E371" t="s">
        <v>183</v>
      </c>
      <c r="F371" t="s">
        <v>627</v>
      </c>
      <c r="G371" s="28"/>
      <c r="N371" s="28"/>
      <c r="O371" s="28"/>
      <c r="X371" s="40"/>
      <c r="Y371" s="40"/>
    </row>
    <row r="372" spans="5:25" x14ac:dyDescent="0.35">
      <c r="E372" t="s">
        <v>183</v>
      </c>
      <c r="F372" t="s">
        <v>628</v>
      </c>
      <c r="G372" s="28"/>
      <c r="N372" s="28"/>
      <c r="O372" s="28"/>
      <c r="X372" s="40"/>
      <c r="Y372" s="40"/>
    </row>
    <row r="373" spans="5:25" x14ac:dyDescent="0.35">
      <c r="E373" t="s">
        <v>183</v>
      </c>
      <c r="F373" t="s">
        <v>629</v>
      </c>
      <c r="G373" s="28"/>
      <c r="N373" s="28"/>
      <c r="O373" s="28"/>
      <c r="X373" s="40"/>
      <c r="Y373" s="40"/>
    </row>
    <row r="374" spans="5:25" x14ac:dyDescent="0.35">
      <c r="E374" t="s">
        <v>183</v>
      </c>
      <c r="F374" t="s">
        <v>630</v>
      </c>
      <c r="G374" s="28"/>
      <c r="N374" s="28"/>
      <c r="O374" s="28"/>
      <c r="X374" s="40"/>
      <c r="Y374" s="40"/>
    </row>
    <row r="375" spans="5:25" x14ac:dyDescent="0.35">
      <c r="E375" t="s">
        <v>183</v>
      </c>
      <c r="F375" t="s">
        <v>437</v>
      </c>
      <c r="G375" s="28"/>
      <c r="N375" s="28"/>
      <c r="O375" s="28"/>
      <c r="X375" s="40"/>
      <c r="Y375" s="40"/>
    </row>
    <row r="376" spans="5:25" x14ac:dyDescent="0.35">
      <c r="E376" t="s">
        <v>183</v>
      </c>
      <c r="F376" t="s">
        <v>631</v>
      </c>
      <c r="G376" s="28"/>
      <c r="N376" s="28"/>
      <c r="O376" s="28"/>
      <c r="X376" s="40"/>
      <c r="Y376" s="40"/>
    </row>
    <row r="377" spans="5:25" x14ac:dyDescent="0.35">
      <c r="E377" t="s">
        <v>183</v>
      </c>
      <c r="F377" t="s">
        <v>632</v>
      </c>
      <c r="G377" s="28"/>
      <c r="N377" s="28"/>
      <c r="O377" s="28"/>
      <c r="X377" s="40"/>
      <c r="Y377" s="40"/>
    </row>
    <row r="378" spans="5:25" x14ac:dyDescent="0.35">
      <c r="E378" t="s">
        <v>183</v>
      </c>
      <c r="F378" t="s">
        <v>633</v>
      </c>
      <c r="G378" s="28"/>
      <c r="N378" s="28"/>
      <c r="O378" s="28"/>
      <c r="X378" s="40"/>
      <c r="Y378" s="40"/>
    </row>
    <row r="379" spans="5:25" x14ac:dyDescent="0.35">
      <c r="E379" t="s">
        <v>183</v>
      </c>
      <c r="F379" t="s">
        <v>634</v>
      </c>
      <c r="G379" s="28"/>
      <c r="N379" s="28"/>
      <c r="O379" s="28"/>
      <c r="X379" s="40"/>
      <c r="Y379" s="40"/>
    </row>
    <row r="380" spans="5:25" x14ac:dyDescent="0.35">
      <c r="E380" t="s">
        <v>183</v>
      </c>
      <c r="F380" t="s">
        <v>635</v>
      </c>
      <c r="G380" s="28"/>
      <c r="N380" s="28"/>
      <c r="O380" s="28"/>
      <c r="X380" s="40"/>
      <c r="Y380" s="40"/>
    </row>
    <row r="381" spans="5:25" x14ac:dyDescent="0.35">
      <c r="E381" t="s">
        <v>183</v>
      </c>
      <c r="F381" t="s">
        <v>636</v>
      </c>
      <c r="G381" s="28"/>
      <c r="N381" s="28"/>
      <c r="O381" s="28"/>
      <c r="X381" s="40"/>
      <c r="Y381" s="40"/>
    </row>
    <row r="382" spans="5:25" x14ac:dyDescent="0.35">
      <c r="E382" t="s">
        <v>183</v>
      </c>
      <c r="F382" t="s">
        <v>389</v>
      </c>
      <c r="G382" s="28"/>
      <c r="N382" s="28"/>
      <c r="O382" s="28"/>
      <c r="X382" s="40"/>
      <c r="Y382" s="40"/>
    </row>
    <row r="383" spans="5:25" x14ac:dyDescent="0.35">
      <c r="E383" t="s">
        <v>183</v>
      </c>
      <c r="F383" t="s">
        <v>637</v>
      </c>
      <c r="G383" s="28"/>
      <c r="N383" s="28"/>
      <c r="O383" s="28"/>
      <c r="X383" s="40"/>
      <c r="Y383" s="40"/>
    </row>
    <row r="384" spans="5:25" x14ac:dyDescent="0.35">
      <c r="E384" t="s">
        <v>183</v>
      </c>
      <c r="F384" t="s">
        <v>638</v>
      </c>
      <c r="G384" s="28"/>
      <c r="N384" s="28"/>
      <c r="O384" s="28"/>
      <c r="X384" s="40"/>
      <c r="Y384" s="40"/>
    </row>
    <row r="385" spans="5:25" x14ac:dyDescent="0.35">
      <c r="E385" t="s">
        <v>183</v>
      </c>
      <c r="F385" t="s">
        <v>449</v>
      </c>
      <c r="G385" s="28"/>
      <c r="N385" s="28"/>
      <c r="O385" s="28"/>
      <c r="X385" s="40"/>
      <c r="Y385" s="40"/>
    </row>
    <row r="386" spans="5:25" x14ac:dyDescent="0.35">
      <c r="E386" t="s">
        <v>183</v>
      </c>
      <c r="F386" t="s">
        <v>639</v>
      </c>
      <c r="G386" s="28"/>
      <c r="N386" s="28"/>
      <c r="O386" s="28"/>
      <c r="X386" s="40"/>
      <c r="Y386" s="40"/>
    </row>
    <row r="387" spans="5:25" x14ac:dyDescent="0.35">
      <c r="E387" t="s">
        <v>183</v>
      </c>
      <c r="F387" t="s">
        <v>640</v>
      </c>
      <c r="G387" s="28"/>
      <c r="N387" s="28"/>
      <c r="O387" s="28"/>
      <c r="X387" s="40"/>
      <c r="Y387" s="40"/>
    </row>
    <row r="388" spans="5:25" x14ac:dyDescent="0.35">
      <c r="E388" t="s">
        <v>183</v>
      </c>
      <c r="F388" t="s">
        <v>641</v>
      </c>
      <c r="G388" s="28"/>
      <c r="N388" s="28"/>
      <c r="O388" s="28"/>
      <c r="X388" s="40"/>
      <c r="Y388" s="40"/>
    </row>
    <row r="389" spans="5:25" x14ac:dyDescent="0.35">
      <c r="E389" t="s">
        <v>183</v>
      </c>
      <c r="F389" t="s">
        <v>394</v>
      </c>
      <c r="G389" s="28"/>
      <c r="N389" s="28"/>
      <c r="O389" s="28"/>
      <c r="X389" s="40"/>
      <c r="Y389" s="40"/>
    </row>
    <row r="390" spans="5:25" x14ac:dyDescent="0.35">
      <c r="E390" t="s">
        <v>294</v>
      </c>
      <c r="F390" t="s">
        <v>642</v>
      </c>
      <c r="G390" s="28"/>
      <c r="N390" s="28"/>
      <c r="O390" s="28"/>
      <c r="X390" s="40"/>
      <c r="Y390" s="40"/>
    </row>
    <row r="391" spans="5:25" x14ac:dyDescent="0.35">
      <c r="E391" t="s">
        <v>184</v>
      </c>
      <c r="F391" t="s">
        <v>643</v>
      </c>
      <c r="G391" s="28"/>
      <c r="N391" s="28"/>
      <c r="O391" s="28"/>
      <c r="X391" s="40"/>
      <c r="Y391" s="40"/>
    </row>
    <row r="392" spans="5:25" x14ac:dyDescent="0.35">
      <c r="E392" t="s">
        <v>184</v>
      </c>
      <c r="F392" t="s">
        <v>644</v>
      </c>
      <c r="G392" s="28"/>
      <c r="N392" s="28"/>
      <c r="O392" s="28"/>
      <c r="X392" s="40"/>
      <c r="Y392" s="40"/>
    </row>
    <row r="393" spans="5:25" x14ac:dyDescent="0.35">
      <c r="E393" t="s">
        <v>184</v>
      </c>
      <c r="F393" t="s">
        <v>645</v>
      </c>
      <c r="G393" s="28"/>
      <c r="N393" s="28"/>
      <c r="O393" s="28"/>
      <c r="X393" s="40"/>
      <c r="Y393" s="40"/>
    </row>
    <row r="394" spans="5:25" x14ac:dyDescent="0.35">
      <c r="E394" t="s">
        <v>184</v>
      </c>
      <c r="F394" t="s">
        <v>594</v>
      </c>
      <c r="G394" s="28"/>
      <c r="N394" s="28"/>
      <c r="O394" s="28"/>
      <c r="X394" s="40"/>
      <c r="Y394" s="40"/>
    </row>
    <row r="395" spans="5:25" x14ac:dyDescent="0.35">
      <c r="E395" t="s">
        <v>184</v>
      </c>
      <c r="F395" t="s">
        <v>331</v>
      </c>
      <c r="G395" s="28"/>
      <c r="N395" s="28"/>
      <c r="O395" s="28"/>
      <c r="X395" s="40"/>
      <c r="Y395" s="40"/>
    </row>
    <row r="396" spans="5:25" x14ac:dyDescent="0.35">
      <c r="E396" t="s">
        <v>184</v>
      </c>
      <c r="F396" t="s">
        <v>646</v>
      </c>
      <c r="G396" s="28"/>
      <c r="N396" s="28"/>
      <c r="O396" s="28"/>
      <c r="X396" s="40"/>
      <c r="Y396" s="40"/>
    </row>
    <row r="397" spans="5:25" x14ac:dyDescent="0.35">
      <c r="E397" t="s">
        <v>184</v>
      </c>
      <c r="F397" t="s">
        <v>647</v>
      </c>
      <c r="G397" s="28"/>
      <c r="N397" s="28"/>
      <c r="O397" s="28"/>
      <c r="X397" s="40"/>
      <c r="Y397" s="40"/>
    </row>
    <row r="398" spans="5:25" x14ac:dyDescent="0.35">
      <c r="E398" t="s">
        <v>184</v>
      </c>
      <c r="F398" t="s">
        <v>648</v>
      </c>
      <c r="G398" s="28"/>
      <c r="N398" s="28"/>
      <c r="O398" s="28"/>
      <c r="X398" s="40"/>
      <c r="Y398" s="40"/>
    </row>
    <row r="399" spans="5:25" x14ac:dyDescent="0.35">
      <c r="E399" t="s">
        <v>184</v>
      </c>
      <c r="F399" t="s">
        <v>649</v>
      </c>
      <c r="G399" s="28"/>
      <c r="N399" s="28"/>
      <c r="O399" s="28"/>
      <c r="X399" s="40"/>
      <c r="Y399" s="40"/>
    </row>
    <row r="400" spans="5:25" x14ac:dyDescent="0.35">
      <c r="E400" t="s">
        <v>184</v>
      </c>
      <c r="F400" t="s">
        <v>650</v>
      </c>
      <c r="G400" s="28"/>
      <c r="N400" s="28"/>
      <c r="O400" s="28"/>
      <c r="X400" s="40"/>
      <c r="Y400" s="40"/>
    </row>
    <row r="401" spans="5:25" x14ac:dyDescent="0.35">
      <c r="E401" t="s">
        <v>184</v>
      </c>
      <c r="F401" t="s">
        <v>333</v>
      </c>
      <c r="G401" s="28"/>
      <c r="N401" s="28"/>
      <c r="O401" s="28"/>
      <c r="X401" s="40"/>
      <c r="Y401" s="40"/>
    </row>
    <row r="402" spans="5:25" x14ac:dyDescent="0.35">
      <c r="E402" t="s">
        <v>184</v>
      </c>
      <c r="F402" t="s">
        <v>651</v>
      </c>
      <c r="G402" s="28"/>
      <c r="N402" s="28"/>
      <c r="O402" s="28"/>
      <c r="X402" s="40"/>
      <c r="Y402" s="40"/>
    </row>
    <row r="403" spans="5:25" x14ac:dyDescent="0.35">
      <c r="E403" t="s">
        <v>184</v>
      </c>
      <c r="F403" t="s">
        <v>652</v>
      </c>
      <c r="G403" s="28"/>
      <c r="N403" s="28"/>
      <c r="O403" s="28"/>
      <c r="X403" s="40"/>
      <c r="Y403" s="40"/>
    </row>
    <row r="404" spans="5:25" x14ac:dyDescent="0.35">
      <c r="E404" t="s">
        <v>184</v>
      </c>
      <c r="F404" t="s">
        <v>653</v>
      </c>
      <c r="G404" s="28"/>
      <c r="N404" s="28"/>
      <c r="O404" s="28"/>
      <c r="X404" s="40"/>
      <c r="Y404" s="40"/>
    </row>
    <row r="405" spans="5:25" x14ac:dyDescent="0.35">
      <c r="E405" t="s">
        <v>184</v>
      </c>
      <c r="F405" t="s">
        <v>654</v>
      </c>
      <c r="G405" s="28"/>
      <c r="N405" s="28"/>
      <c r="O405" s="28"/>
      <c r="X405" s="40"/>
      <c r="Y405" s="40"/>
    </row>
    <row r="406" spans="5:25" x14ac:dyDescent="0.35">
      <c r="E406" t="s">
        <v>184</v>
      </c>
      <c r="F406" t="s">
        <v>655</v>
      </c>
      <c r="G406" s="28"/>
      <c r="N406" s="28"/>
      <c r="O406" s="28"/>
      <c r="X406" s="40"/>
      <c r="Y406" s="40"/>
    </row>
    <row r="407" spans="5:25" x14ac:dyDescent="0.35">
      <c r="E407" t="s">
        <v>184</v>
      </c>
      <c r="F407" t="s">
        <v>656</v>
      </c>
      <c r="G407" s="28"/>
      <c r="N407" s="28"/>
      <c r="O407" s="28"/>
      <c r="X407" s="40"/>
      <c r="Y407" s="40"/>
    </row>
    <row r="408" spans="5:25" x14ac:dyDescent="0.35">
      <c r="E408" t="s">
        <v>184</v>
      </c>
      <c r="F408" t="s">
        <v>657</v>
      </c>
      <c r="G408" s="28"/>
      <c r="N408" s="28"/>
      <c r="O408" s="28"/>
      <c r="X408" s="40"/>
      <c r="Y408" s="40"/>
    </row>
    <row r="409" spans="5:25" x14ac:dyDescent="0.35">
      <c r="E409" t="s">
        <v>184</v>
      </c>
      <c r="F409" t="s">
        <v>337</v>
      </c>
      <c r="G409" s="28"/>
      <c r="N409" s="28"/>
      <c r="O409" s="28"/>
      <c r="X409" s="40"/>
      <c r="Y409" s="40"/>
    </row>
    <row r="410" spans="5:25" x14ac:dyDescent="0.35">
      <c r="E410" t="s">
        <v>184</v>
      </c>
      <c r="F410" t="s">
        <v>658</v>
      </c>
      <c r="G410" s="28"/>
      <c r="N410" s="28"/>
      <c r="O410" s="28"/>
      <c r="X410" s="40"/>
      <c r="Y410" s="40"/>
    </row>
    <row r="411" spans="5:25" x14ac:dyDescent="0.35">
      <c r="E411" t="s">
        <v>184</v>
      </c>
      <c r="F411" t="s">
        <v>659</v>
      </c>
      <c r="G411" s="28"/>
      <c r="N411" s="28"/>
      <c r="O411" s="28"/>
      <c r="X411" s="40"/>
      <c r="Y411" s="40"/>
    </row>
    <row r="412" spans="5:25" x14ac:dyDescent="0.35">
      <c r="E412" t="s">
        <v>184</v>
      </c>
      <c r="F412" t="s">
        <v>403</v>
      </c>
      <c r="G412" s="28"/>
      <c r="N412" s="28"/>
      <c r="O412" s="28"/>
      <c r="X412" s="40"/>
      <c r="Y412" s="40"/>
    </row>
    <row r="413" spans="5:25" x14ac:dyDescent="0.35">
      <c r="E413" t="s">
        <v>184</v>
      </c>
      <c r="F413" t="s">
        <v>660</v>
      </c>
      <c r="G413" s="28"/>
      <c r="N413" s="28"/>
      <c r="O413" s="28"/>
      <c r="X413" s="40"/>
      <c r="Y413" s="40"/>
    </row>
    <row r="414" spans="5:25" x14ac:dyDescent="0.35">
      <c r="E414" t="s">
        <v>184</v>
      </c>
      <c r="F414" t="s">
        <v>661</v>
      </c>
      <c r="G414" s="28"/>
      <c r="N414" s="28"/>
      <c r="O414" s="28"/>
      <c r="X414" s="40"/>
      <c r="Y414" s="40"/>
    </row>
    <row r="415" spans="5:25" x14ac:dyDescent="0.35">
      <c r="E415" t="s">
        <v>184</v>
      </c>
      <c r="F415" t="s">
        <v>662</v>
      </c>
      <c r="G415" s="28"/>
      <c r="N415" s="28"/>
      <c r="O415" s="28"/>
      <c r="X415" s="40"/>
      <c r="Y415" s="40"/>
    </row>
    <row r="416" spans="5:25" x14ac:dyDescent="0.35">
      <c r="E416" t="s">
        <v>184</v>
      </c>
      <c r="F416" t="s">
        <v>663</v>
      </c>
      <c r="G416" s="28"/>
      <c r="N416" s="28"/>
      <c r="O416" s="28"/>
      <c r="X416" s="40"/>
      <c r="Y416" s="40"/>
    </row>
    <row r="417" spans="5:25" x14ac:dyDescent="0.35">
      <c r="E417" t="s">
        <v>184</v>
      </c>
      <c r="F417" t="s">
        <v>664</v>
      </c>
      <c r="G417" s="28"/>
      <c r="N417" s="28"/>
      <c r="O417" s="28"/>
      <c r="X417" s="40"/>
      <c r="Y417" s="40"/>
    </row>
    <row r="418" spans="5:25" x14ac:dyDescent="0.35">
      <c r="E418" t="s">
        <v>184</v>
      </c>
      <c r="F418" t="s">
        <v>339</v>
      </c>
      <c r="G418" s="28"/>
      <c r="N418" s="28"/>
      <c r="O418" s="28"/>
      <c r="X418" s="40"/>
      <c r="Y418" s="40"/>
    </row>
    <row r="419" spans="5:25" x14ac:dyDescent="0.35">
      <c r="E419" t="s">
        <v>184</v>
      </c>
      <c r="F419" t="s">
        <v>342</v>
      </c>
      <c r="G419" s="28"/>
      <c r="N419" s="28"/>
      <c r="O419" s="28"/>
      <c r="X419" s="40"/>
      <c r="Y419" s="40"/>
    </row>
    <row r="420" spans="5:25" x14ac:dyDescent="0.35">
      <c r="E420" t="s">
        <v>184</v>
      </c>
      <c r="F420" t="s">
        <v>343</v>
      </c>
      <c r="G420" s="28"/>
      <c r="N420" s="28"/>
      <c r="O420" s="28"/>
      <c r="X420" s="40"/>
      <c r="Y420" s="40"/>
    </row>
    <row r="421" spans="5:25" x14ac:dyDescent="0.35">
      <c r="E421" t="s">
        <v>184</v>
      </c>
      <c r="F421" t="s">
        <v>665</v>
      </c>
      <c r="G421" s="28"/>
      <c r="N421" s="28"/>
      <c r="O421" s="28"/>
      <c r="X421" s="40"/>
      <c r="Y421" s="40"/>
    </row>
    <row r="422" spans="5:25" x14ac:dyDescent="0.35">
      <c r="E422" t="s">
        <v>184</v>
      </c>
      <c r="F422" t="s">
        <v>666</v>
      </c>
      <c r="G422" s="28"/>
      <c r="N422" s="28"/>
      <c r="O422" s="28"/>
      <c r="X422" s="40"/>
      <c r="Y422" s="40"/>
    </row>
    <row r="423" spans="5:25" x14ac:dyDescent="0.35">
      <c r="E423" t="s">
        <v>184</v>
      </c>
      <c r="F423" t="s">
        <v>667</v>
      </c>
      <c r="G423" s="28"/>
      <c r="N423" s="28"/>
      <c r="O423" s="28"/>
      <c r="X423" s="40"/>
      <c r="Y423" s="40"/>
    </row>
    <row r="424" spans="5:25" x14ac:dyDescent="0.35">
      <c r="E424" t="s">
        <v>184</v>
      </c>
      <c r="F424" t="s">
        <v>345</v>
      </c>
      <c r="G424" s="28"/>
      <c r="N424" s="28"/>
      <c r="O424" s="28"/>
      <c r="X424" s="40"/>
      <c r="Y424" s="40"/>
    </row>
    <row r="425" spans="5:25" x14ac:dyDescent="0.35">
      <c r="E425" t="s">
        <v>184</v>
      </c>
      <c r="F425" t="s">
        <v>668</v>
      </c>
      <c r="G425" s="28"/>
      <c r="N425" s="28"/>
      <c r="O425" s="28"/>
      <c r="X425" s="40"/>
      <c r="Y425" s="40"/>
    </row>
    <row r="426" spans="5:25" x14ac:dyDescent="0.35">
      <c r="E426" t="s">
        <v>184</v>
      </c>
      <c r="F426" t="s">
        <v>407</v>
      </c>
      <c r="G426" s="28"/>
      <c r="N426" s="28"/>
      <c r="O426" s="28"/>
      <c r="X426" s="40"/>
      <c r="Y426" s="40"/>
    </row>
    <row r="427" spans="5:25" x14ac:dyDescent="0.35">
      <c r="E427" t="s">
        <v>184</v>
      </c>
      <c r="F427" t="s">
        <v>669</v>
      </c>
      <c r="G427" s="28"/>
      <c r="N427" s="28"/>
      <c r="O427" s="28"/>
      <c r="X427" s="40"/>
      <c r="Y427" s="40"/>
    </row>
    <row r="428" spans="5:25" x14ac:dyDescent="0.35">
      <c r="E428" t="s">
        <v>184</v>
      </c>
      <c r="F428" t="s">
        <v>670</v>
      </c>
      <c r="G428" s="28"/>
      <c r="N428" s="28"/>
      <c r="O428" s="28"/>
      <c r="X428" s="40"/>
      <c r="Y428" s="40"/>
    </row>
    <row r="429" spans="5:25" x14ac:dyDescent="0.35">
      <c r="E429" t="s">
        <v>184</v>
      </c>
      <c r="F429" t="s">
        <v>410</v>
      </c>
      <c r="G429" s="28"/>
      <c r="N429" s="28"/>
      <c r="O429" s="28"/>
      <c r="X429" s="40"/>
      <c r="Y429" s="40"/>
    </row>
    <row r="430" spans="5:25" x14ac:dyDescent="0.35">
      <c r="E430" t="s">
        <v>184</v>
      </c>
      <c r="F430" t="s">
        <v>671</v>
      </c>
      <c r="G430" s="28"/>
      <c r="N430" s="28"/>
      <c r="O430" s="28"/>
      <c r="X430" s="40"/>
      <c r="Y430" s="40"/>
    </row>
    <row r="431" spans="5:25" x14ac:dyDescent="0.35">
      <c r="E431" t="s">
        <v>184</v>
      </c>
      <c r="F431" t="s">
        <v>672</v>
      </c>
      <c r="G431" s="28"/>
      <c r="N431" s="28"/>
      <c r="O431" s="28"/>
      <c r="X431" s="40"/>
      <c r="Y431" s="40"/>
    </row>
    <row r="432" spans="5:25" x14ac:dyDescent="0.35">
      <c r="E432" t="s">
        <v>184</v>
      </c>
      <c r="F432" t="s">
        <v>673</v>
      </c>
      <c r="G432" s="28"/>
      <c r="N432" s="28"/>
      <c r="O432" s="28"/>
      <c r="X432" s="40"/>
      <c r="Y432" s="40"/>
    </row>
    <row r="433" spans="5:25" x14ac:dyDescent="0.35">
      <c r="E433" t="s">
        <v>184</v>
      </c>
      <c r="F433" t="s">
        <v>674</v>
      </c>
      <c r="G433" s="28"/>
      <c r="N433" s="28"/>
      <c r="O433" s="28"/>
      <c r="X433" s="40"/>
      <c r="Y433" s="40"/>
    </row>
    <row r="434" spans="5:25" x14ac:dyDescent="0.35">
      <c r="E434" t="s">
        <v>184</v>
      </c>
      <c r="F434" t="s">
        <v>675</v>
      </c>
      <c r="G434" s="28"/>
      <c r="N434" s="28"/>
      <c r="O434" s="28"/>
      <c r="X434" s="40"/>
      <c r="Y434" s="40"/>
    </row>
    <row r="435" spans="5:25" x14ac:dyDescent="0.35">
      <c r="E435" t="s">
        <v>184</v>
      </c>
      <c r="F435" t="s">
        <v>676</v>
      </c>
      <c r="G435" s="28"/>
      <c r="N435" s="28"/>
      <c r="O435" s="28"/>
      <c r="X435" s="40"/>
      <c r="Y435" s="40"/>
    </row>
    <row r="436" spans="5:25" x14ac:dyDescent="0.35">
      <c r="E436" t="s">
        <v>184</v>
      </c>
      <c r="F436" t="s">
        <v>677</v>
      </c>
      <c r="G436" s="28"/>
      <c r="N436" s="28"/>
      <c r="O436" s="28"/>
      <c r="X436" s="40"/>
      <c r="Y436" s="40"/>
    </row>
    <row r="437" spans="5:25" x14ac:dyDescent="0.35">
      <c r="E437" t="s">
        <v>184</v>
      </c>
      <c r="F437" t="s">
        <v>678</v>
      </c>
      <c r="G437" s="28"/>
      <c r="N437" s="28"/>
      <c r="O437" s="28"/>
      <c r="X437" s="40"/>
      <c r="Y437" s="40"/>
    </row>
    <row r="438" spans="5:25" x14ac:dyDescent="0.35">
      <c r="E438" t="s">
        <v>184</v>
      </c>
      <c r="F438" t="s">
        <v>544</v>
      </c>
      <c r="G438" s="28"/>
      <c r="N438" s="28"/>
      <c r="O438" s="28"/>
      <c r="X438" s="40"/>
      <c r="Y438" s="40"/>
    </row>
    <row r="439" spans="5:25" x14ac:dyDescent="0.35">
      <c r="E439" t="s">
        <v>184</v>
      </c>
      <c r="F439" t="s">
        <v>679</v>
      </c>
      <c r="G439" s="28"/>
      <c r="N439" s="28"/>
      <c r="O439" s="28"/>
      <c r="X439" s="40"/>
      <c r="Y439" s="40"/>
    </row>
    <row r="440" spans="5:25" x14ac:dyDescent="0.35">
      <c r="E440" t="s">
        <v>184</v>
      </c>
      <c r="F440" t="s">
        <v>680</v>
      </c>
      <c r="G440" s="28"/>
      <c r="N440" s="28"/>
      <c r="O440" s="28"/>
      <c r="X440" s="40"/>
      <c r="Y440" s="40"/>
    </row>
    <row r="441" spans="5:25" x14ac:dyDescent="0.35">
      <c r="E441" t="s">
        <v>184</v>
      </c>
      <c r="F441" t="s">
        <v>681</v>
      </c>
      <c r="G441" s="28"/>
      <c r="N441" s="28"/>
      <c r="O441" s="28"/>
      <c r="X441" s="40"/>
      <c r="Y441" s="40"/>
    </row>
    <row r="442" spans="5:25" x14ac:dyDescent="0.35">
      <c r="E442" t="s">
        <v>184</v>
      </c>
      <c r="F442" t="s">
        <v>547</v>
      </c>
      <c r="G442" s="28"/>
      <c r="N442" s="28"/>
      <c r="O442" s="28"/>
      <c r="X442" s="40"/>
      <c r="Y442" s="40"/>
    </row>
    <row r="443" spans="5:25" x14ac:dyDescent="0.35">
      <c r="E443" t="s">
        <v>184</v>
      </c>
      <c r="F443" t="s">
        <v>682</v>
      </c>
      <c r="G443" s="28"/>
      <c r="N443" s="28"/>
      <c r="O443" s="28"/>
      <c r="X443" s="40"/>
      <c r="Y443" s="40"/>
    </row>
    <row r="444" spans="5:25" x14ac:dyDescent="0.35">
      <c r="E444" t="s">
        <v>184</v>
      </c>
      <c r="F444" t="s">
        <v>683</v>
      </c>
      <c r="G444" s="28"/>
      <c r="N444" s="28"/>
      <c r="O444" s="28"/>
      <c r="X444" s="40"/>
      <c r="Y444" s="40"/>
    </row>
    <row r="445" spans="5:25" x14ac:dyDescent="0.35">
      <c r="E445" t="s">
        <v>184</v>
      </c>
      <c r="F445" t="s">
        <v>684</v>
      </c>
      <c r="G445" s="28"/>
      <c r="N445" s="28"/>
      <c r="O445" s="28"/>
      <c r="X445" s="40"/>
      <c r="Y445" s="40"/>
    </row>
    <row r="446" spans="5:25" x14ac:dyDescent="0.35">
      <c r="E446" t="s">
        <v>184</v>
      </c>
      <c r="F446" t="s">
        <v>358</v>
      </c>
      <c r="G446" s="28"/>
      <c r="N446" s="28"/>
      <c r="O446" s="28"/>
      <c r="X446" s="40"/>
      <c r="Y446" s="40"/>
    </row>
    <row r="447" spans="5:25" x14ac:dyDescent="0.35">
      <c r="E447" t="s">
        <v>184</v>
      </c>
      <c r="F447" t="s">
        <v>685</v>
      </c>
      <c r="G447" s="28"/>
      <c r="N447" s="28"/>
      <c r="O447" s="28"/>
      <c r="X447" s="40"/>
      <c r="Y447" s="40"/>
    </row>
    <row r="448" spans="5:25" x14ac:dyDescent="0.35">
      <c r="E448" t="s">
        <v>184</v>
      </c>
      <c r="F448" t="s">
        <v>686</v>
      </c>
      <c r="G448" s="28"/>
      <c r="N448" s="32"/>
      <c r="O448" s="32"/>
      <c r="X448" s="40"/>
      <c r="Y448" s="40"/>
    </row>
    <row r="449" spans="5:25" x14ac:dyDescent="0.35">
      <c r="E449" t="s">
        <v>184</v>
      </c>
      <c r="F449" t="s">
        <v>359</v>
      </c>
      <c r="G449" s="28"/>
      <c r="N449" s="32"/>
      <c r="O449" s="32"/>
      <c r="X449" s="40"/>
      <c r="Y449" s="40"/>
    </row>
    <row r="450" spans="5:25" x14ac:dyDescent="0.35">
      <c r="E450" t="s">
        <v>184</v>
      </c>
      <c r="F450" t="s">
        <v>416</v>
      </c>
      <c r="G450" s="28"/>
      <c r="N450" s="32"/>
      <c r="O450" s="32"/>
      <c r="X450" s="40"/>
      <c r="Y450" s="40"/>
    </row>
    <row r="451" spans="5:25" x14ac:dyDescent="0.35">
      <c r="E451" t="s">
        <v>184</v>
      </c>
      <c r="F451" t="s">
        <v>687</v>
      </c>
      <c r="G451" s="28"/>
      <c r="N451" s="32"/>
      <c r="O451" s="32"/>
      <c r="X451" s="40"/>
      <c r="Y451" s="40"/>
    </row>
    <row r="452" spans="5:25" x14ac:dyDescent="0.35">
      <c r="E452" t="s">
        <v>184</v>
      </c>
      <c r="F452" t="s">
        <v>688</v>
      </c>
      <c r="G452" s="28"/>
      <c r="N452" s="32"/>
      <c r="O452" s="32"/>
      <c r="X452" s="40"/>
      <c r="Y452" s="40"/>
    </row>
    <row r="453" spans="5:25" x14ac:dyDescent="0.35">
      <c r="E453" t="s">
        <v>184</v>
      </c>
      <c r="F453" t="s">
        <v>689</v>
      </c>
      <c r="G453" s="28"/>
      <c r="N453" s="28"/>
      <c r="O453" s="28"/>
      <c r="X453" s="40"/>
      <c r="Y453" s="40"/>
    </row>
    <row r="454" spans="5:25" x14ac:dyDescent="0.35">
      <c r="E454" t="s">
        <v>184</v>
      </c>
      <c r="F454" t="s">
        <v>690</v>
      </c>
      <c r="G454" s="28"/>
      <c r="N454" s="28"/>
      <c r="O454" s="28"/>
      <c r="X454" s="40"/>
      <c r="Y454" s="40"/>
    </row>
    <row r="455" spans="5:25" x14ac:dyDescent="0.35">
      <c r="E455" t="s">
        <v>184</v>
      </c>
      <c r="F455" t="s">
        <v>691</v>
      </c>
      <c r="G455" s="28"/>
      <c r="N455" s="28"/>
      <c r="O455" s="28"/>
      <c r="X455" s="40"/>
      <c r="Y455" s="40"/>
    </row>
    <row r="456" spans="5:25" x14ac:dyDescent="0.35">
      <c r="E456" t="s">
        <v>184</v>
      </c>
      <c r="F456" t="s">
        <v>361</v>
      </c>
      <c r="G456" s="28"/>
      <c r="N456" s="28"/>
      <c r="O456" s="28"/>
      <c r="X456" s="40"/>
      <c r="Y456" s="40"/>
    </row>
    <row r="457" spans="5:25" x14ac:dyDescent="0.35">
      <c r="E457" t="s">
        <v>184</v>
      </c>
      <c r="F457" t="s">
        <v>692</v>
      </c>
      <c r="G457" s="28"/>
      <c r="N457" s="28"/>
      <c r="O457" s="28"/>
      <c r="X457" s="40"/>
      <c r="Y457" s="40"/>
    </row>
    <row r="458" spans="5:25" x14ac:dyDescent="0.35">
      <c r="E458" t="s">
        <v>184</v>
      </c>
      <c r="F458" t="s">
        <v>693</v>
      </c>
      <c r="G458" s="28"/>
      <c r="N458" s="28"/>
      <c r="O458" s="28"/>
      <c r="X458" s="40"/>
      <c r="Y458" s="40"/>
    </row>
    <row r="459" spans="5:25" x14ac:dyDescent="0.35">
      <c r="E459" t="s">
        <v>184</v>
      </c>
      <c r="F459" t="s">
        <v>694</v>
      </c>
      <c r="G459" s="28"/>
      <c r="N459" s="28"/>
      <c r="O459" s="28"/>
      <c r="X459" s="40"/>
      <c r="Y459" s="40"/>
    </row>
    <row r="460" spans="5:25" x14ac:dyDescent="0.35">
      <c r="E460" t="s">
        <v>184</v>
      </c>
      <c r="F460" t="s">
        <v>695</v>
      </c>
      <c r="G460" s="28"/>
      <c r="N460" s="28"/>
      <c r="O460" s="28"/>
      <c r="X460" s="40"/>
      <c r="Y460" s="40"/>
    </row>
    <row r="461" spans="5:25" x14ac:dyDescent="0.35">
      <c r="E461" t="s">
        <v>184</v>
      </c>
      <c r="F461" t="s">
        <v>696</v>
      </c>
      <c r="G461" s="28"/>
      <c r="N461" s="28"/>
      <c r="O461" s="28"/>
      <c r="X461" s="40"/>
      <c r="Y461" s="40"/>
    </row>
    <row r="462" spans="5:25" x14ac:dyDescent="0.35">
      <c r="E462" t="s">
        <v>184</v>
      </c>
      <c r="F462" t="s">
        <v>697</v>
      </c>
      <c r="G462" s="28"/>
      <c r="N462" s="28"/>
      <c r="O462" s="28"/>
      <c r="X462" s="40"/>
      <c r="Y462" s="40"/>
    </row>
    <row r="463" spans="5:25" x14ac:dyDescent="0.35">
      <c r="E463" t="s">
        <v>184</v>
      </c>
      <c r="F463" t="s">
        <v>698</v>
      </c>
      <c r="G463" s="28"/>
      <c r="N463" s="28"/>
      <c r="O463" s="28"/>
      <c r="X463" s="40"/>
      <c r="Y463" s="40"/>
    </row>
    <row r="464" spans="5:25" x14ac:dyDescent="0.35">
      <c r="E464" t="s">
        <v>184</v>
      </c>
      <c r="F464" t="s">
        <v>699</v>
      </c>
      <c r="G464" s="28"/>
      <c r="N464" s="28"/>
      <c r="O464" s="28"/>
      <c r="X464" s="40"/>
      <c r="Y464" s="40"/>
    </row>
    <row r="465" spans="5:25" x14ac:dyDescent="0.35">
      <c r="E465" t="s">
        <v>184</v>
      </c>
      <c r="F465" t="s">
        <v>363</v>
      </c>
      <c r="G465" s="28"/>
      <c r="N465" s="28"/>
      <c r="O465" s="28"/>
      <c r="X465" s="40"/>
      <c r="Y465" s="40"/>
    </row>
    <row r="466" spans="5:25" x14ac:dyDescent="0.35">
      <c r="E466" t="s">
        <v>184</v>
      </c>
      <c r="F466" t="s">
        <v>364</v>
      </c>
      <c r="G466" s="28"/>
      <c r="N466" s="28"/>
      <c r="O466" s="28"/>
      <c r="X466" s="40"/>
      <c r="Y466" s="40"/>
    </row>
    <row r="467" spans="5:25" x14ac:dyDescent="0.35">
      <c r="E467" t="s">
        <v>184</v>
      </c>
      <c r="F467" t="s">
        <v>700</v>
      </c>
      <c r="G467" s="28"/>
      <c r="N467" s="28"/>
      <c r="O467" s="28"/>
      <c r="X467" s="40"/>
      <c r="Y467" s="40"/>
    </row>
    <row r="468" spans="5:25" x14ac:dyDescent="0.35">
      <c r="E468" t="s">
        <v>184</v>
      </c>
      <c r="F468" t="s">
        <v>365</v>
      </c>
      <c r="G468" s="28"/>
      <c r="N468" s="28"/>
      <c r="O468" s="28"/>
      <c r="X468" s="40"/>
      <c r="Y468" s="40"/>
    </row>
    <row r="469" spans="5:25" x14ac:dyDescent="0.35">
      <c r="E469" t="s">
        <v>184</v>
      </c>
      <c r="F469" t="s">
        <v>701</v>
      </c>
      <c r="G469" s="28"/>
      <c r="N469" s="28"/>
      <c r="O469" s="28"/>
      <c r="X469" s="40"/>
      <c r="Y469" s="40"/>
    </row>
    <row r="470" spans="5:25" x14ac:dyDescent="0.35">
      <c r="E470" t="s">
        <v>184</v>
      </c>
      <c r="F470" t="s">
        <v>702</v>
      </c>
      <c r="G470" s="28"/>
      <c r="N470" s="28"/>
      <c r="O470" s="28"/>
      <c r="X470" s="40"/>
      <c r="Y470" s="40"/>
    </row>
    <row r="471" spans="5:25" x14ac:dyDescent="0.35">
      <c r="E471" t="s">
        <v>184</v>
      </c>
      <c r="F471" t="s">
        <v>366</v>
      </c>
      <c r="G471" s="28"/>
      <c r="N471" s="28"/>
      <c r="O471" s="28"/>
      <c r="X471" s="40"/>
      <c r="Y471" s="40"/>
    </row>
    <row r="472" spans="5:25" x14ac:dyDescent="0.35">
      <c r="E472" t="s">
        <v>184</v>
      </c>
      <c r="F472" t="s">
        <v>703</v>
      </c>
      <c r="G472" s="28"/>
      <c r="N472" s="28"/>
      <c r="O472" s="28"/>
      <c r="X472" s="40"/>
      <c r="Y472" s="40"/>
    </row>
    <row r="473" spans="5:25" x14ac:dyDescent="0.35">
      <c r="E473" t="s">
        <v>184</v>
      </c>
      <c r="F473" t="s">
        <v>424</v>
      </c>
      <c r="G473" s="28"/>
      <c r="N473" s="28"/>
      <c r="O473" s="28"/>
      <c r="X473" s="40"/>
      <c r="Y473" s="40"/>
    </row>
    <row r="474" spans="5:25" x14ac:dyDescent="0.35">
      <c r="E474" t="s">
        <v>184</v>
      </c>
      <c r="F474" t="s">
        <v>704</v>
      </c>
      <c r="G474" s="28"/>
      <c r="N474" s="28"/>
      <c r="O474" s="28"/>
      <c r="X474" s="40"/>
      <c r="Y474" s="40"/>
    </row>
    <row r="475" spans="5:25" x14ac:dyDescent="0.35">
      <c r="E475" t="s">
        <v>184</v>
      </c>
      <c r="F475" t="s">
        <v>367</v>
      </c>
      <c r="G475" s="28"/>
      <c r="N475" s="28"/>
      <c r="O475" s="28"/>
      <c r="X475" s="40"/>
      <c r="Y475" s="40"/>
    </row>
    <row r="476" spans="5:25" x14ac:dyDescent="0.35">
      <c r="E476" t="s">
        <v>184</v>
      </c>
      <c r="F476" t="s">
        <v>705</v>
      </c>
      <c r="G476" s="28"/>
      <c r="N476" s="28"/>
      <c r="O476" s="28"/>
      <c r="X476" s="40"/>
      <c r="Y476" s="40"/>
    </row>
    <row r="477" spans="5:25" x14ac:dyDescent="0.35">
      <c r="E477" t="s">
        <v>184</v>
      </c>
      <c r="F477" t="s">
        <v>706</v>
      </c>
      <c r="G477" s="28"/>
      <c r="N477" s="28"/>
      <c r="O477" s="28"/>
      <c r="X477" s="40"/>
      <c r="Y477" s="40"/>
    </row>
    <row r="478" spans="5:25" x14ac:dyDescent="0.35">
      <c r="E478" t="s">
        <v>184</v>
      </c>
      <c r="F478" t="s">
        <v>370</v>
      </c>
      <c r="G478" s="28"/>
      <c r="N478" s="28"/>
      <c r="O478" s="28"/>
      <c r="X478" s="40"/>
      <c r="Y478" s="40"/>
    </row>
    <row r="479" spans="5:25" x14ac:dyDescent="0.35">
      <c r="E479" t="s">
        <v>184</v>
      </c>
      <c r="F479" t="s">
        <v>620</v>
      </c>
      <c r="G479" s="28"/>
      <c r="N479" s="28"/>
      <c r="O479" s="28"/>
      <c r="X479" s="40"/>
      <c r="Y479" s="40"/>
    </row>
    <row r="480" spans="5:25" x14ac:dyDescent="0.35">
      <c r="E480" t="s">
        <v>184</v>
      </c>
      <c r="F480" t="s">
        <v>426</v>
      </c>
      <c r="G480" s="28"/>
      <c r="N480" s="28"/>
      <c r="O480" s="28"/>
      <c r="X480" s="40"/>
      <c r="Y480" s="40"/>
    </row>
    <row r="481" spans="5:25" x14ac:dyDescent="0.35">
      <c r="E481" t="s">
        <v>184</v>
      </c>
      <c r="F481" t="s">
        <v>707</v>
      </c>
      <c r="G481" s="28"/>
      <c r="N481" s="28"/>
      <c r="O481" s="28"/>
      <c r="X481" s="40"/>
      <c r="Y481" s="40"/>
    </row>
    <row r="482" spans="5:25" x14ac:dyDescent="0.35">
      <c r="E482" t="s">
        <v>184</v>
      </c>
      <c r="F482" t="s">
        <v>372</v>
      </c>
      <c r="G482" s="28"/>
      <c r="N482" s="28"/>
      <c r="O482" s="28"/>
      <c r="X482" s="40"/>
      <c r="Y482" s="40"/>
    </row>
    <row r="483" spans="5:25" x14ac:dyDescent="0.35">
      <c r="E483" t="s">
        <v>184</v>
      </c>
      <c r="F483" t="s">
        <v>708</v>
      </c>
      <c r="G483" s="28"/>
      <c r="N483" s="28"/>
      <c r="O483" s="28"/>
      <c r="X483" s="40"/>
      <c r="Y483" s="40"/>
    </row>
    <row r="484" spans="5:25" x14ac:dyDescent="0.35">
      <c r="E484" t="s">
        <v>184</v>
      </c>
      <c r="F484" t="s">
        <v>373</v>
      </c>
      <c r="G484" s="28"/>
      <c r="N484" s="28"/>
      <c r="O484" s="28"/>
      <c r="X484" s="40"/>
      <c r="Y484" s="40"/>
    </row>
    <row r="485" spans="5:25" x14ac:dyDescent="0.35">
      <c r="E485" t="s">
        <v>184</v>
      </c>
      <c r="F485" t="s">
        <v>374</v>
      </c>
      <c r="G485" s="28"/>
      <c r="N485" s="28"/>
      <c r="O485" s="28"/>
      <c r="X485" s="40"/>
      <c r="Y485" s="40"/>
    </row>
    <row r="486" spans="5:25" x14ac:dyDescent="0.35">
      <c r="E486" t="s">
        <v>184</v>
      </c>
      <c r="F486" t="s">
        <v>376</v>
      </c>
      <c r="G486" s="28"/>
      <c r="N486" s="28"/>
      <c r="O486" s="28"/>
      <c r="X486" s="40"/>
      <c r="Y486" s="40"/>
    </row>
    <row r="487" spans="5:25" x14ac:dyDescent="0.35">
      <c r="E487" t="s">
        <v>184</v>
      </c>
      <c r="F487" t="s">
        <v>709</v>
      </c>
      <c r="G487" s="28"/>
      <c r="N487" s="28"/>
      <c r="O487" s="28"/>
      <c r="X487" s="40"/>
      <c r="Y487" s="40"/>
    </row>
    <row r="488" spans="5:25" x14ac:dyDescent="0.35">
      <c r="E488" t="s">
        <v>184</v>
      </c>
      <c r="F488" t="s">
        <v>710</v>
      </c>
      <c r="G488" s="28"/>
      <c r="N488" s="28"/>
      <c r="O488" s="28"/>
      <c r="X488" s="40"/>
      <c r="Y488" s="40"/>
    </row>
    <row r="489" spans="5:25" x14ac:dyDescent="0.35">
      <c r="E489" t="s">
        <v>184</v>
      </c>
      <c r="F489" t="s">
        <v>711</v>
      </c>
      <c r="G489" s="28"/>
      <c r="N489" s="28"/>
      <c r="O489" s="28"/>
      <c r="X489" s="40"/>
      <c r="Y489" s="40"/>
    </row>
    <row r="490" spans="5:25" x14ac:dyDescent="0.35">
      <c r="E490" t="s">
        <v>184</v>
      </c>
      <c r="F490" t="s">
        <v>430</v>
      </c>
      <c r="G490" s="28"/>
      <c r="N490" s="28"/>
      <c r="O490" s="28"/>
      <c r="X490" s="40"/>
      <c r="Y490" s="40"/>
    </row>
    <row r="491" spans="5:25" x14ac:dyDescent="0.35">
      <c r="E491" t="s">
        <v>184</v>
      </c>
      <c r="F491" t="s">
        <v>712</v>
      </c>
      <c r="G491" s="28"/>
      <c r="N491" s="28"/>
      <c r="O491" s="28"/>
      <c r="X491" s="40"/>
      <c r="Y491" s="40"/>
    </row>
    <row r="492" spans="5:25" x14ac:dyDescent="0.35">
      <c r="E492" t="s">
        <v>184</v>
      </c>
      <c r="F492" t="s">
        <v>379</v>
      </c>
      <c r="G492" s="28"/>
      <c r="N492" s="28"/>
      <c r="O492" s="28"/>
      <c r="X492" s="40"/>
      <c r="Y492" s="40"/>
    </row>
    <row r="493" spans="5:25" x14ac:dyDescent="0.35">
      <c r="E493" t="s">
        <v>184</v>
      </c>
      <c r="F493" t="s">
        <v>380</v>
      </c>
      <c r="G493" s="28"/>
      <c r="N493" s="28"/>
      <c r="O493" s="28"/>
      <c r="X493" s="40"/>
      <c r="Y493" s="40"/>
    </row>
    <row r="494" spans="5:25" x14ac:dyDescent="0.35">
      <c r="E494" t="s">
        <v>184</v>
      </c>
      <c r="F494" t="s">
        <v>381</v>
      </c>
      <c r="G494" s="28"/>
      <c r="N494" s="28"/>
      <c r="O494" s="28"/>
      <c r="X494" s="40"/>
      <c r="Y494" s="40"/>
    </row>
    <row r="495" spans="5:25" x14ac:dyDescent="0.35">
      <c r="E495" t="s">
        <v>184</v>
      </c>
      <c r="F495" t="s">
        <v>713</v>
      </c>
      <c r="G495" s="28"/>
      <c r="N495" s="28"/>
      <c r="O495" s="28"/>
      <c r="X495" s="40"/>
      <c r="Y495" s="40"/>
    </row>
    <row r="496" spans="5:25" x14ac:dyDescent="0.35">
      <c r="E496" t="s">
        <v>184</v>
      </c>
      <c r="F496" t="s">
        <v>714</v>
      </c>
      <c r="G496" s="28"/>
      <c r="N496" s="28"/>
      <c r="O496" s="28"/>
      <c r="X496" s="40"/>
      <c r="Y496" s="40"/>
    </row>
    <row r="497" spans="5:25" x14ac:dyDescent="0.35">
      <c r="E497" t="s">
        <v>184</v>
      </c>
      <c r="F497" t="s">
        <v>433</v>
      </c>
      <c r="G497" s="28"/>
      <c r="N497" s="28"/>
      <c r="O497" s="28"/>
      <c r="X497" s="40"/>
      <c r="Y497" s="40"/>
    </row>
    <row r="498" spans="5:25" x14ac:dyDescent="0.35">
      <c r="E498" t="s">
        <v>184</v>
      </c>
      <c r="F498" t="s">
        <v>715</v>
      </c>
      <c r="G498" s="28"/>
      <c r="N498" s="28"/>
      <c r="O498" s="28"/>
      <c r="X498" s="40"/>
      <c r="Y498" s="40"/>
    </row>
    <row r="499" spans="5:25" x14ac:dyDescent="0.35">
      <c r="E499" t="s">
        <v>184</v>
      </c>
      <c r="F499" t="s">
        <v>716</v>
      </c>
      <c r="G499" s="28"/>
      <c r="N499" s="28"/>
      <c r="O499" s="28"/>
      <c r="X499" s="40"/>
      <c r="Y499" s="40"/>
    </row>
    <row r="500" spans="5:25" x14ac:dyDescent="0.35">
      <c r="E500" t="s">
        <v>184</v>
      </c>
      <c r="F500" t="s">
        <v>717</v>
      </c>
      <c r="G500" s="28"/>
      <c r="N500" s="28"/>
      <c r="O500" s="28"/>
      <c r="X500" s="40"/>
      <c r="Y500" s="40"/>
    </row>
    <row r="501" spans="5:25" x14ac:dyDescent="0.35">
      <c r="E501" t="s">
        <v>184</v>
      </c>
      <c r="F501" t="s">
        <v>718</v>
      </c>
      <c r="G501" s="28"/>
      <c r="N501" s="28"/>
      <c r="O501" s="28"/>
      <c r="X501" s="40"/>
      <c r="Y501" s="40"/>
    </row>
    <row r="502" spans="5:25" x14ac:dyDescent="0.35">
      <c r="E502" t="s">
        <v>184</v>
      </c>
      <c r="F502" t="s">
        <v>383</v>
      </c>
      <c r="G502" s="28"/>
      <c r="N502" s="28"/>
      <c r="O502" s="28"/>
      <c r="X502" s="40"/>
      <c r="Y502" s="40"/>
    </row>
    <row r="503" spans="5:25" x14ac:dyDescent="0.35">
      <c r="E503" t="s">
        <v>184</v>
      </c>
      <c r="F503" t="s">
        <v>719</v>
      </c>
      <c r="G503" s="28"/>
      <c r="N503" s="28"/>
      <c r="O503" s="28"/>
      <c r="X503" s="40"/>
      <c r="Y503" s="40"/>
    </row>
    <row r="504" spans="5:25" x14ac:dyDescent="0.35">
      <c r="E504" t="s">
        <v>184</v>
      </c>
      <c r="F504" t="s">
        <v>384</v>
      </c>
      <c r="G504" s="28"/>
      <c r="N504" s="28"/>
      <c r="O504" s="28"/>
      <c r="X504" s="40"/>
      <c r="Y504" s="40"/>
    </row>
    <row r="505" spans="5:25" x14ac:dyDescent="0.35">
      <c r="E505" t="s">
        <v>184</v>
      </c>
      <c r="F505" t="s">
        <v>437</v>
      </c>
      <c r="G505" s="28"/>
      <c r="N505" s="28"/>
      <c r="O505" s="28"/>
      <c r="X505" s="40"/>
      <c r="Y505" s="40"/>
    </row>
    <row r="506" spans="5:25" x14ac:dyDescent="0.35">
      <c r="E506" t="s">
        <v>184</v>
      </c>
      <c r="F506" t="s">
        <v>440</v>
      </c>
      <c r="G506" s="28"/>
      <c r="N506" s="28"/>
      <c r="O506" s="28"/>
      <c r="X506" s="40"/>
      <c r="Y506" s="40"/>
    </row>
    <row r="507" spans="5:25" x14ac:dyDescent="0.35">
      <c r="E507" t="s">
        <v>184</v>
      </c>
      <c r="F507" t="s">
        <v>631</v>
      </c>
      <c r="G507" s="28"/>
      <c r="N507" s="28"/>
      <c r="O507" s="28"/>
      <c r="X507" s="40"/>
      <c r="Y507" s="40"/>
    </row>
    <row r="508" spans="5:25" x14ac:dyDescent="0.35">
      <c r="E508" t="s">
        <v>184</v>
      </c>
      <c r="F508" t="s">
        <v>720</v>
      </c>
      <c r="G508" s="28"/>
      <c r="N508" s="28"/>
      <c r="O508" s="28"/>
      <c r="X508" s="40"/>
      <c r="Y508" s="40"/>
    </row>
    <row r="509" spans="5:25" x14ac:dyDescent="0.35">
      <c r="E509" t="s">
        <v>184</v>
      </c>
      <c r="F509" t="s">
        <v>721</v>
      </c>
      <c r="G509" s="28"/>
      <c r="N509" s="28"/>
      <c r="O509" s="28"/>
      <c r="X509" s="40"/>
      <c r="Y509" s="40"/>
    </row>
    <row r="510" spans="5:25" x14ac:dyDescent="0.35">
      <c r="E510" t="s">
        <v>184</v>
      </c>
      <c r="F510" t="s">
        <v>385</v>
      </c>
      <c r="G510" s="28"/>
      <c r="N510" s="28"/>
      <c r="O510" s="28"/>
      <c r="X510" s="40"/>
      <c r="Y510" s="40"/>
    </row>
    <row r="511" spans="5:25" x14ac:dyDescent="0.35">
      <c r="E511" t="s">
        <v>184</v>
      </c>
      <c r="F511" t="s">
        <v>722</v>
      </c>
      <c r="G511" s="28"/>
      <c r="N511" s="28"/>
      <c r="O511" s="28"/>
      <c r="X511" s="40"/>
      <c r="Y511" s="40"/>
    </row>
    <row r="512" spans="5:25" x14ac:dyDescent="0.35">
      <c r="E512" t="s">
        <v>184</v>
      </c>
      <c r="F512" t="s">
        <v>723</v>
      </c>
      <c r="G512" s="28"/>
      <c r="N512" s="28"/>
      <c r="O512" s="28"/>
      <c r="X512" s="40"/>
      <c r="Y512" s="40"/>
    </row>
    <row r="513" spans="5:25" x14ac:dyDescent="0.35">
      <c r="E513" t="s">
        <v>184</v>
      </c>
      <c r="F513" t="s">
        <v>724</v>
      </c>
      <c r="G513" s="28"/>
      <c r="N513" s="28"/>
      <c r="O513" s="28"/>
      <c r="X513" s="40"/>
      <c r="Y513" s="40"/>
    </row>
    <row r="514" spans="5:25" x14ac:dyDescent="0.35">
      <c r="E514" t="s">
        <v>184</v>
      </c>
      <c r="F514" t="s">
        <v>725</v>
      </c>
      <c r="G514" s="28"/>
      <c r="N514" s="28"/>
      <c r="O514" s="28"/>
      <c r="X514" s="40"/>
      <c r="Y514" s="40"/>
    </row>
    <row r="515" spans="5:25" x14ac:dyDescent="0.35">
      <c r="E515" t="s">
        <v>184</v>
      </c>
      <c r="F515" t="s">
        <v>636</v>
      </c>
      <c r="G515" s="28"/>
      <c r="N515" s="28"/>
      <c r="O515" s="28"/>
      <c r="X515" s="40"/>
      <c r="Y515" s="40"/>
    </row>
    <row r="516" spans="5:25" x14ac:dyDescent="0.35">
      <c r="E516" t="s">
        <v>184</v>
      </c>
      <c r="F516" t="s">
        <v>726</v>
      </c>
      <c r="G516" s="28"/>
      <c r="N516" s="28"/>
      <c r="O516" s="28"/>
      <c r="X516" s="40"/>
      <c r="Y516" s="40"/>
    </row>
    <row r="517" spans="5:25" x14ac:dyDescent="0.35">
      <c r="E517" t="s">
        <v>184</v>
      </c>
      <c r="F517" t="s">
        <v>727</v>
      </c>
      <c r="G517" s="28"/>
      <c r="N517" s="28"/>
      <c r="O517" s="28"/>
      <c r="X517" s="40"/>
      <c r="Y517" s="40"/>
    </row>
    <row r="518" spans="5:25" x14ac:dyDescent="0.35">
      <c r="E518" t="s">
        <v>184</v>
      </c>
      <c r="F518" t="s">
        <v>728</v>
      </c>
      <c r="G518" s="28"/>
      <c r="N518" s="28"/>
      <c r="O518" s="28"/>
      <c r="X518" s="40"/>
      <c r="Y518" s="40"/>
    </row>
    <row r="519" spans="5:25" x14ac:dyDescent="0.35">
      <c r="E519" t="s">
        <v>184</v>
      </c>
      <c r="F519" t="s">
        <v>389</v>
      </c>
      <c r="G519" s="28"/>
      <c r="N519" s="28"/>
      <c r="O519" s="28"/>
      <c r="X519" s="40"/>
      <c r="Y519" s="40"/>
    </row>
    <row r="520" spans="5:25" x14ac:dyDescent="0.35">
      <c r="E520" t="s">
        <v>184</v>
      </c>
      <c r="F520" t="s">
        <v>729</v>
      </c>
      <c r="G520" s="28"/>
      <c r="N520" s="28"/>
      <c r="O520" s="28"/>
      <c r="X520" s="40"/>
      <c r="Y520" s="40"/>
    </row>
    <row r="521" spans="5:25" x14ac:dyDescent="0.35">
      <c r="E521" t="s">
        <v>184</v>
      </c>
      <c r="F521" t="s">
        <v>730</v>
      </c>
      <c r="G521" s="28"/>
      <c r="N521" s="28"/>
      <c r="O521" s="28"/>
      <c r="X521" s="40"/>
      <c r="Y521" s="40"/>
    </row>
    <row r="522" spans="5:25" x14ac:dyDescent="0.35">
      <c r="E522" t="s">
        <v>184</v>
      </c>
      <c r="F522" t="s">
        <v>731</v>
      </c>
      <c r="G522" s="28"/>
      <c r="N522" s="28"/>
      <c r="O522" s="28"/>
      <c r="X522" s="40"/>
      <c r="Y522" s="40"/>
    </row>
    <row r="523" spans="5:25" x14ac:dyDescent="0.35">
      <c r="E523" t="s">
        <v>184</v>
      </c>
      <c r="F523" t="s">
        <v>638</v>
      </c>
      <c r="G523" s="28"/>
      <c r="N523" s="28"/>
      <c r="O523" s="28"/>
      <c r="X523" s="40"/>
      <c r="Y523" s="40"/>
    </row>
    <row r="524" spans="5:25" x14ac:dyDescent="0.35">
      <c r="E524" t="s">
        <v>184</v>
      </c>
      <c r="F524" t="s">
        <v>732</v>
      </c>
      <c r="G524" s="28"/>
      <c r="N524" s="28"/>
      <c r="O524" s="28"/>
      <c r="X524" s="40"/>
      <c r="Y524" s="40"/>
    </row>
    <row r="525" spans="5:25" x14ac:dyDescent="0.35">
      <c r="E525" t="s">
        <v>184</v>
      </c>
      <c r="F525" t="s">
        <v>733</v>
      </c>
      <c r="G525" s="28"/>
      <c r="N525" s="28"/>
      <c r="O525" s="28"/>
      <c r="X525" s="40"/>
      <c r="Y525" s="40"/>
    </row>
    <row r="526" spans="5:25" x14ac:dyDescent="0.35">
      <c r="E526" t="s">
        <v>184</v>
      </c>
      <c r="F526" t="s">
        <v>734</v>
      </c>
      <c r="G526" s="28"/>
      <c r="N526" s="28"/>
      <c r="O526" s="28"/>
      <c r="X526" s="40"/>
      <c r="Y526" s="40"/>
    </row>
    <row r="527" spans="5:25" x14ac:dyDescent="0.35">
      <c r="E527" t="s">
        <v>184</v>
      </c>
      <c r="F527" t="s">
        <v>735</v>
      </c>
      <c r="G527" s="28"/>
      <c r="N527" s="28"/>
      <c r="O527" s="28"/>
      <c r="X527" s="40"/>
      <c r="Y527" s="40"/>
    </row>
    <row r="528" spans="5:25" x14ac:dyDescent="0.35">
      <c r="E528" t="s">
        <v>184</v>
      </c>
      <c r="F528" t="s">
        <v>736</v>
      </c>
      <c r="G528" s="28"/>
      <c r="N528" s="28"/>
      <c r="O528" s="28"/>
      <c r="X528" s="40"/>
      <c r="Y528" s="40"/>
    </row>
    <row r="529" spans="5:25" x14ac:dyDescent="0.35">
      <c r="E529" t="s">
        <v>184</v>
      </c>
      <c r="F529" t="s">
        <v>737</v>
      </c>
      <c r="G529" s="28"/>
      <c r="N529" s="28"/>
      <c r="O529" s="28"/>
      <c r="X529" s="40"/>
      <c r="Y529" s="40"/>
    </row>
    <row r="530" spans="5:25" x14ac:dyDescent="0.35">
      <c r="E530" t="s">
        <v>184</v>
      </c>
      <c r="F530" t="s">
        <v>738</v>
      </c>
      <c r="G530" s="28"/>
      <c r="N530" s="28"/>
      <c r="O530" s="28"/>
      <c r="X530" s="40"/>
      <c r="Y530" s="40"/>
    </row>
    <row r="531" spans="5:25" x14ac:dyDescent="0.35">
      <c r="E531" t="s">
        <v>184</v>
      </c>
      <c r="F531" t="s">
        <v>739</v>
      </c>
      <c r="G531" s="28"/>
      <c r="N531" s="28"/>
      <c r="O531" s="28"/>
      <c r="X531" s="40"/>
      <c r="Y531" s="40"/>
    </row>
    <row r="532" spans="5:25" x14ac:dyDescent="0.35">
      <c r="E532" t="s">
        <v>184</v>
      </c>
      <c r="F532" t="s">
        <v>740</v>
      </c>
      <c r="G532" s="28"/>
      <c r="N532" s="28"/>
      <c r="O532" s="28"/>
      <c r="X532" s="40"/>
      <c r="Y532" s="40"/>
    </row>
    <row r="533" spans="5:25" x14ac:dyDescent="0.35">
      <c r="E533" t="s">
        <v>184</v>
      </c>
      <c r="F533" t="s">
        <v>741</v>
      </c>
      <c r="G533" s="28"/>
      <c r="N533" s="28"/>
      <c r="O533" s="28"/>
      <c r="X533" s="40"/>
      <c r="Y533" s="40"/>
    </row>
    <row r="534" spans="5:25" x14ac:dyDescent="0.35">
      <c r="E534" t="s">
        <v>184</v>
      </c>
      <c r="F534" t="s">
        <v>449</v>
      </c>
      <c r="G534" s="28"/>
      <c r="N534" s="28"/>
      <c r="O534" s="28"/>
      <c r="X534" s="40"/>
      <c r="Y534" s="40"/>
    </row>
    <row r="535" spans="5:25" x14ac:dyDescent="0.35">
      <c r="E535" t="s">
        <v>184</v>
      </c>
      <c r="F535" t="s">
        <v>742</v>
      </c>
      <c r="G535" s="28"/>
      <c r="N535" s="28"/>
      <c r="O535" s="28"/>
      <c r="X535" s="40"/>
      <c r="Y535" s="40"/>
    </row>
    <row r="536" spans="5:25" x14ac:dyDescent="0.35">
      <c r="E536" t="s">
        <v>184</v>
      </c>
      <c r="F536" t="s">
        <v>393</v>
      </c>
      <c r="G536" s="28"/>
      <c r="N536" s="28"/>
      <c r="O536" s="28"/>
      <c r="X536" s="40"/>
      <c r="Y536" s="40"/>
    </row>
    <row r="537" spans="5:25" x14ac:dyDescent="0.35">
      <c r="E537" t="s">
        <v>184</v>
      </c>
      <c r="F537" t="s">
        <v>641</v>
      </c>
      <c r="G537" s="28"/>
      <c r="N537" s="28"/>
      <c r="O537" s="28"/>
      <c r="X537" s="40"/>
      <c r="Y537" s="40"/>
    </row>
    <row r="538" spans="5:25" x14ac:dyDescent="0.35">
      <c r="E538" t="s">
        <v>184</v>
      </c>
      <c r="F538" t="s">
        <v>743</v>
      </c>
      <c r="G538" s="28"/>
      <c r="N538" s="28"/>
      <c r="O538" s="28"/>
      <c r="X538" s="40"/>
      <c r="Y538" s="40"/>
    </row>
    <row r="539" spans="5:25" x14ac:dyDescent="0.35">
      <c r="E539" t="s">
        <v>184</v>
      </c>
      <c r="F539" t="s">
        <v>744</v>
      </c>
      <c r="G539" s="28"/>
      <c r="N539" s="28"/>
      <c r="O539" s="28"/>
      <c r="X539" s="40"/>
      <c r="Y539" s="40"/>
    </row>
    <row r="540" spans="5:25" x14ac:dyDescent="0.35">
      <c r="E540" t="s">
        <v>184</v>
      </c>
      <c r="F540" t="s">
        <v>394</v>
      </c>
      <c r="G540" s="28"/>
      <c r="N540" s="28"/>
      <c r="O540" s="28"/>
      <c r="X540" s="40"/>
      <c r="Y540" s="40"/>
    </row>
    <row r="541" spans="5:25" x14ac:dyDescent="0.35">
      <c r="E541" t="s">
        <v>184</v>
      </c>
      <c r="F541" t="s">
        <v>745</v>
      </c>
      <c r="G541" s="28"/>
      <c r="N541" s="28"/>
      <c r="O541" s="28"/>
      <c r="X541" s="40"/>
      <c r="Y541" s="40"/>
    </row>
    <row r="542" spans="5:25" x14ac:dyDescent="0.35">
      <c r="E542" t="s">
        <v>184</v>
      </c>
      <c r="F542" t="s">
        <v>746</v>
      </c>
      <c r="G542" s="28"/>
      <c r="N542" s="28"/>
      <c r="O542" s="28"/>
      <c r="X542" s="40"/>
      <c r="Y542" s="40"/>
    </row>
    <row r="543" spans="5:25" x14ac:dyDescent="0.35">
      <c r="E543" t="s">
        <v>184</v>
      </c>
      <c r="F543" t="s">
        <v>747</v>
      </c>
      <c r="G543" s="28"/>
      <c r="N543" s="28"/>
      <c r="O543" s="28"/>
      <c r="X543" s="40"/>
      <c r="Y543" s="40"/>
    </row>
    <row r="544" spans="5:25" x14ac:dyDescent="0.35">
      <c r="E544" t="s">
        <v>184</v>
      </c>
      <c r="F544" t="s">
        <v>451</v>
      </c>
      <c r="G544" s="28"/>
      <c r="N544" s="28"/>
      <c r="O544" s="28"/>
      <c r="X544" s="40"/>
      <c r="Y544" s="40"/>
    </row>
    <row r="545" spans="5:25" x14ac:dyDescent="0.35">
      <c r="E545" t="s">
        <v>184</v>
      </c>
      <c r="F545" t="s">
        <v>748</v>
      </c>
      <c r="G545" s="28"/>
      <c r="N545" s="28"/>
      <c r="O545" s="28"/>
      <c r="X545" s="40"/>
      <c r="Y545" s="40"/>
    </row>
    <row r="546" spans="5:25" x14ac:dyDescent="0.35">
      <c r="E546" t="s">
        <v>184</v>
      </c>
      <c r="F546" t="s">
        <v>395</v>
      </c>
      <c r="G546" s="32"/>
      <c r="N546" s="28"/>
      <c r="O546" s="28"/>
      <c r="X546" s="40"/>
      <c r="Y546" s="40"/>
    </row>
    <row r="547" spans="5:25" x14ac:dyDescent="0.35">
      <c r="E547" t="s">
        <v>184</v>
      </c>
      <c r="F547" t="s">
        <v>749</v>
      </c>
      <c r="G547" s="32"/>
      <c r="N547" s="28"/>
      <c r="O547" s="28"/>
      <c r="X547" s="40"/>
      <c r="Y547" s="40"/>
    </row>
    <row r="548" spans="5:25" x14ac:dyDescent="0.35">
      <c r="E548" t="s">
        <v>184</v>
      </c>
      <c r="F548" t="s">
        <v>750</v>
      </c>
      <c r="G548" s="32"/>
      <c r="N548" s="28"/>
      <c r="O548" s="28"/>
      <c r="X548" s="40"/>
      <c r="Y548" s="40"/>
    </row>
    <row r="549" spans="5:25" x14ac:dyDescent="0.35">
      <c r="E549" t="s">
        <v>184</v>
      </c>
      <c r="F549" t="s">
        <v>751</v>
      </c>
      <c r="G549" s="32"/>
      <c r="N549" s="28"/>
      <c r="O549" s="28"/>
      <c r="X549" s="40"/>
      <c r="Y549" s="40"/>
    </row>
    <row r="550" spans="5:25" x14ac:dyDescent="0.35">
      <c r="E550" t="s">
        <v>295</v>
      </c>
      <c r="F550" t="s">
        <v>752</v>
      </c>
      <c r="G550" s="32"/>
      <c r="N550" s="28"/>
      <c r="O550" s="28"/>
      <c r="X550" s="40"/>
      <c r="Y550" s="40"/>
    </row>
    <row r="551" spans="5:25" x14ac:dyDescent="0.35">
      <c r="E551" t="s">
        <v>185</v>
      </c>
      <c r="F551" t="s">
        <v>454</v>
      </c>
      <c r="G551" s="28"/>
      <c r="N551" s="28"/>
      <c r="O551" s="28"/>
      <c r="X551" s="40"/>
      <c r="Y551" s="40"/>
    </row>
    <row r="552" spans="5:25" x14ac:dyDescent="0.35">
      <c r="E552" t="s">
        <v>185</v>
      </c>
      <c r="F552" t="s">
        <v>753</v>
      </c>
      <c r="G552" s="28"/>
      <c r="N552" s="28"/>
      <c r="O552" s="28"/>
      <c r="X552" s="40"/>
      <c r="Y552" s="40"/>
    </row>
    <row r="553" spans="5:25" x14ac:dyDescent="0.35">
      <c r="E553" t="s">
        <v>185</v>
      </c>
      <c r="F553" t="s">
        <v>754</v>
      </c>
      <c r="G553" s="28"/>
      <c r="N553" s="28"/>
      <c r="O553" s="28"/>
      <c r="X553" s="40"/>
      <c r="Y553" s="40"/>
    </row>
    <row r="554" spans="5:25" x14ac:dyDescent="0.35">
      <c r="E554" t="s">
        <v>185</v>
      </c>
      <c r="F554" t="s">
        <v>755</v>
      </c>
      <c r="G554" s="28"/>
      <c r="N554" s="28"/>
      <c r="O554" s="28"/>
      <c r="X554" s="40"/>
      <c r="Y554" s="40"/>
    </row>
    <row r="555" spans="5:25" x14ac:dyDescent="0.35">
      <c r="E555" t="s">
        <v>185</v>
      </c>
      <c r="F555" t="s">
        <v>756</v>
      </c>
      <c r="G555" s="28"/>
      <c r="N555" s="28"/>
      <c r="O555" s="28"/>
      <c r="X555" s="40"/>
      <c r="Y555" s="40"/>
    </row>
    <row r="556" spans="5:25" x14ac:dyDescent="0.35">
      <c r="E556" t="s">
        <v>186</v>
      </c>
      <c r="F556" t="s">
        <v>757</v>
      </c>
      <c r="G556" s="28"/>
      <c r="N556" s="28"/>
      <c r="O556" s="28"/>
      <c r="X556" s="40"/>
      <c r="Y556" s="40"/>
    </row>
    <row r="557" spans="5:25" x14ac:dyDescent="0.35">
      <c r="E557" t="s">
        <v>186</v>
      </c>
      <c r="F557" t="s">
        <v>526</v>
      </c>
      <c r="G557" s="28"/>
      <c r="N557" s="28"/>
      <c r="O557" s="28"/>
      <c r="X557" s="40"/>
      <c r="Y557" s="40"/>
    </row>
    <row r="558" spans="5:25" x14ac:dyDescent="0.35">
      <c r="E558" t="s">
        <v>186</v>
      </c>
      <c r="F558" t="s">
        <v>758</v>
      </c>
      <c r="G558" s="28"/>
      <c r="N558" s="28"/>
      <c r="O558" s="28"/>
      <c r="X558" s="40"/>
      <c r="Y558" s="40"/>
    </row>
    <row r="559" spans="5:25" x14ac:dyDescent="0.35">
      <c r="E559" t="s">
        <v>186</v>
      </c>
      <c r="F559" t="s">
        <v>759</v>
      </c>
      <c r="G559" s="28"/>
      <c r="N559" s="28"/>
      <c r="O559" s="28"/>
      <c r="X559" s="40"/>
      <c r="Y559" s="40"/>
    </row>
    <row r="560" spans="5:25" x14ac:dyDescent="0.35">
      <c r="E560" t="s">
        <v>186</v>
      </c>
      <c r="F560" t="s">
        <v>760</v>
      </c>
      <c r="G560" s="28"/>
      <c r="N560" s="28"/>
      <c r="O560" s="28"/>
      <c r="X560" s="40"/>
      <c r="Y560" s="40"/>
    </row>
    <row r="561" spans="5:25" x14ac:dyDescent="0.35">
      <c r="E561" t="s">
        <v>186</v>
      </c>
      <c r="F561" t="s">
        <v>400</v>
      </c>
      <c r="G561" s="28"/>
      <c r="N561" s="28"/>
      <c r="O561" s="28"/>
      <c r="X561" s="40"/>
      <c r="Y561" s="40"/>
    </row>
    <row r="562" spans="5:25" x14ac:dyDescent="0.35">
      <c r="E562" t="s">
        <v>186</v>
      </c>
      <c r="F562" t="s">
        <v>761</v>
      </c>
      <c r="G562" s="28"/>
      <c r="N562" s="28"/>
      <c r="O562" s="28"/>
      <c r="X562" s="40"/>
      <c r="Y562" s="40"/>
    </row>
    <row r="563" spans="5:25" x14ac:dyDescent="0.35">
      <c r="E563" t="s">
        <v>186</v>
      </c>
      <c r="F563" t="s">
        <v>401</v>
      </c>
      <c r="G563" s="28"/>
      <c r="N563" s="28"/>
      <c r="O563" s="28"/>
      <c r="X563" s="40"/>
      <c r="Y563" s="40"/>
    </row>
    <row r="564" spans="5:25" x14ac:dyDescent="0.35">
      <c r="E564" t="s">
        <v>186</v>
      </c>
      <c r="F564" t="s">
        <v>762</v>
      </c>
      <c r="G564" s="28"/>
      <c r="N564" s="28"/>
      <c r="O564" s="28"/>
      <c r="X564" s="40"/>
      <c r="Y564" s="40"/>
    </row>
    <row r="565" spans="5:25" x14ac:dyDescent="0.35">
      <c r="E565" t="s">
        <v>186</v>
      </c>
      <c r="F565" t="s">
        <v>763</v>
      </c>
      <c r="G565" s="28"/>
      <c r="N565" s="28"/>
      <c r="O565" s="28"/>
      <c r="X565" s="40"/>
      <c r="Y565" s="40"/>
    </row>
    <row r="566" spans="5:25" x14ac:dyDescent="0.35">
      <c r="E566" t="s">
        <v>186</v>
      </c>
      <c r="F566" t="s">
        <v>764</v>
      </c>
      <c r="G566" s="28"/>
      <c r="N566" s="28"/>
      <c r="O566" s="28"/>
      <c r="X566" s="40"/>
      <c r="Y566" s="40"/>
    </row>
    <row r="567" spans="5:25" x14ac:dyDescent="0.35">
      <c r="E567" t="s">
        <v>186</v>
      </c>
      <c r="F567" t="s">
        <v>336</v>
      </c>
      <c r="G567" s="28"/>
      <c r="N567" s="28"/>
      <c r="O567" s="28"/>
      <c r="X567" s="40"/>
      <c r="Y567" s="40"/>
    </row>
    <row r="568" spans="5:25" x14ac:dyDescent="0.35">
      <c r="E568" t="s">
        <v>186</v>
      </c>
      <c r="F568" t="s">
        <v>337</v>
      </c>
      <c r="G568" s="28"/>
      <c r="N568" s="28"/>
      <c r="O568" s="28"/>
      <c r="X568" s="40"/>
      <c r="Y568" s="40"/>
    </row>
    <row r="569" spans="5:25" x14ac:dyDescent="0.35">
      <c r="E569" t="s">
        <v>186</v>
      </c>
      <c r="F569" t="s">
        <v>403</v>
      </c>
      <c r="G569" s="28"/>
      <c r="N569" s="28"/>
      <c r="O569" s="28"/>
      <c r="X569" s="40"/>
      <c r="Y569" s="40"/>
    </row>
    <row r="570" spans="5:25" x14ac:dyDescent="0.35">
      <c r="E570" t="s">
        <v>186</v>
      </c>
      <c r="F570" t="s">
        <v>765</v>
      </c>
      <c r="G570" s="28"/>
      <c r="N570" s="28"/>
      <c r="O570" s="28"/>
      <c r="X570" s="40"/>
      <c r="Y570" s="40"/>
    </row>
    <row r="571" spans="5:25" x14ac:dyDescent="0.35">
      <c r="E571" t="s">
        <v>186</v>
      </c>
      <c r="F571" t="s">
        <v>766</v>
      </c>
      <c r="G571" s="28"/>
      <c r="N571" s="28"/>
      <c r="O571" s="28"/>
      <c r="X571" s="40"/>
      <c r="Y571" s="40"/>
    </row>
    <row r="572" spans="5:25" x14ac:dyDescent="0.35">
      <c r="E572" t="s">
        <v>186</v>
      </c>
      <c r="F572" t="s">
        <v>767</v>
      </c>
      <c r="G572" s="28"/>
      <c r="N572" s="28"/>
      <c r="O572" s="28"/>
      <c r="X572" s="40"/>
      <c r="Y572" s="40"/>
    </row>
    <row r="573" spans="5:25" x14ac:dyDescent="0.35">
      <c r="E573" t="s">
        <v>186</v>
      </c>
      <c r="F573" t="s">
        <v>339</v>
      </c>
      <c r="G573" s="28"/>
      <c r="N573" s="28"/>
      <c r="O573" s="28"/>
      <c r="X573" s="40"/>
      <c r="Y573" s="40"/>
    </row>
    <row r="574" spans="5:25" x14ac:dyDescent="0.35">
      <c r="E574" t="s">
        <v>186</v>
      </c>
      <c r="F574" t="s">
        <v>768</v>
      </c>
      <c r="G574" s="28"/>
      <c r="N574" s="28"/>
      <c r="O574" s="28"/>
      <c r="X574" s="40"/>
      <c r="Y574" s="40"/>
    </row>
    <row r="575" spans="5:25" x14ac:dyDescent="0.35">
      <c r="E575" t="s">
        <v>186</v>
      </c>
      <c r="F575" t="s">
        <v>342</v>
      </c>
      <c r="G575" s="28"/>
      <c r="N575" s="28"/>
      <c r="O575" s="28"/>
      <c r="X575" s="40"/>
      <c r="Y575" s="40"/>
    </row>
    <row r="576" spans="5:25" x14ac:dyDescent="0.35">
      <c r="E576" t="s">
        <v>186</v>
      </c>
      <c r="F576" t="s">
        <v>343</v>
      </c>
      <c r="G576" s="28"/>
      <c r="N576" s="28"/>
      <c r="O576" s="28"/>
      <c r="X576" s="40"/>
      <c r="Y576" s="40"/>
    </row>
    <row r="577" spans="5:25" x14ac:dyDescent="0.35">
      <c r="E577" t="s">
        <v>186</v>
      </c>
      <c r="F577" t="s">
        <v>665</v>
      </c>
      <c r="G577" s="28"/>
      <c r="N577" s="28"/>
      <c r="O577" s="28"/>
      <c r="X577" s="40"/>
      <c r="Y577" s="40"/>
    </row>
    <row r="578" spans="5:25" x14ac:dyDescent="0.35">
      <c r="E578" t="s">
        <v>186</v>
      </c>
      <c r="F578" t="s">
        <v>769</v>
      </c>
      <c r="G578" s="28"/>
      <c r="N578" s="28"/>
      <c r="O578" s="28"/>
      <c r="X578" s="40"/>
      <c r="Y578" s="40"/>
    </row>
    <row r="579" spans="5:25" x14ac:dyDescent="0.35">
      <c r="E579" t="s">
        <v>186</v>
      </c>
      <c r="F579" t="s">
        <v>410</v>
      </c>
      <c r="G579" s="28"/>
      <c r="N579" s="28"/>
      <c r="O579" s="28"/>
      <c r="X579" s="40"/>
      <c r="Y579" s="40"/>
    </row>
    <row r="580" spans="5:25" x14ac:dyDescent="0.35">
      <c r="E580" t="s">
        <v>186</v>
      </c>
      <c r="F580" t="s">
        <v>353</v>
      </c>
      <c r="G580" s="28"/>
      <c r="N580" s="28"/>
      <c r="O580" s="28"/>
      <c r="X580" s="40"/>
      <c r="Y580" s="40"/>
    </row>
    <row r="581" spans="5:25" x14ac:dyDescent="0.35">
      <c r="E581" t="s">
        <v>186</v>
      </c>
      <c r="F581" t="s">
        <v>770</v>
      </c>
      <c r="G581" s="28"/>
      <c r="N581" s="28"/>
      <c r="O581" s="28"/>
      <c r="X581" s="40"/>
      <c r="Y581" s="40"/>
    </row>
    <row r="582" spans="5:25" x14ac:dyDescent="0.35">
      <c r="E582" t="s">
        <v>186</v>
      </c>
      <c r="F582" t="s">
        <v>674</v>
      </c>
      <c r="G582" s="28"/>
      <c r="N582" s="28"/>
      <c r="O582" s="28"/>
      <c r="X582" s="40"/>
      <c r="Y582" s="40"/>
    </row>
    <row r="583" spans="5:25" x14ac:dyDescent="0.35">
      <c r="E583" t="s">
        <v>186</v>
      </c>
      <c r="F583" t="s">
        <v>771</v>
      </c>
      <c r="G583" s="28"/>
      <c r="N583" s="28"/>
      <c r="O583" s="28"/>
      <c r="X583" s="40"/>
      <c r="Y583" s="40"/>
    </row>
    <row r="584" spans="5:25" x14ac:dyDescent="0.35">
      <c r="E584" t="s">
        <v>186</v>
      </c>
      <c r="F584" t="s">
        <v>772</v>
      </c>
      <c r="G584" s="28"/>
      <c r="N584" s="28"/>
      <c r="O584" s="28"/>
      <c r="X584" s="40"/>
      <c r="Y584" s="40"/>
    </row>
    <row r="585" spans="5:25" x14ac:dyDescent="0.35">
      <c r="E585" t="s">
        <v>186</v>
      </c>
      <c r="F585" t="s">
        <v>773</v>
      </c>
      <c r="G585" s="28"/>
      <c r="N585" s="28"/>
      <c r="O585" s="28"/>
      <c r="X585" s="40"/>
      <c r="Y585" s="40"/>
    </row>
    <row r="586" spans="5:25" x14ac:dyDescent="0.35">
      <c r="E586" t="s">
        <v>186</v>
      </c>
      <c r="F586" t="s">
        <v>774</v>
      </c>
      <c r="G586" s="28"/>
      <c r="N586" s="28"/>
      <c r="O586" s="28"/>
      <c r="X586" s="40"/>
      <c r="Y586" s="40"/>
    </row>
    <row r="587" spans="5:25" x14ac:dyDescent="0.35">
      <c r="E587" t="s">
        <v>186</v>
      </c>
      <c r="F587" t="s">
        <v>775</v>
      </c>
      <c r="G587" s="28"/>
      <c r="N587" s="28"/>
      <c r="O587" s="28"/>
      <c r="X587" s="40"/>
      <c r="Y587" s="40"/>
    </row>
    <row r="588" spans="5:25" x14ac:dyDescent="0.35">
      <c r="E588" t="s">
        <v>186</v>
      </c>
      <c r="F588" t="s">
        <v>358</v>
      </c>
      <c r="G588" s="28"/>
      <c r="N588" s="28"/>
      <c r="O588" s="28"/>
      <c r="X588" s="40"/>
      <c r="Y588" s="40"/>
    </row>
    <row r="589" spans="5:25" x14ac:dyDescent="0.35">
      <c r="E589" t="s">
        <v>186</v>
      </c>
      <c r="F589" t="s">
        <v>685</v>
      </c>
      <c r="G589" s="28"/>
      <c r="N589" s="28"/>
      <c r="O589" s="28"/>
      <c r="X589" s="40"/>
      <c r="Y589" s="40"/>
    </row>
    <row r="590" spans="5:25" x14ac:dyDescent="0.35">
      <c r="E590" t="s">
        <v>186</v>
      </c>
      <c r="F590" t="s">
        <v>359</v>
      </c>
      <c r="G590" s="28"/>
      <c r="N590" s="28"/>
      <c r="O590" s="28"/>
      <c r="X590" s="40"/>
      <c r="Y590" s="40"/>
    </row>
    <row r="591" spans="5:25" x14ac:dyDescent="0.35">
      <c r="E591" t="s">
        <v>186</v>
      </c>
      <c r="F591" t="s">
        <v>548</v>
      </c>
      <c r="G591" s="28"/>
      <c r="N591" s="28"/>
      <c r="O591" s="28"/>
      <c r="X591" s="40"/>
      <c r="Y591" s="40"/>
    </row>
    <row r="592" spans="5:25" x14ac:dyDescent="0.35">
      <c r="E592" t="s">
        <v>186</v>
      </c>
      <c r="F592" t="s">
        <v>361</v>
      </c>
      <c r="G592" s="28"/>
      <c r="N592" s="28"/>
      <c r="O592" s="28"/>
      <c r="X592" s="40"/>
      <c r="Y592" s="40"/>
    </row>
    <row r="593" spans="5:25" x14ac:dyDescent="0.35">
      <c r="E593" t="s">
        <v>186</v>
      </c>
      <c r="F593" t="s">
        <v>776</v>
      </c>
      <c r="G593" s="28"/>
      <c r="N593" s="28"/>
      <c r="O593" s="28"/>
      <c r="X593" s="40"/>
      <c r="Y593" s="40"/>
    </row>
    <row r="594" spans="5:25" x14ac:dyDescent="0.35">
      <c r="E594" t="s">
        <v>186</v>
      </c>
      <c r="F594" t="s">
        <v>777</v>
      </c>
      <c r="G594" s="28"/>
      <c r="N594" s="28"/>
      <c r="O594" s="28"/>
      <c r="X594" s="40"/>
      <c r="Y594" s="40"/>
    </row>
    <row r="595" spans="5:25" x14ac:dyDescent="0.35">
      <c r="E595" t="s">
        <v>186</v>
      </c>
      <c r="F595" t="s">
        <v>610</v>
      </c>
      <c r="G595" s="28"/>
      <c r="N595" s="28"/>
      <c r="O595" s="28"/>
      <c r="X595" s="40"/>
      <c r="Y595" s="40"/>
    </row>
    <row r="596" spans="5:25" x14ac:dyDescent="0.35">
      <c r="E596" t="s">
        <v>186</v>
      </c>
      <c r="F596" t="s">
        <v>695</v>
      </c>
      <c r="G596" s="28"/>
      <c r="N596" s="28"/>
      <c r="O596" s="28"/>
      <c r="X596" s="40"/>
      <c r="Y596" s="40"/>
    </row>
    <row r="597" spans="5:25" x14ac:dyDescent="0.35">
      <c r="E597" t="s">
        <v>186</v>
      </c>
      <c r="F597" t="s">
        <v>778</v>
      </c>
      <c r="G597" s="28"/>
      <c r="N597" s="28"/>
      <c r="O597" s="28"/>
      <c r="X597" s="40"/>
      <c r="Y597" s="40"/>
    </row>
    <row r="598" spans="5:25" x14ac:dyDescent="0.35">
      <c r="E598" t="s">
        <v>186</v>
      </c>
      <c r="F598" t="s">
        <v>779</v>
      </c>
      <c r="G598" s="28"/>
      <c r="N598" s="28"/>
      <c r="O598" s="28"/>
      <c r="X598" s="40"/>
      <c r="Y598" s="40"/>
    </row>
    <row r="599" spans="5:25" x14ac:dyDescent="0.35">
      <c r="E599" t="s">
        <v>186</v>
      </c>
      <c r="F599" t="s">
        <v>363</v>
      </c>
      <c r="G599" s="28"/>
      <c r="N599" s="28"/>
      <c r="O599" s="28"/>
      <c r="X599" s="40"/>
      <c r="Y599" s="40"/>
    </row>
    <row r="600" spans="5:25" x14ac:dyDescent="0.35">
      <c r="E600" t="s">
        <v>186</v>
      </c>
      <c r="F600" t="s">
        <v>421</v>
      </c>
      <c r="G600" s="28"/>
      <c r="N600" s="28"/>
      <c r="O600" s="28"/>
      <c r="X600" s="40"/>
      <c r="Y600" s="40"/>
    </row>
    <row r="601" spans="5:25" x14ac:dyDescent="0.35">
      <c r="E601" t="s">
        <v>186</v>
      </c>
      <c r="F601" t="s">
        <v>481</v>
      </c>
      <c r="G601" s="28"/>
      <c r="N601" s="28"/>
      <c r="O601" s="28"/>
      <c r="X601" s="40"/>
      <c r="Y601" s="40"/>
    </row>
    <row r="602" spans="5:25" x14ac:dyDescent="0.35">
      <c r="E602" t="s">
        <v>186</v>
      </c>
      <c r="F602" t="s">
        <v>780</v>
      </c>
      <c r="G602" s="28"/>
      <c r="N602" s="28"/>
      <c r="O602" s="28"/>
      <c r="X602" s="40"/>
      <c r="Y602" s="40"/>
    </row>
    <row r="603" spans="5:25" x14ac:dyDescent="0.35">
      <c r="E603" t="s">
        <v>186</v>
      </c>
      <c r="F603" t="s">
        <v>781</v>
      </c>
      <c r="G603" s="28"/>
      <c r="N603" s="28"/>
      <c r="O603" s="28"/>
      <c r="X603" s="40"/>
      <c r="Y603" s="40"/>
    </row>
    <row r="604" spans="5:25" x14ac:dyDescent="0.35">
      <c r="E604" t="s">
        <v>186</v>
      </c>
      <c r="F604" t="s">
        <v>365</v>
      </c>
      <c r="G604" s="28"/>
      <c r="N604" s="28"/>
      <c r="O604" s="28"/>
      <c r="X604" s="40"/>
      <c r="Y604" s="40"/>
    </row>
    <row r="605" spans="5:25" x14ac:dyDescent="0.35">
      <c r="E605" t="s">
        <v>186</v>
      </c>
      <c r="F605" t="s">
        <v>701</v>
      </c>
      <c r="G605" s="28"/>
      <c r="N605" s="28"/>
      <c r="O605" s="28"/>
      <c r="X605" s="40"/>
      <c r="Y605" s="40"/>
    </row>
    <row r="606" spans="5:25" x14ac:dyDescent="0.35">
      <c r="E606" t="s">
        <v>186</v>
      </c>
      <c r="F606" t="s">
        <v>366</v>
      </c>
      <c r="G606" s="28"/>
      <c r="N606" s="28"/>
      <c r="O606" s="28"/>
      <c r="X606" s="40"/>
      <c r="Y606" s="40"/>
    </row>
    <row r="607" spans="5:25" x14ac:dyDescent="0.35">
      <c r="E607" t="s">
        <v>186</v>
      </c>
      <c r="F607" t="s">
        <v>424</v>
      </c>
      <c r="G607" s="28"/>
      <c r="N607" s="28"/>
      <c r="O607" s="28"/>
      <c r="X607" s="40"/>
      <c r="Y607" s="40"/>
    </row>
    <row r="608" spans="5:25" x14ac:dyDescent="0.35">
      <c r="E608" t="s">
        <v>186</v>
      </c>
      <c r="F608" t="s">
        <v>704</v>
      </c>
      <c r="G608" s="28"/>
      <c r="N608" s="28"/>
      <c r="O608" s="28"/>
      <c r="X608" s="40"/>
      <c r="Y608" s="40"/>
    </row>
    <row r="609" spans="5:25" x14ac:dyDescent="0.35">
      <c r="E609" t="s">
        <v>186</v>
      </c>
      <c r="F609" t="s">
        <v>782</v>
      </c>
      <c r="G609" s="28"/>
      <c r="N609" s="28"/>
      <c r="O609" s="28"/>
      <c r="X609" s="40"/>
      <c r="Y609" s="40"/>
    </row>
    <row r="610" spans="5:25" x14ac:dyDescent="0.35">
      <c r="E610" t="s">
        <v>186</v>
      </c>
      <c r="F610" t="s">
        <v>783</v>
      </c>
      <c r="G610" s="28"/>
      <c r="N610" s="28"/>
      <c r="O610" s="28"/>
      <c r="X610" s="40"/>
      <c r="Y610" s="40"/>
    </row>
    <row r="611" spans="5:25" x14ac:dyDescent="0.35">
      <c r="E611" t="s">
        <v>186</v>
      </c>
      <c r="F611" t="s">
        <v>370</v>
      </c>
      <c r="G611" s="28"/>
      <c r="N611" s="28"/>
      <c r="O611" s="28"/>
      <c r="X611" s="40"/>
      <c r="Y611" s="40"/>
    </row>
    <row r="612" spans="5:25" x14ac:dyDescent="0.35">
      <c r="E612" t="s">
        <v>186</v>
      </c>
      <c r="F612" t="s">
        <v>784</v>
      </c>
      <c r="G612" s="28"/>
      <c r="N612" s="28"/>
      <c r="O612" s="28"/>
      <c r="X612" s="40"/>
      <c r="Y612" s="40"/>
    </row>
    <row r="613" spans="5:25" x14ac:dyDescent="0.35">
      <c r="E613" t="s">
        <v>186</v>
      </c>
      <c r="F613" t="s">
        <v>785</v>
      </c>
      <c r="G613" s="28"/>
      <c r="N613" s="28"/>
      <c r="O613" s="28"/>
      <c r="X613" s="40"/>
      <c r="Y613" s="40"/>
    </row>
    <row r="614" spans="5:25" x14ac:dyDescent="0.35">
      <c r="E614" t="s">
        <v>186</v>
      </c>
      <c r="F614" t="s">
        <v>786</v>
      </c>
      <c r="G614" s="28"/>
      <c r="N614" s="28"/>
      <c r="O614" s="28"/>
      <c r="X614" s="40"/>
      <c r="Y614" s="40"/>
    </row>
    <row r="615" spans="5:25" x14ac:dyDescent="0.35">
      <c r="E615" t="s">
        <v>186</v>
      </c>
      <c r="F615" t="s">
        <v>787</v>
      </c>
      <c r="G615" s="28"/>
      <c r="N615" s="28"/>
      <c r="O615" s="28"/>
      <c r="X615" s="40"/>
      <c r="Y615" s="40"/>
    </row>
    <row r="616" spans="5:25" x14ac:dyDescent="0.35">
      <c r="E616" t="s">
        <v>186</v>
      </c>
      <c r="F616" t="s">
        <v>374</v>
      </c>
      <c r="G616" s="28"/>
      <c r="N616" s="28"/>
      <c r="O616" s="28"/>
      <c r="X616" s="40"/>
      <c r="Y616" s="40"/>
    </row>
    <row r="617" spans="5:25" x14ac:dyDescent="0.35">
      <c r="E617" t="s">
        <v>186</v>
      </c>
      <c r="F617" t="s">
        <v>788</v>
      </c>
      <c r="G617" s="28"/>
      <c r="N617" s="28"/>
      <c r="O617" s="28"/>
      <c r="X617" s="40"/>
      <c r="Y617" s="40"/>
    </row>
    <row r="618" spans="5:25" x14ac:dyDescent="0.35">
      <c r="E618" t="s">
        <v>186</v>
      </c>
      <c r="F618" t="s">
        <v>376</v>
      </c>
      <c r="G618" s="28"/>
      <c r="N618" s="28"/>
      <c r="O618" s="28"/>
      <c r="X618" s="40"/>
      <c r="Y618" s="40"/>
    </row>
    <row r="619" spans="5:25" x14ac:dyDescent="0.35">
      <c r="E619" t="s">
        <v>186</v>
      </c>
      <c r="F619" t="s">
        <v>377</v>
      </c>
      <c r="G619" s="28"/>
      <c r="N619" s="28"/>
      <c r="O619" s="28"/>
      <c r="X619" s="40"/>
      <c r="Y619" s="40"/>
    </row>
    <row r="620" spans="5:25" x14ac:dyDescent="0.35">
      <c r="E620" t="s">
        <v>186</v>
      </c>
      <c r="F620" t="s">
        <v>789</v>
      </c>
      <c r="G620" s="28"/>
      <c r="N620" s="28"/>
      <c r="O620" s="28"/>
      <c r="X620" s="40"/>
      <c r="Y620" s="40"/>
    </row>
    <row r="621" spans="5:25" x14ac:dyDescent="0.35">
      <c r="E621" t="s">
        <v>186</v>
      </c>
      <c r="F621" t="s">
        <v>712</v>
      </c>
      <c r="G621" s="28"/>
      <c r="N621" s="28"/>
      <c r="O621" s="28"/>
      <c r="X621" s="40"/>
      <c r="Y621" s="40"/>
    </row>
    <row r="622" spans="5:25" x14ac:dyDescent="0.35">
      <c r="E622" t="s">
        <v>186</v>
      </c>
      <c r="F622" t="s">
        <v>790</v>
      </c>
      <c r="G622" s="28"/>
      <c r="N622" s="28"/>
      <c r="O622" s="28"/>
      <c r="X622" s="40"/>
      <c r="Y622" s="40"/>
    </row>
    <row r="623" spans="5:25" x14ac:dyDescent="0.35">
      <c r="E623" t="s">
        <v>186</v>
      </c>
      <c r="F623" t="s">
        <v>379</v>
      </c>
      <c r="G623" s="28"/>
      <c r="N623" s="28"/>
      <c r="O623" s="28"/>
      <c r="X623" s="40"/>
      <c r="Y623" s="40"/>
    </row>
    <row r="624" spans="5:25" x14ac:dyDescent="0.35">
      <c r="E624" t="s">
        <v>186</v>
      </c>
      <c r="F624" t="s">
        <v>380</v>
      </c>
      <c r="G624" s="28"/>
      <c r="N624" s="28"/>
      <c r="O624" s="28"/>
      <c r="X624" s="40"/>
      <c r="Y624" s="40"/>
    </row>
    <row r="625" spans="5:25" x14ac:dyDescent="0.35">
      <c r="E625" t="s">
        <v>186</v>
      </c>
      <c r="F625" t="s">
        <v>791</v>
      </c>
      <c r="G625" s="28"/>
      <c r="N625" s="28"/>
      <c r="O625" s="28"/>
      <c r="X625" s="40"/>
      <c r="Y625" s="40"/>
    </row>
    <row r="626" spans="5:25" x14ac:dyDescent="0.35">
      <c r="E626" t="s">
        <v>186</v>
      </c>
      <c r="F626" t="s">
        <v>792</v>
      </c>
      <c r="G626" s="28"/>
      <c r="N626" s="28"/>
      <c r="O626" s="28"/>
      <c r="X626" s="40"/>
      <c r="Y626" s="40"/>
    </row>
    <row r="627" spans="5:25" x14ac:dyDescent="0.35">
      <c r="E627" t="s">
        <v>186</v>
      </c>
      <c r="F627" t="s">
        <v>627</v>
      </c>
      <c r="G627" s="28"/>
      <c r="N627" s="28"/>
      <c r="O627" s="28"/>
      <c r="X627" s="40"/>
      <c r="Y627" s="40"/>
    </row>
    <row r="628" spans="5:25" x14ac:dyDescent="0.35">
      <c r="E628" t="s">
        <v>186</v>
      </c>
      <c r="F628" t="s">
        <v>793</v>
      </c>
      <c r="G628" s="28"/>
      <c r="N628" s="28"/>
      <c r="O628" s="28"/>
      <c r="X628" s="40"/>
      <c r="Y628" s="40"/>
    </row>
    <row r="629" spans="5:25" x14ac:dyDescent="0.35">
      <c r="E629" t="s">
        <v>186</v>
      </c>
      <c r="F629" t="s">
        <v>794</v>
      </c>
      <c r="G629" s="28"/>
      <c r="N629" s="28"/>
      <c r="O629" s="28"/>
      <c r="X629" s="40"/>
      <c r="Y629" s="40"/>
    </row>
    <row r="630" spans="5:25" x14ac:dyDescent="0.35">
      <c r="E630" t="s">
        <v>186</v>
      </c>
      <c r="F630" t="s">
        <v>795</v>
      </c>
      <c r="G630" s="28"/>
      <c r="N630" s="28"/>
      <c r="O630" s="28"/>
      <c r="X630" s="40"/>
      <c r="Y630" s="40"/>
    </row>
    <row r="631" spans="5:25" x14ac:dyDescent="0.35">
      <c r="E631" t="s">
        <v>186</v>
      </c>
      <c r="F631" t="s">
        <v>796</v>
      </c>
      <c r="G631" s="28"/>
      <c r="N631" s="28"/>
      <c r="O631" s="28"/>
      <c r="X631" s="40"/>
      <c r="Y631" s="40"/>
    </row>
    <row r="632" spans="5:25" x14ac:dyDescent="0.35">
      <c r="E632" t="s">
        <v>186</v>
      </c>
      <c r="F632" t="s">
        <v>437</v>
      </c>
      <c r="G632" s="28"/>
      <c r="N632" s="28"/>
      <c r="O632" s="28"/>
      <c r="X632" s="40"/>
      <c r="Y632" s="40"/>
    </row>
    <row r="633" spans="5:25" x14ac:dyDescent="0.35">
      <c r="E633" t="s">
        <v>186</v>
      </c>
      <c r="F633" t="s">
        <v>797</v>
      </c>
      <c r="G633" s="28"/>
      <c r="N633" s="28"/>
      <c r="O633" s="28"/>
      <c r="X633" s="40"/>
      <c r="Y633" s="40"/>
    </row>
    <row r="634" spans="5:25" x14ac:dyDescent="0.35">
      <c r="E634" t="s">
        <v>186</v>
      </c>
      <c r="F634" t="s">
        <v>798</v>
      </c>
      <c r="G634" s="28"/>
      <c r="N634" s="28"/>
      <c r="O634" s="28"/>
      <c r="X634" s="40"/>
      <c r="Y634" s="40"/>
    </row>
    <row r="635" spans="5:25" x14ac:dyDescent="0.35">
      <c r="E635" t="s">
        <v>186</v>
      </c>
      <c r="F635" t="s">
        <v>799</v>
      </c>
      <c r="G635" s="28"/>
      <c r="N635" s="28"/>
      <c r="O635" s="28"/>
      <c r="X635" s="40"/>
      <c r="Y635" s="40"/>
    </row>
    <row r="636" spans="5:25" x14ac:dyDescent="0.35">
      <c r="E636" t="s">
        <v>186</v>
      </c>
      <c r="F636" t="s">
        <v>800</v>
      </c>
      <c r="G636" s="28"/>
      <c r="N636" s="28"/>
      <c r="O636" s="28"/>
      <c r="X636" s="40"/>
      <c r="Y636" s="40"/>
    </row>
    <row r="637" spans="5:25" x14ac:dyDescent="0.35">
      <c r="E637" t="s">
        <v>186</v>
      </c>
      <c r="F637" t="s">
        <v>443</v>
      </c>
      <c r="G637" s="28"/>
      <c r="N637" s="28"/>
      <c r="O637" s="28"/>
      <c r="X637" s="40"/>
      <c r="Y637" s="40"/>
    </row>
    <row r="638" spans="5:25" x14ac:dyDescent="0.35">
      <c r="E638" t="s">
        <v>186</v>
      </c>
      <c r="F638" t="s">
        <v>388</v>
      </c>
      <c r="G638" s="28"/>
      <c r="N638" s="28"/>
      <c r="O638" s="28"/>
      <c r="X638" s="40"/>
      <c r="Y638" s="40"/>
    </row>
    <row r="639" spans="5:25" x14ac:dyDescent="0.35">
      <c r="E639" t="s">
        <v>186</v>
      </c>
      <c r="F639" t="s">
        <v>801</v>
      </c>
      <c r="G639" s="28"/>
      <c r="N639" s="28"/>
      <c r="O639" s="28"/>
      <c r="X639" s="40"/>
      <c r="Y639" s="40"/>
    </row>
    <row r="640" spans="5:25" x14ac:dyDescent="0.35">
      <c r="E640" t="s">
        <v>186</v>
      </c>
      <c r="F640" t="s">
        <v>802</v>
      </c>
      <c r="G640" s="28"/>
      <c r="N640" s="28"/>
      <c r="O640" s="28"/>
      <c r="X640" s="40"/>
      <c r="Y640" s="40"/>
    </row>
    <row r="641" spans="5:25" x14ac:dyDescent="0.35">
      <c r="E641" t="s">
        <v>186</v>
      </c>
      <c r="F641" t="s">
        <v>803</v>
      </c>
      <c r="G641" s="28"/>
      <c r="N641" s="28"/>
      <c r="O641" s="28"/>
      <c r="X641" s="40"/>
      <c r="Y641" s="40"/>
    </row>
    <row r="642" spans="5:25" x14ac:dyDescent="0.35">
      <c r="E642" t="s">
        <v>186</v>
      </c>
      <c r="F642" t="s">
        <v>638</v>
      </c>
      <c r="G642" s="28"/>
      <c r="N642" s="28"/>
      <c r="O642" s="28"/>
      <c r="X642" s="40"/>
      <c r="Y642" s="40"/>
    </row>
    <row r="643" spans="5:25" x14ac:dyDescent="0.35">
      <c r="E643" t="s">
        <v>186</v>
      </c>
      <c r="F643" t="s">
        <v>449</v>
      </c>
      <c r="G643" s="28"/>
      <c r="N643" s="28"/>
      <c r="O643" s="28"/>
      <c r="X643" s="40"/>
      <c r="Y643" s="40"/>
    </row>
    <row r="644" spans="5:25" x14ac:dyDescent="0.35">
      <c r="E644" t="s">
        <v>186</v>
      </c>
      <c r="F644" t="s">
        <v>450</v>
      </c>
      <c r="G644" s="28"/>
      <c r="N644" s="28"/>
      <c r="O644" s="28"/>
      <c r="X644" s="40"/>
      <c r="Y644" s="40"/>
    </row>
    <row r="645" spans="5:25" x14ac:dyDescent="0.35">
      <c r="E645" t="s">
        <v>186</v>
      </c>
      <c r="F645" t="s">
        <v>804</v>
      </c>
      <c r="G645" s="28"/>
      <c r="N645" s="28"/>
      <c r="O645" s="28"/>
      <c r="X645" s="40"/>
      <c r="Y645" s="40"/>
    </row>
    <row r="646" spans="5:25" x14ac:dyDescent="0.35">
      <c r="E646" t="s">
        <v>186</v>
      </c>
      <c r="F646" t="s">
        <v>744</v>
      </c>
      <c r="G646" s="28"/>
      <c r="N646" s="28"/>
      <c r="O646" s="28"/>
      <c r="X646" s="40"/>
      <c r="Y646" s="40"/>
    </row>
    <row r="647" spans="5:25" x14ac:dyDescent="0.35">
      <c r="E647" t="s">
        <v>186</v>
      </c>
      <c r="F647" t="s">
        <v>394</v>
      </c>
      <c r="G647" s="28"/>
      <c r="N647" s="28"/>
      <c r="O647" s="28"/>
      <c r="X647" s="40"/>
      <c r="Y647" s="40"/>
    </row>
    <row r="648" spans="5:25" x14ac:dyDescent="0.35">
      <c r="E648" t="s">
        <v>186</v>
      </c>
      <c r="F648" t="s">
        <v>745</v>
      </c>
      <c r="G648" s="28"/>
      <c r="N648" s="28"/>
      <c r="O648" s="28"/>
      <c r="X648" s="40"/>
      <c r="Y648" s="40"/>
    </row>
    <row r="649" spans="5:25" x14ac:dyDescent="0.35">
      <c r="E649" t="s">
        <v>186</v>
      </c>
      <c r="F649" t="s">
        <v>746</v>
      </c>
      <c r="G649" s="28"/>
      <c r="N649" s="28"/>
      <c r="O649" s="28"/>
      <c r="X649" s="40"/>
      <c r="Y649" s="40"/>
    </row>
    <row r="650" spans="5:25" x14ac:dyDescent="0.35">
      <c r="E650" t="s">
        <v>186</v>
      </c>
      <c r="F650" t="s">
        <v>805</v>
      </c>
      <c r="G650" s="28"/>
      <c r="N650" s="28"/>
      <c r="O650" s="28"/>
      <c r="X650" s="40"/>
      <c r="Y650" s="40"/>
    </row>
    <row r="651" spans="5:25" x14ac:dyDescent="0.35">
      <c r="E651" t="s">
        <v>186</v>
      </c>
      <c r="F651" t="s">
        <v>806</v>
      </c>
      <c r="G651" s="28"/>
      <c r="N651" s="28"/>
      <c r="O651" s="28"/>
      <c r="X651" s="40"/>
      <c r="Y651" s="40"/>
    </row>
    <row r="652" spans="5:25" x14ac:dyDescent="0.35">
      <c r="E652" t="s">
        <v>186</v>
      </c>
      <c r="F652" t="s">
        <v>807</v>
      </c>
      <c r="G652" s="28"/>
      <c r="N652" s="28"/>
      <c r="O652" s="28"/>
      <c r="X652" s="40"/>
      <c r="Y652" s="40"/>
    </row>
    <row r="653" spans="5:25" x14ac:dyDescent="0.35">
      <c r="E653" t="s">
        <v>186</v>
      </c>
      <c r="F653" t="s">
        <v>751</v>
      </c>
      <c r="G653" s="28"/>
      <c r="N653" s="28"/>
      <c r="O653" s="28"/>
      <c r="X653" s="40"/>
      <c r="Y653" s="40"/>
    </row>
    <row r="654" spans="5:25" x14ac:dyDescent="0.35">
      <c r="E654" t="s">
        <v>186</v>
      </c>
      <c r="F654" t="s">
        <v>808</v>
      </c>
      <c r="G654" s="28"/>
      <c r="N654" s="28"/>
      <c r="O654" s="28"/>
      <c r="X654" s="40"/>
      <c r="Y654" s="40"/>
    </row>
    <row r="655" spans="5:25" x14ac:dyDescent="0.35">
      <c r="E655" t="s">
        <v>187</v>
      </c>
      <c r="F655" t="s">
        <v>809</v>
      </c>
      <c r="G655" s="28"/>
      <c r="N655" s="28"/>
      <c r="O655" s="28"/>
      <c r="X655" s="40"/>
      <c r="Y655" s="40"/>
    </row>
    <row r="656" spans="5:25" x14ac:dyDescent="0.35">
      <c r="E656" t="s">
        <v>187</v>
      </c>
      <c r="F656" t="s">
        <v>526</v>
      </c>
      <c r="G656" s="28"/>
      <c r="N656" s="28"/>
      <c r="O656" s="28"/>
      <c r="X656" s="40"/>
      <c r="Y656" s="40"/>
    </row>
    <row r="657" spans="5:25" x14ac:dyDescent="0.35">
      <c r="E657" t="s">
        <v>187</v>
      </c>
      <c r="F657" t="s">
        <v>810</v>
      </c>
      <c r="G657" s="28"/>
      <c r="N657" s="28"/>
      <c r="O657" s="28"/>
      <c r="X657" s="40"/>
      <c r="Y657" s="40"/>
    </row>
    <row r="658" spans="5:25" x14ac:dyDescent="0.35">
      <c r="E658" t="s">
        <v>187</v>
      </c>
      <c r="F658" t="s">
        <v>811</v>
      </c>
      <c r="G658" s="28"/>
      <c r="N658" s="28"/>
      <c r="O658" s="28"/>
      <c r="X658" s="40"/>
      <c r="Y658" s="40"/>
    </row>
    <row r="659" spans="5:25" x14ac:dyDescent="0.35">
      <c r="E659" t="s">
        <v>187</v>
      </c>
      <c r="F659" t="s">
        <v>812</v>
      </c>
      <c r="G659" s="28"/>
      <c r="N659" s="28"/>
      <c r="O659" s="28"/>
      <c r="X659" s="40"/>
      <c r="Y659" s="40"/>
    </row>
    <row r="660" spans="5:25" x14ac:dyDescent="0.35">
      <c r="E660" t="s">
        <v>187</v>
      </c>
      <c r="F660" t="s">
        <v>813</v>
      </c>
      <c r="G660" s="28"/>
      <c r="N660" s="28"/>
      <c r="O660" s="28"/>
      <c r="X660" s="40"/>
      <c r="Y660" s="40"/>
    </row>
    <row r="661" spans="5:25" x14ac:dyDescent="0.35">
      <c r="E661" t="s">
        <v>187</v>
      </c>
      <c r="F661" t="s">
        <v>814</v>
      </c>
      <c r="G661" s="28"/>
      <c r="N661" s="28"/>
      <c r="O661" s="28"/>
      <c r="X661" s="40"/>
      <c r="Y661" s="40"/>
    </row>
    <row r="662" spans="5:25" x14ac:dyDescent="0.35">
      <c r="E662" t="s">
        <v>187</v>
      </c>
      <c r="F662" t="s">
        <v>815</v>
      </c>
      <c r="G662" s="28"/>
      <c r="N662" s="28"/>
      <c r="O662" s="28"/>
      <c r="X662" s="40"/>
      <c r="Y662" s="40"/>
    </row>
    <row r="663" spans="5:25" x14ac:dyDescent="0.35">
      <c r="E663" t="s">
        <v>187</v>
      </c>
      <c r="F663" t="s">
        <v>816</v>
      </c>
      <c r="G663" s="28"/>
      <c r="N663" s="28"/>
      <c r="O663" s="28"/>
      <c r="X663" s="40"/>
      <c r="Y663" s="40"/>
    </row>
    <row r="664" spans="5:25" x14ac:dyDescent="0.35">
      <c r="E664" t="s">
        <v>187</v>
      </c>
      <c r="F664" t="s">
        <v>817</v>
      </c>
      <c r="G664" s="28"/>
      <c r="N664" s="28"/>
      <c r="O664" s="28"/>
      <c r="X664" s="40"/>
      <c r="Y664" s="40"/>
    </row>
    <row r="665" spans="5:25" x14ac:dyDescent="0.35">
      <c r="E665" t="s">
        <v>187</v>
      </c>
      <c r="F665" t="s">
        <v>818</v>
      </c>
      <c r="G665" s="28"/>
      <c r="N665" s="28"/>
      <c r="O665" s="28"/>
      <c r="X665" s="40"/>
      <c r="Y665" s="40"/>
    </row>
    <row r="666" spans="5:25" x14ac:dyDescent="0.35">
      <c r="E666" t="s">
        <v>187</v>
      </c>
      <c r="F666" t="s">
        <v>473</v>
      </c>
      <c r="G666" s="28"/>
      <c r="N666" s="28"/>
      <c r="O666" s="28"/>
      <c r="X666" s="40"/>
      <c r="Y666" s="40"/>
    </row>
    <row r="667" spans="5:25" x14ac:dyDescent="0.35">
      <c r="E667" t="s">
        <v>187</v>
      </c>
      <c r="F667" t="s">
        <v>819</v>
      </c>
      <c r="G667" s="28"/>
      <c r="N667" s="28"/>
      <c r="O667" s="28"/>
      <c r="X667" s="40"/>
      <c r="Y667" s="40"/>
    </row>
    <row r="668" spans="5:25" x14ac:dyDescent="0.35">
      <c r="E668" t="s">
        <v>187</v>
      </c>
      <c r="F668" t="s">
        <v>820</v>
      </c>
      <c r="G668" s="28"/>
      <c r="N668" s="28"/>
      <c r="O668" s="28"/>
      <c r="X668" s="40"/>
      <c r="Y668" s="40"/>
    </row>
    <row r="669" spans="5:25" x14ac:dyDescent="0.35">
      <c r="E669" t="s">
        <v>187</v>
      </c>
      <c r="F669" t="s">
        <v>821</v>
      </c>
      <c r="G669" s="28"/>
      <c r="N669" s="28"/>
      <c r="O669" s="28"/>
      <c r="X669" s="40"/>
      <c r="Y669" s="40"/>
    </row>
    <row r="670" spans="5:25" x14ac:dyDescent="0.35">
      <c r="E670" t="s">
        <v>187</v>
      </c>
      <c r="F670" t="s">
        <v>822</v>
      </c>
      <c r="G670" s="28"/>
      <c r="N670" s="28"/>
      <c r="O670" s="28"/>
      <c r="X670" s="40"/>
      <c r="Y670" s="40"/>
    </row>
    <row r="671" spans="5:25" x14ac:dyDescent="0.35">
      <c r="E671" t="s">
        <v>187</v>
      </c>
      <c r="F671" t="s">
        <v>405</v>
      </c>
      <c r="G671" s="28"/>
      <c r="N671" s="28"/>
      <c r="O671" s="28"/>
      <c r="X671" s="40"/>
      <c r="Y671" s="40"/>
    </row>
    <row r="672" spans="5:25" x14ac:dyDescent="0.35">
      <c r="E672" t="s">
        <v>187</v>
      </c>
      <c r="F672" t="s">
        <v>823</v>
      </c>
      <c r="G672" s="28"/>
      <c r="N672" s="28"/>
      <c r="O672" s="28"/>
      <c r="X672" s="40"/>
      <c r="Y672" s="40"/>
    </row>
    <row r="673" spans="5:25" x14ac:dyDescent="0.35">
      <c r="E673" t="s">
        <v>187</v>
      </c>
      <c r="F673" t="s">
        <v>540</v>
      </c>
      <c r="G673" s="28"/>
      <c r="N673" s="28"/>
      <c r="O673" s="28"/>
      <c r="X673" s="40"/>
      <c r="Y673" s="40"/>
    </row>
    <row r="674" spans="5:25" x14ac:dyDescent="0.35">
      <c r="E674" t="s">
        <v>187</v>
      </c>
      <c r="F674" t="s">
        <v>355</v>
      </c>
      <c r="G674" s="28"/>
      <c r="N674" s="28"/>
      <c r="O674" s="28"/>
      <c r="X674" s="40"/>
      <c r="Y674" s="40"/>
    </row>
    <row r="675" spans="5:25" x14ac:dyDescent="0.35">
      <c r="E675" t="s">
        <v>187</v>
      </c>
      <c r="F675" t="s">
        <v>359</v>
      </c>
      <c r="G675" s="28"/>
      <c r="N675" s="28"/>
      <c r="O675" s="28"/>
      <c r="X675" s="40"/>
      <c r="Y675" s="40"/>
    </row>
    <row r="676" spans="5:25" x14ac:dyDescent="0.35">
      <c r="E676" t="s">
        <v>187</v>
      </c>
      <c r="F676" t="s">
        <v>548</v>
      </c>
      <c r="G676" s="28"/>
      <c r="N676" s="28"/>
      <c r="O676" s="28"/>
      <c r="X676" s="40"/>
      <c r="Y676" s="40"/>
    </row>
    <row r="677" spans="5:25" x14ac:dyDescent="0.35">
      <c r="E677" t="s">
        <v>187</v>
      </c>
      <c r="F677" t="s">
        <v>824</v>
      </c>
      <c r="G677" s="28"/>
      <c r="N677" s="28"/>
      <c r="O677" s="28"/>
      <c r="X677" s="40"/>
      <c r="Y677" s="40"/>
    </row>
    <row r="678" spans="5:25" x14ac:dyDescent="0.35">
      <c r="E678" t="s">
        <v>187</v>
      </c>
      <c r="F678" t="s">
        <v>825</v>
      </c>
      <c r="G678" s="28"/>
      <c r="N678" s="28"/>
      <c r="O678" s="28"/>
      <c r="X678" s="40"/>
      <c r="Y678" s="40"/>
    </row>
    <row r="679" spans="5:25" x14ac:dyDescent="0.35">
      <c r="E679" t="s">
        <v>187</v>
      </c>
      <c r="F679" t="s">
        <v>826</v>
      </c>
      <c r="G679" s="28"/>
      <c r="N679" s="28"/>
      <c r="O679" s="28"/>
      <c r="X679" s="40"/>
      <c r="Y679" s="40"/>
    </row>
    <row r="680" spans="5:25" x14ac:dyDescent="0.35">
      <c r="E680" t="s">
        <v>187</v>
      </c>
      <c r="F680" t="s">
        <v>366</v>
      </c>
      <c r="G680" s="28"/>
      <c r="N680" s="28"/>
      <c r="O680" s="28"/>
      <c r="X680" s="40"/>
      <c r="Y680" s="40"/>
    </row>
    <row r="681" spans="5:25" x14ac:dyDescent="0.35">
      <c r="E681" t="s">
        <v>187</v>
      </c>
      <c r="F681" t="s">
        <v>827</v>
      </c>
      <c r="G681" s="28"/>
      <c r="N681" s="28"/>
      <c r="O681" s="28"/>
      <c r="X681" s="40"/>
      <c r="Y681" s="40"/>
    </row>
    <row r="682" spans="5:25" x14ac:dyDescent="0.35">
      <c r="E682" t="s">
        <v>187</v>
      </c>
      <c r="F682" t="s">
        <v>828</v>
      </c>
      <c r="G682" s="28"/>
      <c r="N682" s="28"/>
      <c r="O682" s="28"/>
      <c r="X682" s="40"/>
      <c r="Y682" s="40"/>
    </row>
    <row r="683" spans="5:25" x14ac:dyDescent="0.35">
      <c r="E683" t="s">
        <v>187</v>
      </c>
      <c r="F683" t="s">
        <v>829</v>
      </c>
      <c r="G683" s="28"/>
      <c r="N683" s="28"/>
      <c r="O683" s="28"/>
      <c r="X683" s="40"/>
      <c r="Y683" s="40"/>
    </row>
    <row r="684" spans="5:25" x14ac:dyDescent="0.35">
      <c r="E684" t="s">
        <v>187</v>
      </c>
      <c r="F684" t="s">
        <v>830</v>
      </c>
      <c r="G684" s="28"/>
      <c r="N684" s="28"/>
      <c r="O684" s="28"/>
      <c r="X684" s="40"/>
      <c r="Y684" s="40"/>
    </row>
    <row r="685" spans="5:25" x14ac:dyDescent="0.35">
      <c r="E685" t="s">
        <v>187</v>
      </c>
      <c r="F685" t="s">
        <v>831</v>
      </c>
      <c r="G685" s="28"/>
      <c r="N685" s="28"/>
      <c r="O685" s="28"/>
      <c r="X685" s="40"/>
      <c r="Y685" s="40"/>
    </row>
    <row r="686" spans="5:25" x14ac:dyDescent="0.35">
      <c r="E686" t="s">
        <v>187</v>
      </c>
      <c r="F686" t="s">
        <v>426</v>
      </c>
      <c r="G686" s="28"/>
      <c r="N686" s="28"/>
      <c r="O686" s="28"/>
      <c r="X686" s="40"/>
      <c r="Y686" s="40"/>
    </row>
    <row r="687" spans="5:25" x14ac:dyDescent="0.35">
      <c r="E687" t="s">
        <v>187</v>
      </c>
      <c r="F687" t="s">
        <v>374</v>
      </c>
      <c r="G687" s="28"/>
      <c r="N687" s="28"/>
      <c r="O687" s="28"/>
      <c r="X687" s="40"/>
      <c r="Y687" s="40"/>
    </row>
    <row r="688" spans="5:25" x14ac:dyDescent="0.35">
      <c r="E688" t="s">
        <v>187</v>
      </c>
      <c r="F688" t="s">
        <v>832</v>
      </c>
      <c r="G688" s="28"/>
      <c r="N688" s="28"/>
      <c r="O688" s="28"/>
      <c r="X688" s="40"/>
      <c r="Y688" s="40"/>
    </row>
    <row r="689" spans="5:25" x14ac:dyDescent="0.35">
      <c r="E689" t="s">
        <v>187</v>
      </c>
      <c r="F689" t="s">
        <v>833</v>
      </c>
      <c r="G689" s="28"/>
      <c r="N689" s="28"/>
      <c r="O689" s="28"/>
      <c r="X689" s="40"/>
      <c r="Y689" s="40"/>
    </row>
    <row r="690" spans="5:25" x14ac:dyDescent="0.35">
      <c r="E690" t="s">
        <v>187</v>
      </c>
      <c r="F690" t="s">
        <v>834</v>
      </c>
      <c r="G690" s="28"/>
      <c r="N690" s="28"/>
      <c r="O690" s="28"/>
      <c r="X690" s="40"/>
      <c r="Y690" s="40"/>
    </row>
    <row r="691" spans="5:25" x14ac:dyDescent="0.35">
      <c r="E691" t="s">
        <v>187</v>
      </c>
      <c r="F691" t="s">
        <v>835</v>
      </c>
      <c r="G691" s="28"/>
      <c r="N691" s="28"/>
      <c r="O691" s="28"/>
      <c r="X691" s="40"/>
      <c r="Y691" s="40"/>
    </row>
    <row r="692" spans="5:25" x14ac:dyDescent="0.35">
      <c r="E692" t="s">
        <v>187</v>
      </c>
      <c r="F692" t="s">
        <v>836</v>
      </c>
      <c r="G692" s="28"/>
      <c r="N692" s="28"/>
      <c r="O692" s="28"/>
      <c r="X692" s="40"/>
      <c r="Y692" s="40"/>
    </row>
    <row r="693" spans="5:25" x14ac:dyDescent="0.35">
      <c r="E693" t="s">
        <v>187</v>
      </c>
      <c r="F693" t="s">
        <v>837</v>
      </c>
      <c r="G693" s="28"/>
      <c r="N693" s="28"/>
      <c r="O693" s="28"/>
      <c r="X693" s="40"/>
      <c r="Y693" s="40"/>
    </row>
    <row r="694" spans="5:25" x14ac:dyDescent="0.35">
      <c r="E694" t="s">
        <v>187</v>
      </c>
      <c r="F694" t="s">
        <v>838</v>
      </c>
      <c r="G694" s="28"/>
      <c r="N694" s="28"/>
      <c r="O694" s="28"/>
      <c r="X694" s="40"/>
      <c r="Y694" s="40"/>
    </row>
    <row r="695" spans="5:25" x14ac:dyDescent="0.35">
      <c r="E695" t="s">
        <v>187</v>
      </c>
      <c r="F695" t="s">
        <v>839</v>
      </c>
      <c r="G695" s="28"/>
      <c r="N695" s="28"/>
      <c r="O695" s="28"/>
      <c r="X695" s="40"/>
      <c r="Y695" s="40"/>
    </row>
    <row r="696" spans="5:25" x14ac:dyDescent="0.35">
      <c r="E696" t="s">
        <v>187</v>
      </c>
      <c r="F696" t="s">
        <v>840</v>
      </c>
      <c r="G696" s="28"/>
      <c r="N696" s="28"/>
      <c r="O696" s="28"/>
      <c r="X696" s="40"/>
      <c r="Y696" s="40"/>
    </row>
    <row r="697" spans="5:25" x14ac:dyDescent="0.35">
      <c r="E697" t="s">
        <v>187</v>
      </c>
      <c r="F697" t="s">
        <v>841</v>
      </c>
      <c r="G697" s="28"/>
      <c r="N697" s="28"/>
      <c r="O697" s="28"/>
      <c r="X697" s="40"/>
      <c r="Y697" s="40"/>
    </row>
    <row r="698" spans="5:25" x14ac:dyDescent="0.35">
      <c r="E698" t="s">
        <v>187</v>
      </c>
      <c r="F698" t="s">
        <v>394</v>
      </c>
      <c r="G698" s="28"/>
      <c r="N698" s="28"/>
      <c r="O698" s="28"/>
      <c r="X698" s="40"/>
      <c r="Y698" s="40"/>
    </row>
    <row r="699" spans="5:25" x14ac:dyDescent="0.35">
      <c r="E699" t="s">
        <v>188</v>
      </c>
      <c r="F699" t="s">
        <v>526</v>
      </c>
      <c r="G699" s="28"/>
      <c r="N699" s="28"/>
      <c r="O699" s="28"/>
      <c r="X699" s="40"/>
      <c r="Y699" s="40"/>
    </row>
    <row r="700" spans="5:25" x14ac:dyDescent="0.35">
      <c r="E700" t="s">
        <v>188</v>
      </c>
      <c r="F700" t="s">
        <v>842</v>
      </c>
      <c r="G700" s="28"/>
      <c r="N700" s="28"/>
      <c r="O700" s="28"/>
      <c r="X700" s="40"/>
      <c r="Y700" s="40"/>
    </row>
    <row r="701" spans="5:25" x14ac:dyDescent="0.35">
      <c r="E701" t="s">
        <v>188</v>
      </c>
      <c r="F701" t="s">
        <v>843</v>
      </c>
      <c r="G701" s="28"/>
      <c r="N701" s="28"/>
      <c r="O701" s="28"/>
      <c r="X701" s="40"/>
      <c r="Y701" s="40"/>
    </row>
    <row r="702" spans="5:25" x14ac:dyDescent="0.35">
      <c r="E702" t="s">
        <v>188</v>
      </c>
      <c r="F702" t="s">
        <v>401</v>
      </c>
      <c r="G702" s="28"/>
      <c r="N702" s="28"/>
      <c r="O702" s="28"/>
      <c r="X702" s="40"/>
      <c r="Y702" s="40"/>
    </row>
    <row r="703" spans="5:25" x14ac:dyDescent="0.35">
      <c r="E703" t="s">
        <v>188</v>
      </c>
      <c r="F703" t="s">
        <v>844</v>
      </c>
      <c r="G703" s="28"/>
      <c r="N703" s="28"/>
      <c r="O703" s="28"/>
      <c r="X703" s="40"/>
      <c r="Y703" s="40"/>
    </row>
    <row r="704" spans="5:25" x14ac:dyDescent="0.35">
      <c r="E704" t="s">
        <v>188</v>
      </c>
      <c r="F704" t="s">
        <v>845</v>
      </c>
      <c r="G704" s="28"/>
      <c r="N704" s="28"/>
      <c r="O704" s="28"/>
      <c r="X704" s="40"/>
      <c r="Y704" s="40"/>
    </row>
    <row r="705" spans="5:25" x14ac:dyDescent="0.35">
      <c r="E705" t="s">
        <v>188</v>
      </c>
      <c r="F705" t="s">
        <v>337</v>
      </c>
      <c r="G705" s="28"/>
      <c r="N705" s="28"/>
      <c r="O705" s="28"/>
      <c r="X705" s="40"/>
      <c r="Y705" s="40"/>
    </row>
    <row r="706" spans="5:25" x14ac:dyDescent="0.35">
      <c r="E706" t="s">
        <v>188</v>
      </c>
      <c r="F706" t="s">
        <v>403</v>
      </c>
      <c r="G706" s="28"/>
      <c r="N706" s="28"/>
      <c r="O706" s="28"/>
      <c r="X706" s="40"/>
      <c r="Y706" s="40"/>
    </row>
    <row r="707" spans="5:25" x14ac:dyDescent="0.35">
      <c r="E707" t="s">
        <v>188</v>
      </c>
      <c r="F707" t="s">
        <v>765</v>
      </c>
      <c r="G707" s="28"/>
      <c r="N707" s="28"/>
      <c r="O707" s="28"/>
      <c r="X707" s="40"/>
      <c r="Y707" s="40"/>
    </row>
    <row r="708" spans="5:25" x14ac:dyDescent="0.35">
      <c r="E708" t="s">
        <v>188</v>
      </c>
      <c r="F708" t="s">
        <v>846</v>
      </c>
      <c r="G708" s="28"/>
      <c r="N708" s="28"/>
      <c r="O708" s="28"/>
      <c r="X708" s="40"/>
      <c r="Y708" s="40"/>
    </row>
    <row r="709" spans="5:25" x14ac:dyDescent="0.35">
      <c r="E709" t="s">
        <v>188</v>
      </c>
      <c r="F709" t="s">
        <v>847</v>
      </c>
      <c r="G709" s="28"/>
      <c r="N709" s="28"/>
      <c r="O709" s="28"/>
      <c r="X709" s="40"/>
      <c r="Y709" s="40"/>
    </row>
    <row r="710" spans="5:25" x14ac:dyDescent="0.35">
      <c r="E710" t="s">
        <v>188</v>
      </c>
      <c r="F710" t="s">
        <v>405</v>
      </c>
      <c r="G710" s="28"/>
      <c r="N710" s="28"/>
      <c r="O710" s="28"/>
      <c r="X710" s="40"/>
      <c r="Y710" s="40"/>
    </row>
    <row r="711" spans="5:25" x14ac:dyDescent="0.35">
      <c r="E711" t="s">
        <v>188</v>
      </c>
      <c r="F711" t="s">
        <v>343</v>
      </c>
      <c r="G711" s="28"/>
      <c r="N711" s="28"/>
      <c r="O711" s="28"/>
      <c r="X711" s="40"/>
      <c r="Y711" s="40"/>
    </row>
    <row r="712" spans="5:25" x14ac:dyDescent="0.35">
      <c r="E712" t="s">
        <v>188</v>
      </c>
      <c r="F712" t="s">
        <v>769</v>
      </c>
      <c r="G712" s="28"/>
      <c r="N712" s="28"/>
      <c r="O712" s="28"/>
      <c r="X712" s="40"/>
      <c r="Y712" s="40"/>
    </row>
    <row r="713" spans="5:25" x14ac:dyDescent="0.35">
      <c r="E713" t="s">
        <v>188</v>
      </c>
      <c r="F713" t="s">
        <v>848</v>
      </c>
      <c r="G713" s="28"/>
      <c r="N713" s="28"/>
      <c r="O713" s="28"/>
      <c r="X713" s="40"/>
      <c r="Y713" s="40"/>
    </row>
    <row r="714" spans="5:25" x14ac:dyDescent="0.35">
      <c r="E714" t="s">
        <v>188</v>
      </c>
      <c r="F714" t="s">
        <v>669</v>
      </c>
      <c r="G714" s="28"/>
      <c r="N714" s="28"/>
      <c r="O714" s="28"/>
      <c r="X714" s="40"/>
      <c r="Y714" s="40"/>
    </row>
    <row r="715" spans="5:25" x14ac:dyDescent="0.35">
      <c r="E715" t="s">
        <v>188</v>
      </c>
      <c r="F715" t="s">
        <v>410</v>
      </c>
      <c r="G715" s="28"/>
      <c r="N715" s="28"/>
      <c r="O715" s="28"/>
      <c r="X715" s="40"/>
      <c r="Y715" s="40"/>
    </row>
    <row r="716" spans="5:25" x14ac:dyDescent="0.35">
      <c r="E716" t="s">
        <v>188</v>
      </c>
      <c r="F716" t="s">
        <v>849</v>
      </c>
      <c r="G716" s="28"/>
      <c r="N716" s="28"/>
      <c r="O716" s="28"/>
      <c r="X716" s="40"/>
      <c r="Y716" s="40"/>
    </row>
    <row r="717" spans="5:25" x14ac:dyDescent="0.35">
      <c r="E717" t="s">
        <v>188</v>
      </c>
      <c r="F717" t="s">
        <v>675</v>
      </c>
      <c r="G717" s="28"/>
      <c r="N717" s="28"/>
      <c r="O717" s="28"/>
      <c r="X717" s="40"/>
      <c r="Y717" s="40"/>
    </row>
    <row r="718" spans="5:25" x14ac:dyDescent="0.35">
      <c r="E718" t="s">
        <v>188</v>
      </c>
      <c r="F718" t="s">
        <v>850</v>
      </c>
      <c r="G718" s="28"/>
      <c r="N718" s="28"/>
      <c r="O718" s="28"/>
      <c r="X718" s="40"/>
      <c r="Y718" s="40"/>
    </row>
    <row r="719" spans="5:25" x14ac:dyDescent="0.35">
      <c r="E719" t="s">
        <v>188</v>
      </c>
      <c r="F719" t="s">
        <v>544</v>
      </c>
      <c r="G719" s="28"/>
      <c r="N719" s="28"/>
      <c r="O719" s="28"/>
      <c r="X719" s="40"/>
      <c r="Y719" s="40"/>
    </row>
    <row r="720" spans="5:25" x14ac:dyDescent="0.35">
      <c r="E720" t="s">
        <v>188</v>
      </c>
      <c r="F720" t="s">
        <v>851</v>
      </c>
      <c r="G720" s="28"/>
      <c r="N720" s="28"/>
      <c r="O720" s="28"/>
      <c r="X720" s="40"/>
      <c r="Y720" s="40"/>
    </row>
    <row r="721" spans="5:25" x14ac:dyDescent="0.35">
      <c r="E721" t="s">
        <v>188</v>
      </c>
      <c r="F721" t="s">
        <v>852</v>
      </c>
      <c r="G721" s="28"/>
      <c r="N721" s="28"/>
      <c r="O721" s="28"/>
      <c r="X721" s="40"/>
      <c r="Y721" s="40"/>
    </row>
    <row r="722" spans="5:25" x14ac:dyDescent="0.35">
      <c r="E722" t="s">
        <v>188</v>
      </c>
      <c r="F722" t="s">
        <v>853</v>
      </c>
      <c r="G722" s="28"/>
      <c r="N722" s="28"/>
      <c r="O722" s="28"/>
      <c r="X722" s="40"/>
      <c r="Y722" s="40"/>
    </row>
    <row r="723" spans="5:25" x14ac:dyDescent="0.35">
      <c r="E723" t="s">
        <v>188</v>
      </c>
      <c r="F723" t="s">
        <v>681</v>
      </c>
      <c r="G723" s="28"/>
      <c r="N723" s="28"/>
      <c r="O723" s="28"/>
      <c r="X723" s="40"/>
      <c r="Y723" s="40"/>
    </row>
    <row r="724" spans="5:25" x14ac:dyDescent="0.35">
      <c r="E724" t="s">
        <v>188</v>
      </c>
      <c r="F724" t="s">
        <v>358</v>
      </c>
      <c r="G724" s="28"/>
      <c r="N724" s="28"/>
      <c r="O724" s="28"/>
      <c r="X724" s="40"/>
      <c r="Y724" s="40"/>
    </row>
    <row r="725" spans="5:25" x14ac:dyDescent="0.35">
      <c r="E725" t="s">
        <v>188</v>
      </c>
      <c r="F725" t="s">
        <v>854</v>
      </c>
      <c r="G725" s="28"/>
      <c r="N725" s="28"/>
      <c r="O725" s="28"/>
      <c r="X725" s="40"/>
      <c r="Y725" s="40"/>
    </row>
    <row r="726" spans="5:25" x14ac:dyDescent="0.35">
      <c r="E726" t="s">
        <v>188</v>
      </c>
      <c r="F726" t="s">
        <v>359</v>
      </c>
      <c r="G726" s="28"/>
      <c r="N726" s="28"/>
      <c r="O726" s="28"/>
      <c r="X726" s="40"/>
      <c r="Y726" s="40"/>
    </row>
    <row r="727" spans="5:25" x14ac:dyDescent="0.35">
      <c r="E727" t="s">
        <v>188</v>
      </c>
      <c r="F727" t="s">
        <v>416</v>
      </c>
      <c r="G727" s="28"/>
      <c r="N727" s="28"/>
      <c r="O727" s="28"/>
      <c r="X727" s="40"/>
      <c r="Y727" s="40"/>
    </row>
    <row r="728" spans="5:25" x14ac:dyDescent="0.35">
      <c r="E728" t="s">
        <v>188</v>
      </c>
      <c r="F728" t="s">
        <v>855</v>
      </c>
      <c r="G728" s="28"/>
      <c r="N728" s="28"/>
      <c r="O728" s="28"/>
      <c r="X728" s="40"/>
      <c r="Y728" s="40"/>
    </row>
    <row r="729" spans="5:25" x14ac:dyDescent="0.35">
      <c r="E729" t="s">
        <v>188</v>
      </c>
      <c r="F729" t="s">
        <v>361</v>
      </c>
      <c r="G729" s="28"/>
      <c r="N729" s="28"/>
      <c r="O729" s="28"/>
      <c r="X729" s="40"/>
      <c r="Y729" s="40"/>
    </row>
    <row r="730" spans="5:25" x14ac:dyDescent="0.35">
      <c r="E730" t="s">
        <v>188</v>
      </c>
      <c r="F730" t="s">
        <v>776</v>
      </c>
      <c r="G730" s="28"/>
      <c r="N730" s="28"/>
      <c r="O730" s="28"/>
      <c r="X730" s="40"/>
      <c r="Y730" s="40"/>
    </row>
    <row r="731" spans="5:25" x14ac:dyDescent="0.35">
      <c r="E731" t="s">
        <v>188</v>
      </c>
      <c r="F731" t="s">
        <v>610</v>
      </c>
      <c r="G731" s="28"/>
      <c r="N731" s="28"/>
      <c r="O731" s="28"/>
      <c r="X731" s="40"/>
      <c r="Y731" s="40"/>
    </row>
    <row r="732" spans="5:25" x14ac:dyDescent="0.35">
      <c r="E732" t="s">
        <v>188</v>
      </c>
      <c r="F732" t="s">
        <v>695</v>
      </c>
      <c r="G732" s="28"/>
      <c r="N732" s="28"/>
      <c r="O732" s="28"/>
      <c r="X732" s="40"/>
      <c r="Y732" s="40"/>
    </row>
    <row r="733" spans="5:25" x14ac:dyDescent="0.35">
      <c r="E733" t="s">
        <v>188</v>
      </c>
      <c r="F733" t="s">
        <v>778</v>
      </c>
      <c r="G733" s="28"/>
      <c r="N733" s="28"/>
      <c r="O733" s="28"/>
      <c r="X733" s="40"/>
      <c r="Y733" s="40"/>
    </row>
    <row r="734" spans="5:25" x14ac:dyDescent="0.35">
      <c r="E734" t="s">
        <v>188</v>
      </c>
      <c r="F734" t="s">
        <v>856</v>
      </c>
      <c r="G734" s="28"/>
      <c r="N734" s="28"/>
      <c r="O734" s="28"/>
      <c r="X734" s="40"/>
      <c r="Y734" s="40"/>
    </row>
    <row r="735" spans="5:25" x14ac:dyDescent="0.35">
      <c r="E735" t="s">
        <v>188</v>
      </c>
      <c r="F735" t="s">
        <v>363</v>
      </c>
      <c r="G735" s="28"/>
      <c r="N735" s="28"/>
      <c r="O735" s="28"/>
      <c r="X735" s="40"/>
      <c r="Y735" s="40"/>
    </row>
    <row r="736" spans="5:25" x14ac:dyDescent="0.35">
      <c r="E736" t="s">
        <v>188</v>
      </c>
      <c r="F736" t="s">
        <v>857</v>
      </c>
      <c r="G736" s="28"/>
      <c r="N736" s="28"/>
      <c r="O736" s="28"/>
      <c r="X736" s="40"/>
      <c r="Y736" s="40"/>
    </row>
    <row r="737" spans="5:25" x14ac:dyDescent="0.35">
      <c r="E737" t="s">
        <v>188</v>
      </c>
      <c r="F737" t="s">
        <v>365</v>
      </c>
      <c r="G737" s="28"/>
      <c r="N737" s="28"/>
      <c r="O737" s="28"/>
      <c r="X737" s="40"/>
      <c r="Y737" s="40"/>
    </row>
    <row r="738" spans="5:25" x14ac:dyDescent="0.35">
      <c r="E738" t="s">
        <v>188</v>
      </c>
      <c r="F738" t="s">
        <v>701</v>
      </c>
      <c r="G738" s="28"/>
      <c r="N738" s="28"/>
      <c r="O738" s="28"/>
      <c r="X738" s="40"/>
      <c r="Y738" s="40"/>
    </row>
    <row r="739" spans="5:25" x14ac:dyDescent="0.35">
      <c r="E739" t="s">
        <v>188</v>
      </c>
      <c r="F739" t="s">
        <v>366</v>
      </c>
      <c r="G739" s="28"/>
      <c r="N739" s="28"/>
      <c r="O739" s="28"/>
      <c r="X739" s="40"/>
      <c r="Y739" s="40"/>
    </row>
    <row r="740" spans="5:25" x14ac:dyDescent="0.35">
      <c r="E740" t="s">
        <v>188</v>
      </c>
      <c r="F740" t="s">
        <v>858</v>
      </c>
      <c r="G740" s="28"/>
      <c r="N740" s="28"/>
      <c r="O740" s="28"/>
      <c r="X740" s="40"/>
      <c r="Y740" s="40"/>
    </row>
    <row r="741" spans="5:25" x14ac:dyDescent="0.35">
      <c r="E741" t="s">
        <v>188</v>
      </c>
      <c r="F741" t="s">
        <v>859</v>
      </c>
      <c r="G741" s="28"/>
      <c r="N741" s="28"/>
      <c r="O741" s="28"/>
      <c r="X741" s="40"/>
      <c r="Y741" s="40"/>
    </row>
    <row r="742" spans="5:25" x14ac:dyDescent="0.35">
      <c r="E742" t="s">
        <v>188</v>
      </c>
      <c r="F742" t="s">
        <v>424</v>
      </c>
      <c r="G742" s="28"/>
      <c r="N742" s="28"/>
      <c r="O742" s="28"/>
      <c r="X742" s="40"/>
      <c r="Y742" s="40"/>
    </row>
    <row r="743" spans="5:25" x14ac:dyDescent="0.35">
      <c r="E743" t="s">
        <v>188</v>
      </c>
      <c r="F743" t="s">
        <v>860</v>
      </c>
      <c r="G743" s="28"/>
      <c r="N743" s="28"/>
      <c r="O743" s="28"/>
      <c r="X743" s="40"/>
      <c r="Y743" s="40"/>
    </row>
    <row r="744" spans="5:25" x14ac:dyDescent="0.35">
      <c r="E744" t="s">
        <v>188</v>
      </c>
      <c r="F744" t="s">
        <v>861</v>
      </c>
      <c r="G744" s="28"/>
      <c r="N744" s="28"/>
      <c r="O744" s="28"/>
      <c r="X744" s="40"/>
      <c r="Y744" s="40"/>
    </row>
    <row r="745" spans="5:25" x14ac:dyDescent="0.35">
      <c r="E745" t="s">
        <v>188</v>
      </c>
      <c r="F745" t="s">
        <v>862</v>
      </c>
      <c r="G745" s="28"/>
      <c r="N745" s="28"/>
      <c r="O745" s="28"/>
      <c r="X745" s="40"/>
      <c r="Y745" s="40"/>
    </row>
    <row r="746" spans="5:25" x14ac:dyDescent="0.35">
      <c r="E746" t="s">
        <v>188</v>
      </c>
      <c r="F746" t="s">
        <v>863</v>
      </c>
      <c r="G746" s="28"/>
      <c r="N746" s="28"/>
      <c r="O746" s="28"/>
      <c r="X746" s="40"/>
      <c r="Y746" s="40"/>
    </row>
    <row r="747" spans="5:25" x14ac:dyDescent="0.35">
      <c r="E747" t="s">
        <v>188</v>
      </c>
      <c r="F747" t="s">
        <v>864</v>
      </c>
      <c r="G747" s="28"/>
      <c r="N747" s="28"/>
      <c r="O747" s="28"/>
      <c r="X747" s="40"/>
      <c r="Y747" s="40"/>
    </row>
    <row r="748" spans="5:25" x14ac:dyDescent="0.35">
      <c r="E748" t="s">
        <v>188</v>
      </c>
      <c r="F748" t="s">
        <v>486</v>
      </c>
      <c r="G748" s="28"/>
      <c r="N748" s="28"/>
      <c r="O748" s="28"/>
      <c r="X748" s="40"/>
      <c r="Y748" s="40"/>
    </row>
    <row r="749" spans="5:25" x14ac:dyDescent="0.35">
      <c r="E749" t="s">
        <v>188</v>
      </c>
      <c r="F749" t="s">
        <v>369</v>
      </c>
      <c r="G749" s="28"/>
      <c r="N749" s="28"/>
      <c r="O749" s="28"/>
      <c r="X749" s="40"/>
      <c r="Y749" s="40"/>
    </row>
    <row r="750" spans="5:25" x14ac:dyDescent="0.35">
      <c r="E750" t="s">
        <v>188</v>
      </c>
      <c r="F750" t="s">
        <v>370</v>
      </c>
      <c r="G750" s="28"/>
      <c r="N750" s="28"/>
      <c r="O750" s="28"/>
      <c r="X750" s="40"/>
      <c r="Y750" s="40"/>
    </row>
    <row r="751" spans="5:25" x14ac:dyDescent="0.35">
      <c r="E751" t="s">
        <v>188</v>
      </c>
      <c r="F751" t="s">
        <v>865</v>
      </c>
      <c r="G751" s="28"/>
      <c r="N751" s="28"/>
      <c r="O751" s="28"/>
      <c r="X751" s="40"/>
      <c r="Y751" s="40"/>
    </row>
    <row r="752" spans="5:25" x14ac:dyDescent="0.35">
      <c r="E752" t="s">
        <v>188</v>
      </c>
      <c r="F752" t="s">
        <v>428</v>
      </c>
      <c r="G752" s="28"/>
      <c r="N752" s="28"/>
      <c r="O752" s="28"/>
      <c r="X752" s="40"/>
      <c r="Y752" s="40"/>
    </row>
    <row r="753" spans="5:25" x14ac:dyDescent="0.35">
      <c r="E753" t="s">
        <v>188</v>
      </c>
      <c r="F753" t="s">
        <v>373</v>
      </c>
      <c r="G753" s="28"/>
      <c r="N753" s="28"/>
      <c r="O753" s="28"/>
      <c r="X753" s="40"/>
      <c r="Y753" s="40"/>
    </row>
    <row r="754" spans="5:25" x14ac:dyDescent="0.35">
      <c r="E754" t="s">
        <v>188</v>
      </c>
      <c r="F754" t="s">
        <v>866</v>
      </c>
      <c r="G754" s="28"/>
      <c r="N754" s="28"/>
      <c r="O754" s="28"/>
      <c r="X754" s="40"/>
      <c r="Y754" s="40"/>
    </row>
    <row r="755" spans="5:25" x14ac:dyDescent="0.35">
      <c r="E755" t="s">
        <v>188</v>
      </c>
      <c r="F755" t="s">
        <v>374</v>
      </c>
      <c r="G755" s="28"/>
      <c r="N755" s="28"/>
      <c r="O755" s="28"/>
      <c r="X755" s="40"/>
      <c r="Y755" s="40"/>
    </row>
    <row r="756" spans="5:25" x14ac:dyDescent="0.35">
      <c r="E756" t="s">
        <v>188</v>
      </c>
      <c r="F756" t="s">
        <v>376</v>
      </c>
      <c r="G756" s="28"/>
      <c r="N756" s="28"/>
      <c r="O756" s="28"/>
      <c r="X756" s="40"/>
      <c r="Y756" s="40"/>
    </row>
    <row r="757" spans="5:25" x14ac:dyDescent="0.35">
      <c r="E757" t="s">
        <v>188</v>
      </c>
      <c r="F757" t="s">
        <v>377</v>
      </c>
      <c r="G757" s="28"/>
      <c r="N757" s="28"/>
      <c r="O757" s="28"/>
      <c r="X757" s="40"/>
      <c r="Y757" s="40"/>
    </row>
    <row r="758" spans="5:25" x14ac:dyDescent="0.35">
      <c r="E758" t="s">
        <v>188</v>
      </c>
      <c r="F758" t="s">
        <v>867</v>
      </c>
      <c r="G758" s="28"/>
      <c r="N758" s="28"/>
      <c r="O758" s="28"/>
      <c r="X758" s="40"/>
      <c r="Y758" s="40"/>
    </row>
    <row r="759" spans="5:25" x14ac:dyDescent="0.35">
      <c r="E759" t="s">
        <v>188</v>
      </c>
      <c r="F759" t="s">
        <v>868</v>
      </c>
      <c r="G759" s="28"/>
      <c r="N759" s="28"/>
      <c r="O759" s="28"/>
      <c r="X759" s="40"/>
      <c r="Y759" s="40"/>
    </row>
    <row r="760" spans="5:25" x14ac:dyDescent="0.35">
      <c r="E760" t="s">
        <v>188</v>
      </c>
      <c r="F760" t="s">
        <v>869</v>
      </c>
      <c r="G760" s="28"/>
      <c r="N760" s="28"/>
      <c r="O760" s="28"/>
      <c r="X760" s="40"/>
      <c r="Y760" s="40"/>
    </row>
    <row r="761" spans="5:25" x14ac:dyDescent="0.35">
      <c r="E761" t="s">
        <v>188</v>
      </c>
      <c r="F761" t="s">
        <v>870</v>
      </c>
      <c r="G761" s="28"/>
      <c r="N761" s="28"/>
      <c r="O761" s="28"/>
      <c r="X761" s="40"/>
      <c r="Y761" s="40"/>
    </row>
    <row r="762" spans="5:25" x14ac:dyDescent="0.35">
      <c r="E762" t="s">
        <v>188</v>
      </c>
      <c r="F762" t="s">
        <v>871</v>
      </c>
      <c r="G762" s="28"/>
      <c r="N762" s="28"/>
      <c r="O762" s="28"/>
      <c r="X762" s="40"/>
      <c r="Y762" s="40"/>
    </row>
    <row r="763" spans="5:25" x14ac:dyDescent="0.35">
      <c r="E763" t="s">
        <v>188</v>
      </c>
      <c r="F763" t="s">
        <v>872</v>
      </c>
      <c r="G763" s="28"/>
      <c r="N763" s="28"/>
      <c r="O763" s="28"/>
      <c r="X763" s="40"/>
      <c r="Y763" s="40"/>
    </row>
    <row r="764" spans="5:25" x14ac:dyDescent="0.35">
      <c r="E764" t="s">
        <v>188</v>
      </c>
      <c r="F764" t="s">
        <v>873</v>
      </c>
      <c r="G764" s="28"/>
      <c r="N764" s="28"/>
      <c r="O764" s="28"/>
      <c r="X764" s="40"/>
      <c r="Y764" s="40"/>
    </row>
    <row r="765" spans="5:25" x14ac:dyDescent="0.35">
      <c r="E765" t="s">
        <v>188</v>
      </c>
      <c r="F765" t="s">
        <v>379</v>
      </c>
      <c r="G765" s="28"/>
      <c r="N765" s="28"/>
      <c r="O765" s="28"/>
      <c r="X765" s="40"/>
      <c r="Y765" s="40"/>
    </row>
    <row r="766" spans="5:25" x14ac:dyDescent="0.35">
      <c r="E766" t="s">
        <v>188</v>
      </c>
      <c r="F766" t="s">
        <v>380</v>
      </c>
      <c r="G766" s="28"/>
      <c r="N766" s="28"/>
      <c r="O766" s="28"/>
      <c r="X766" s="40"/>
      <c r="Y766" s="40"/>
    </row>
    <row r="767" spans="5:25" x14ac:dyDescent="0.35">
      <c r="E767" t="s">
        <v>188</v>
      </c>
      <c r="F767" t="s">
        <v>381</v>
      </c>
      <c r="G767" s="28"/>
      <c r="N767" s="28"/>
      <c r="O767" s="28"/>
      <c r="X767" s="40"/>
      <c r="Y767" s="40"/>
    </row>
    <row r="768" spans="5:25" x14ac:dyDescent="0.35">
      <c r="E768" t="s">
        <v>188</v>
      </c>
      <c r="F768" t="s">
        <v>874</v>
      </c>
      <c r="G768" s="28"/>
      <c r="N768" s="28"/>
      <c r="O768" s="28"/>
      <c r="X768" s="40"/>
      <c r="Y768" s="40"/>
    </row>
    <row r="769" spans="5:25" x14ac:dyDescent="0.35">
      <c r="E769" t="s">
        <v>188</v>
      </c>
      <c r="F769" t="s">
        <v>875</v>
      </c>
      <c r="G769" s="28"/>
      <c r="N769" s="28"/>
      <c r="O769" s="28"/>
      <c r="X769" s="40"/>
      <c r="Y769" s="40"/>
    </row>
    <row r="770" spans="5:25" x14ac:dyDescent="0.35">
      <c r="E770" t="s">
        <v>188</v>
      </c>
      <c r="F770" t="s">
        <v>876</v>
      </c>
      <c r="G770" s="28"/>
      <c r="N770" s="28"/>
      <c r="O770" s="28"/>
      <c r="X770" s="40"/>
      <c r="Y770" s="40"/>
    </row>
    <row r="771" spans="5:25" x14ac:dyDescent="0.35">
      <c r="E771" t="s">
        <v>188</v>
      </c>
      <c r="F771" t="s">
        <v>382</v>
      </c>
      <c r="G771" s="28"/>
      <c r="N771" s="28"/>
      <c r="O771" s="28"/>
      <c r="X771" s="40"/>
      <c r="Y771" s="40"/>
    </row>
    <row r="772" spans="5:25" x14ac:dyDescent="0.35">
      <c r="E772" t="s">
        <v>188</v>
      </c>
      <c r="F772" t="s">
        <v>877</v>
      </c>
      <c r="G772" s="28"/>
      <c r="N772" s="28"/>
      <c r="O772" s="28"/>
      <c r="X772" s="40"/>
      <c r="Y772" s="40"/>
    </row>
    <row r="773" spans="5:25" x14ac:dyDescent="0.35">
      <c r="E773" t="s">
        <v>188</v>
      </c>
      <c r="F773" t="s">
        <v>384</v>
      </c>
      <c r="G773" s="28"/>
      <c r="N773" s="28"/>
      <c r="O773" s="28"/>
      <c r="X773" s="40"/>
      <c r="Y773" s="40"/>
    </row>
    <row r="774" spans="5:25" x14ac:dyDescent="0.35">
      <c r="E774" t="s">
        <v>188</v>
      </c>
      <c r="F774" t="s">
        <v>438</v>
      </c>
      <c r="G774" s="28"/>
      <c r="N774" s="28"/>
      <c r="O774" s="28"/>
      <c r="X774" s="40"/>
      <c r="Y774" s="40"/>
    </row>
    <row r="775" spans="5:25" x14ac:dyDescent="0.35">
      <c r="E775" t="s">
        <v>188</v>
      </c>
      <c r="F775" t="s">
        <v>440</v>
      </c>
      <c r="G775" s="28"/>
      <c r="N775" s="28"/>
      <c r="O775" s="28"/>
      <c r="X775" s="40"/>
      <c r="Y775" s="40"/>
    </row>
    <row r="776" spans="5:25" x14ac:dyDescent="0.35">
      <c r="E776" t="s">
        <v>188</v>
      </c>
      <c r="F776" t="s">
        <v>631</v>
      </c>
      <c r="G776" s="28"/>
      <c r="N776" s="28"/>
      <c r="O776" s="28"/>
      <c r="X776" s="40"/>
      <c r="Y776" s="40"/>
    </row>
    <row r="777" spans="5:25" x14ac:dyDescent="0.35">
      <c r="E777" t="s">
        <v>188</v>
      </c>
      <c r="F777" t="s">
        <v>385</v>
      </c>
      <c r="G777" s="28"/>
      <c r="N777" s="28"/>
      <c r="O777" s="28"/>
      <c r="X777" s="40"/>
      <c r="Y777" s="40"/>
    </row>
    <row r="778" spans="5:25" x14ac:dyDescent="0.35">
      <c r="E778" t="s">
        <v>188</v>
      </c>
      <c r="F778" t="s">
        <v>878</v>
      </c>
      <c r="G778" s="28"/>
      <c r="N778" s="28"/>
      <c r="O778" s="28"/>
      <c r="X778" s="40"/>
      <c r="Y778" s="40"/>
    </row>
    <row r="779" spans="5:25" x14ac:dyDescent="0.35">
      <c r="E779" t="s">
        <v>188</v>
      </c>
      <c r="F779" t="s">
        <v>879</v>
      </c>
      <c r="G779" s="28"/>
      <c r="N779" s="28"/>
      <c r="O779" s="28"/>
      <c r="X779" s="40"/>
      <c r="Y779" s="40"/>
    </row>
    <row r="780" spans="5:25" x14ac:dyDescent="0.35">
      <c r="E780" t="s">
        <v>188</v>
      </c>
      <c r="F780" t="s">
        <v>387</v>
      </c>
      <c r="G780" s="28"/>
      <c r="N780" s="28"/>
      <c r="O780" s="28"/>
      <c r="X780" s="40"/>
      <c r="Y780" s="40"/>
    </row>
    <row r="781" spans="5:25" x14ac:dyDescent="0.35">
      <c r="E781" t="s">
        <v>188</v>
      </c>
      <c r="F781" t="s">
        <v>442</v>
      </c>
      <c r="G781" s="28"/>
      <c r="N781" s="28"/>
      <c r="O781" s="28"/>
      <c r="X781" s="40"/>
      <c r="Y781" s="40"/>
    </row>
    <row r="782" spans="5:25" x14ac:dyDescent="0.35">
      <c r="E782" t="s">
        <v>188</v>
      </c>
      <c r="F782" t="s">
        <v>880</v>
      </c>
      <c r="G782" s="28"/>
      <c r="N782" s="28"/>
      <c r="O782" s="28"/>
      <c r="X782" s="40"/>
      <c r="Y782" s="40"/>
    </row>
    <row r="783" spans="5:25" x14ac:dyDescent="0.35">
      <c r="E783" t="s">
        <v>188</v>
      </c>
      <c r="F783" t="s">
        <v>881</v>
      </c>
      <c r="G783" s="28"/>
      <c r="N783" s="28"/>
      <c r="O783" s="28"/>
      <c r="X783" s="40"/>
      <c r="Y783" s="40"/>
    </row>
    <row r="784" spans="5:25" x14ac:dyDescent="0.35">
      <c r="E784" t="s">
        <v>188</v>
      </c>
      <c r="F784" t="s">
        <v>443</v>
      </c>
      <c r="G784" s="28"/>
      <c r="N784" s="28"/>
      <c r="O784" s="28"/>
      <c r="X784" s="40"/>
      <c r="Y784" s="40"/>
    </row>
    <row r="785" spans="5:25" x14ac:dyDescent="0.35">
      <c r="E785" t="s">
        <v>188</v>
      </c>
      <c r="F785" t="s">
        <v>388</v>
      </c>
      <c r="G785" s="28"/>
      <c r="N785" s="28"/>
      <c r="O785" s="28"/>
      <c r="X785" s="40"/>
      <c r="Y785" s="40"/>
    </row>
    <row r="786" spans="5:25" x14ac:dyDescent="0.35">
      <c r="E786" t="s">
        <v>188</v>
      </c>
      <c r="F786" t="s">
        <v>882</v>
      </c>
      <c r="G786" s="28"/>
      <c r="N786" s="28"/>
      <c r="O786" s="28"/>
      <c r="X786" s="40"/>
      <c r="Y786" s="40"/>
    </row>
    <row r="787" spans="5:25" x14ac:dyDescent="0.35">
      <c r="E787" t="s">
        <v>188</v>
      </c>
      <c r="F787" t="s">
        <v>883</v>
      </c>
      <c r="G787" s="28"/>
      <c r="N787" s="28"/>
      <c r="O787" s="28"/>
      <c r="X787" s="40"/>
      <c r="Y787" s="40"/>
    </row>
    <row r="788" spans="5:25" x14ac:dyDescent="0.35">
      <c r="E788" t="s">
        <v>188</v>
      </c>
      <c r="F788" t="s">
        <v>884</v>
      </c>
      <c r="G788" s="28"/>
      <c r="N788" s="28"/>
      <c r="O788" s="28"/>
      <c r="X788" s="40"/>
      <c r="Y788" s="40"/>
    </row>
    <row r="789" spans="5:25" x14ac:dyDescent="0.35">
      <c r="E789" t="s">
        <v>188</v>
      </c>
      <c r="F789" t="s">
        <v>449</v>
      </c>
      <c r="G789" s="28"/>
      <c r="N789" s="28"/>
      <c r="O789" s="28"/>
      <c r="X789" s="40"/>
      <c r="Y789" s="40"/>
    </row>
    <row r="790" spans="5:25" x14ac:dyDescent="0.35">
      <c r="E790" t="s">
        <v>188</v>
      </c>
      <c r="F790" t="s">
        <v>885</v>
      </c>
      <c r="G790" s="28"/>
      <c r="N790" s="28"/>
      <c r="O790" s="28"/>
      <c r="X790" s="40"/>
      <c r="Y790" s="40"/>
    </row>
    <row r="791" spans="5:25" x14ac:dyDescent="0.35">
      <c r="E791" t="s">
        <v>188</v>
      </c>
      <c r="F791" t="s">
        <v>886</v>
      </c>
      <c r="G791" s="28"/>
      <c r="N791" s="28"/>
      <c r="O791" s="28"/>
      <c r="X791" s="40"/>
      <c r="Y791" s="40"/>
    </row>
    <row r="792" spans="5:25" x14ac:dyDescent="0.35">
      <c r="E792" t="s">
        <v>188</v>
      </c>
      <c r="F792" t="s">
        <v>744</v>
      </c>
      <c r="G792" s="28"/>
      <c r="N792" s="28"/>
      <c r="O792" s="28"/>
      <c r="X792" s="40"/>
      <c r="Y792" s="40"/>
    </row>
    <row r="793" spans="5:25" x14ac:dyDescent="0.35">
      <c r="E793" t="s">
        <v>188</v>
      </c>
      <c r="F793" t="s">
        <v>394</v>
      </c>
      <c r="G793" s="28"/>
      <c r="N793" s="28"/>
      <c r="O793" s="28"/>
      <c r="X793" s="40"/>
      <c r="Y793" s="40"/>
    </row>
    <row r="794" spans="5:25" x14ac:dyDescent="0.35">
      <c r="E794" t="s">
        <v>188</v>
      </c>
      <c r="F794" t="s">
        <v>745</v>
      </c>
      <c r="G794" s="28"/>
      <c r="N794" s="32"/>
      <c r="O794" s="32"/>
      <c r="X794" s="40"/>
      <c r="Y794" s="40"/>
    </row>
    <row r="795" spans="5:25" x14ac:dyDescent="0.35">
      <c r="E795" t="s">
        <v>188</v>
      </c>
      <c r="F795" t="s">
        <v>451</v>
      </c>
      <c r="G795" s="28"/>
      <c r="N795" s="32"/>
      <c r="O795" s="32"/>
      <c r="X795" s="40"/>
      <c r="Y795" s="40"/>
    </row>
    <row r="796" spans="5:25" x14ac:dyDescent="0.35">
      <c r="E796" t="s">
        <v>188</v>
      </c>
      <c r="F796" t="s">
        <v>887</v>
      </c>
      <c r="G796" s="28"/>
      <c r="N796" s="32"/>
      <c r="O796" s="32"/>
      <c r="X796" s="40"/>
      <c r="Y796" s="40"/>
    </row>
    <row r="797" spans="5:25" x14ac:dyDescent="0.35">
      <c r="E797" t="s">
        <v>188</v>
      </c>
      <c r="F797" t="s">
        <v>888</v>
      </c>
      <c r="G797" s="28"/>
      <c r="N797" s="32"/>
      <c r="O797" s="32"/>
      <c r="X797" s="40"/>
      <c r="Y797" s="40"/>
    </row>
    <row r="798" spans="5:25" x14ac:dyDescent="0.35">
      <c r="E798" t="s">
        <v>188</v>
      </c>
      <c r="F798" t="s">
        <v>889</v>
      </c>
      <c r="G798" s="28"/>
      <c r="N798" s="32"/>
      <c r="O798" s="32"/>
      <c r="X798" s="40"/>
      <c r="Y798" s="40"/>
    </row>
    <row r="799" spans="5:25" x14ac:dyDescent="0.35">
      <c r="E799" t="s">
        <v>188</v>
      </c>
      <c r="F799" t="s">
        <v>805</v>
      </c>
      <c r="G799" s="28"/>
      <c r="N799" s="32"/>
      <c r="O799" s="32"/>
      <c r="X799" s="40"/>
      <c r="Y799" s="40"/>
    </row>
    <row r="800" spans="5:25" x14ac:dyDescent="0.35">
      <c r="E800" t="s">
        <v>188</v>
      </c>
      <c r="F800" t="s">
        <v>890</v>
      </c>
      <c r="G800" s="28"/>
      <c r="N800" s="32"/>
      <c r="O800" s="32"/>
      <c r="X800" s="40"/>
      <c r="Y800" s="40"/>
    </row>
    <row r="801" spans="5:25" x14ac:dyDescent="0.35">
      <c r="E801" t="s">
        <v>189</v>
      </c>
      <c r="F801" t="s">
        <v>526</v>
      </c>
      <c r="G801" s="28"/>
      <c r="N801" s="32"/>
      <c r="O801" s="32"/>
      <c r="X801" s="40"/>
      <c r="Y801" s="40"/>
    </row>
    <row r="802" spans="5:25" x14ac:dyDescent="0.35">
      <c r="E802" t="s">
        <v>189</v>
      </c>
      <c r="F802" t="s">
        <v>891</v>
      </c>
      <c r="G802" s="28"/>
      <c r="N802" s="32"/>
      <c r="O802" s="32"/>
      <c r="X802" s="40"/>
      <c r="Y802" s="40"/>
    </row>
    <row r="803" spans="5:25" x14ac:dyDescent="0.35">
      <c r="E803" t="s">
        <v>189</v>
      </c>
      <c r="F803" t="s">
        <v>892</v>
      </c>
      <c r="G803" s="28"/>
      <c r="N803" s="32"/>
      <c r="O803" s="32"/>
      <c r="X803" s="40"/>
      <c r="Y803" s="40"/>
    </row>
    <row r="804" spans="5:25" x14ac:dyDescent="0.35">
      <c r="E804" t="s">
        <v>189</v>
      </c>
      <c r="F804" t="s">
        <v>400</v>
      </c>
      <c r="G804" s="28"/>
      <c r="N804" s="32"/>
      <c r="O804" s="32"/>
      <c r="X804" s="40"/>
      <c r="Y804" s="40"/>
    </row>
    <row r="805" spans="5:25" x14ac:dyDescent="0.35">
      <c r="E805" t="s">
        <v>189</v>
      </c>
      <c r="F805" t="s">
        <v>893</v>
      </c>
      <c r="G805" s="28"/>
      <c r="N805" s="32"/>
      <c r="O805" s="32"/>
      <c r="X805" s="40"/>
      <c r="Y805" s="40"/>
    </row>
    <row r="806" spans="5:25" x14ac:dyDescent="0.35">
      <c r="E806" t="s">
        <v>189</v>
      </c>
      <c r="F806" t="s">
        <v>401</v>
      </c>
      <c r="G806" s="28"/>
      <c r="N806" s="28"/>
      <c r="O806" s="28"/>
      <c r="X806" s="40"/>
      <c r="Y806" s="40"/>
    </row>
    <row r="807" spans="5:25" x14ac:dyDescent="0.35">
      <c r="E807" t="s">
        <v>189</v>
      </c>
      <c r="F807" t="s">
        <v>844</v>
      </c>
      <c r="G807" s="28"/>
      <c r="N807" s="28"/>
      <c r="O807" s="28"/>
      <c r="X807" s="40"/>
      <c r="Y807" s="40"/>
    </row>
    <row r="808" spans="5:25" x14ac:dyDescent="0.35">
      <c r="E808" t="s">
        <v>189</v>
      </c>
      <c r="F808" t="s">
        <v>403</v>
      </c>
      <c r="G808" s="28"/>
      <c r="N808" s="28"/>
      <c r="O808" s="28"/>
      <c r="X808" s="40"/>
      <c r="Y808" s="40"/>
    </row>
    <row r="809" spans="5:25" x14ac:dyDescent="0.35">
      <c r="E809" t="s">
        <v>189</v>
      </c>
      <c r="F809" t="s">
        <v>765</v>
      </c>
      <c r="G809" s="28"/>
      <c r="N809" s="28"/>
      <c r="O809" s="28"/>
      <c r="X809" s="40"/>
      <c r="Y809" s="40"/>
    </row>
    <row r="810" spans="5:25" x14ac:dyDescent="0.35">
      <c r="E810" t="s">
        <v>189</v>
      </c>
      <c r="F810" t="s">
        <v>405</v>
      </c>
      <c r="G810" s="28"/>
      <c r="N810" s="28"/>
      <c r="O810" s="28"/>
      <c r="X810" s="40"/>
      <c r="Y810" s="40"/>
    </row>
    <row r="811" spans="5:25" x14ac:dyDescent="0.35">
      <c r="E811" t="s">
        <v>189</v>
      </c>
      <c r="F811" t="s">
        <v>343</v>
      </c>
      <c r="G811" s="28"/>
      <c r="N811" s="28"/>
      <c r="O811" s="28"/>
      <c r="X811" s="40"/>
      <c r="Y811" s="40"/>
    </row>
    <row r="812" spans="5:25" x14ac:dyDescent="0.35">
      <c r="E812" t="s">
        <v>189</v>
      </c>
      <c r="F812" t="s">
        <v>769</v>
      </c>
      <c r="G812" s="28"/>
      <c r="N812" s="28"/>
      <c r="O812" s="28"/>
      <c r="X812" s="40"/>
      <c r="Y812" s="40"/>
    </row>
    <row r="813" spans="5:25" x14ac:dyDescent="0.35">
      <c r="E813" t="s">
        <v>189</v>
      </c>
      <c r="F813" t="s">
        <v>410</v>
      </c>
      <c r="G813" s="28"/>
      <c r="N813" s="28"/>
      <c r="O813" s="28"/>
      <c r="X813" s="40"/>
      <c r="Y813" s="40"/>
    </row>
    <row r="814" spans="5:25" x14ac:dyDescent="0.35">
      <c r="E814" t="s">
        <v>189</v>
      </c>
      <c r="F814" t="s">
        <v>894</v>
      </c>
      <c r="G814" s="28"/>
      <c r="N814" s="28"/>
      <c r="O814" s="28"/>
      <c r="X814" s="40"/>
      <c r="Y814" s="40"/>
    </row>
    <row r="815" spans="5:25" x14ac:dyDescent="0.35">
      <c r="E815" t="s">
        <v>189</v>
      </c>
      <c r="F815" t="s">
        <v>354</v>
      </c>
      <c r="G815" s="28"/>
      <c r="N815" s="28"/>
      <c r="O815" s="28"/>
      <c r="X815" s="40"/>
      <c r="Y815" s="40"/>
    </row>
    <row r="816" spans="5:25" x14ac:dyDescent="0.35">
      <c r="E816" t="s">
        <v>189</v>
      </c>
      <c r="F816" t="s">
        <v>895</v>
      </c>
      <c r="G816" s="28"/>
      <c r="N816" s="28"/>
      <c r="O816" s="28"/>
      <c r="X816" s="40"/>
      <c r="Y816" s="40"/>
    </row>
    <row r="817" spans="5:25" x14ac:dyDescent="0.35">
      <c r="E817" t="s">
        <v>189</v>
      </c>
      <c r="F817" t="s">
        <v>674</v>
      </c>
      <c r="G817" s="28"/>
      <c r="N817" s="28"/>
      <c r="O817" s="28"/>
      <c r="X817" s="40"/>
      <c r="Y817" s="40"/>
    </row>
    <row r="818" spans="5:25" x14ac:dyDescent="0.35">
      <c r="E818" t="s">
        <v>189</v>
      </c>
      <c r="F818" t="s">
        <v>771</v>
      </c>
      <c r="G818" s="28"/>
      <c r="N818" s="28"/>
      <c r="O818" s="28"/>
      <c r="X818" s="40"/>
      <c r="Y818" s="40"/>
    </row>
    <row r="819" spans="5:25" x14ac:dyDescent="0.35">
      <c r="E819" t="s">
        <v>189</v>
      </c>
      <c r="F819" t="s">
        <v>896</v>
      </c>
      <c r="G819" s="28"/>
      <c r="N819" s="28"/>
      <c r="O819" s="28"/>
      <c r="X819" s="40"/>
      <c r="Y819" s="40"/>
    </row>
    <row r="820" spans="5:25" x14ac:dyDescent="0.35">
      <c r="E820" t="s">
        <v>189</v>
      </c>
      <c r="F820" t="s">
        <v>897</v>
      </c>
      <c r="G820" s="28"/>
      <c r="N820" s="28"/>
      <c r="O820" s="28"/>
      <c r="X820" s="40"/>
      <c r="Y820" s="40"/>
    </row>
    <row r="821" spans="5:25" x14ac:dyDescent="0.35">
      <c r="E821" t="s">
        <v>189</v>
      </c>
      <c r="F821" t="s">
        <v>358</v>
      </c>
      <c r="G821" s="28"/>
      <c r="N821" s="28"/>
      <c r="O821" s="28"/>
      <c r="X821" s="40"/>
      <c r="Y821" s="40"/>
    </row>
    <row r="822" spans="5:25" x14ac:dyDescent="0.35">
      <c r="E822" t="s">
        <v>189</v>
      </c>
      <c r="F822" t="s">
        <v>685</v>
      </c>
      <c r="G822" s="28"/>
      <c r="N822" s="28"/>
      <c r="O822" s="28"/>
      <c r="X822" s="40"/>
      <c r="Y822" s="40"/>
    </row>
    <row r="823" spans="5:25" x14ac:dyDescent="0.35">
      <c r="E823" t="s">
        <v>189</v>
      </c>
      <c r="F823" t="s">
        <v>898</v>
      </c>
      <c r="G823" s="28"/>
      <c r="N823" s="28"/>
      <c r="O823" s="28"/>
      <c r="X823" s="40"/>
      <c r="Y823" s="40"/>
    </row>
    <row r="824" spans="5:25" x14ac:dyDescent="0.35">
      <c r="E824" t="s">
        <v>189</v>
      </c>
      <c r="F824" t="s">
        <v>359</v>
      </c>
      <c r="G824" s="28"/>
      <c r="N824" s="28"/>
      <c r="O824" s="28"/>
      <c r="X824" s="40"/>
      <c r="Y824" s="40"/>
    </row>
    <row r="825" spans="5:25" x14ac:dyDescent="0.35">
      <c r="E825" t="s">
        <v>189</v>
      </c>
      <c r="F825" t="s">
        <v>416</v>
      </c>
      <c r="G825" s="28"/>
      <c r="N825" s="28"/>
      <c r="O825" s="28"/>
      <c r="X825" s="40"/>
      <c r="Y825" s="40"/>
    </row>
    <row r="826" spans="5:25" x14ac:dyDescent="0.35">
      <c r="E826" t="s">
        <v>189</v>
      </c>
      <c r="F826" t="s">
        <v>899</v>
      </c>
      <c r="G826" s="28"/>
      <c r="N826" s="28"/>
      <c r="O826" s="28"/>
      <c r="X826" s="40"/>
      <c r="Y826" s="40"/>
    </row>
    <row r="827" spans="5:25" x14ac:dyDescent="0.35">
      <c r="E827" t="s">
        <v>189</v>
      </c>
      <c r="F827" t="s">
        <v>418</v>
      </c>
      <c r="G827" s="28"/>
      <c r="N827" s="28"/>
      <c r="O827" s="28"/>
      <c r="X827" s="40"/>
      <c r="Y827" s="40"/>
    </row>
    <row r="828" spans="5:25" x14ac:dyDescent="0.35">
      <c r="E828" t="s">
        <v>189</v>
      </c>
      <c r="F828" t="s">
        <v>361</v>
      </c>
      <c r="G828" s="28"/>
      <c r="N828" s="28"/>
      <c r="O828" s="28"/>
      <c r="X828" s="40"/>
      <c r="Y828" s="40"/>
    </row>
    <row r="829" spans="5:25" x14ac:dyDescent="0.35">
      <c r="E829" t="s">
        <v>189</v>
      </c>
      <c r="F829" t="s">
        <v>610</v>
      </c>
      <c r="G829" s="28"/>
      <c r="N829" s="28"/>
      <c r="O829" s="28"/>
      <c r="X829" s="40"/>
      <c r="Y829" s="40"/>
    </row>
    <row r="830" spans="5:25" x14ac:dyDescent="0.35">
      <c r="E830" t="s">
        <v>189</v>
      </c>
      <c r="F830" t="s">
        <v>695</v>
      </c>
      <c r="G830" s="28"/>
      <c r="N830" s="28"/>
      <c r="O830" s="28"/>
      <c r="X830" s="40"/>
      <c r="Y830" s="40"/>
    </row>
    <row r="831" spans="5:25" x14ac:dyDescent="0.35">
      <c r="E831" t="s">
        <v>189</v>
      </c>
      <c r="F831" t="s">
        <v>779</v>
      </c>
      <c r="G831" s="28"/>
      <c r="N831" s="28"/>
      <c r="O831" s="28"/>
      <c r="X831" s="40"/>
      <c r="Y831" s="40"/>
    </row>
    <row r="832" spans="5:25" x14ac:dyDescent="0.35">
      <c r="E832" t="s">
        <v>189</v>
      </c>
      <c r="F832" t="s">
        <v>900</v>
      </c>
      <c r="G832" s="28"/>
      <c r="N832" s="28"/>
      <c r="O832" s="28"/>
      <c r="X832" s="40"/>
      <c r="Y832" s="40"/>
    </row>
    <row r="833" spans="5:25" x14ac:dyDescent="0.35">
      <c r="E833" t="s">
        <v>189</v>
      </c>
      <c r="F833" t="s">
        <v>363</v>
      </c>
      <c r="G833" s="28"/>
      <c r="N833" s="28"/>
      <c r="O833" s="28"/>
      <c r="X833" s="40"/>
      <c r="Y833" s="40"/>
    </row>
    <row r="834" spans="5:25" x14ac:dyDescent="0.35">
      <c r="E834" t="s">
        <v>189</v>
      </c>
      <c r="F834" t="s">
        <v>421</v>
      </c>
      <c r="G834" s="28"/>
      <c r="N834" s="28"/>
      <c r="O834" s="28"/>
      <c r="X834" s="40"/>
      <c r="Y834" s="40"/>
    </row>
    <row r="835" spans="5:25" x14ac:dyDescent="0.35">
      <c r="E835" t="s">
        <v>189</v>
      </c>
      <c r="F835" t="s">
        <v>901</v>
      </c>
      <c r="G835" s="28"/>
      <c r="N835" s="28"/>
      <c r="O835" s="28"/>
      <c r="X835" s="40"/>
      <c r="Y835" s="40"/>
    </row>
    <row r="836" spans="5:25" x14ac:dyDescent="0.35">
      <c r="E836" t="s">
        <v>189</v>
      </c>
      <c r="F836" t="s">
        <v>365</v>
      </c>
      <c r="G836" s="28"/>
      <c r="N836" s="28"/>
      <c r="O836" s="28"/>
      <c r="X836" s="40"/>
      <c r="Y836" s="40"/>
    </row>
    <row r="837" spans="5:25" x14ac:dyDescent="0.35">
      <c r="E837" t="s">
        <v>189</v>
      </c>
      <c r="F837" t="s">
        <v>701</v>
      </c>
      <c r="G837" s="28"/>
      <c r="N837" s="28"/>
      <c r="O837" s="28"/>
      <c r="X837" s="40"/>
      <c r="Y837" s="40"/>
    </row>
    <row r="838" spans="5:25" x14ac:dyDescent="0.35">
      <c r="E838" t="s">
        <v>189</v>
      </c>
      <c r="F838" t="s">
        <v>902</v>
      </c>
      <c r="G838" s="28"/>
      <c r="N838" s="28"/>
      <c r="O838" s="28"/>
      <c r="X838" s="40"/>
      <c r="Y838" s="40"/>
    </row>
    <row r="839" spans="5:25" x14ac:dyDescent="0.35">
      <c r="E839" t="s">
        <v>189</v>
      </c>
      <c r="F839" t="s">
        <v>366</v>
      </c>
      <c r="G839" s="28"/>
      <c r="N839" s="28"/>
      <c r="O839" s="28"/>
      <c r="X839" s="40"/>
      <c r="Y839" s="40"/>
    </row>
    <row r="840" spans="5:25" x14ac:dyDescent="0.35">
      <c r="E840" t="s">
        <v>189</v>
      </c>
      <c r="F840" t="s">
        <v>903</v>
      </c>
      <c r="G840" s="28"/>
      <c r="N840" s="28"/>
      <c r="O840" s="28"/>
      <c r="X840" s="40"/>
      <c r="Y840" s="40"/>
    </row>
    <row r="841" spans="5:25" x14ac:dyDescent="0.35">
      <c r="E841" t="s">
        <v>189</v>
      </c>
      <c r="F841" t="s">
        <v>424</v>
      </c>
      <c r="G841" s="28"/>
      <c r="N841" s="28"/>
      <c r="O841" s="28"/>
      <c r="X841" s="40"/>
      <c r="Y841" s="40"/>
    </row>
    <row r="842" spans="5:25" x14ac:dyDescent="0.35">
      <c r="E842" t="s">
        <v>189</v>
      </c>
      <c r="F842" t="s">
        <v>863</v>
      </c>
      <c r="G842" s="28"/>
      <c r="N842" s="28"/>
      <c r="O842" s="28"/>
      <c r="X842" s="40"/>
      <c r="Y842" s="40"/>
    </row>
    <row r="843" spans="5:25" x14ac:dyDescent="0.35">
      <c r="E843" t="s">
        <v>189</v>
      </c>
      <c r="F843" t="s">
        <v>904</v>
      </c>
      <c r="G843" s="28"/>
      <c r="N843" s="28"/>
      <c r="O843" s="28"/>
      <c r="X843" s="40"/>
      <c r="Y843" s="40"/>
    </row>
    <row r="844" spans="5:25" x14ac:dyDescent="0.35">
      <c r="E844" t="s">
        <v>189</v>
      </c>
      <c r="F844" t="s">
        <v>905</v>
      </c>
      <c r="G844" s="28"/>
      <c r="N844" s="28"/>
      <c r="O844" s="28"/>
      <c r="X844" s="40"/>
      <c r="Y844" s="40"/>
    </row>
    <row r="845" spans="5:25" x14ac:dyDescent="0.35">
      <c r="E845" t="s">
        <v>189</v>
      </c>
      <c r="F845" t="s">
        <v>906</v>
      </c>
      <c r="G845" s="28"/>
      <c r="N845" s="28"/>
      <c r="O845" s="28"/>
      <c r="X845" s="40"/>
      <c r="Y845" s="40"/>
    </row>
    <row r="846" spans="5:25" x14ac:dyDescent="0.35">
      <c r="E846" t="s">
        <v>189</v>
      </c>
      <c r="F846" t="s">
        <v>486</v>
      </c>
      <c r="G846" s="28"/>
      <c r="N846" s="28"/>
      <c r="O846" s="28"/>
      <c r="X846" s="40"/>
      <c r="Y846" s="40"/>
    </row>
    <row r="847" spans="5:25" x14ac:dyDescent="0.35">
      <c r="E847" t="s">
        <v>189</v>
      </c>
      <c r="F847" t="s">
        <v>369</v>
      </c>
      <c r="G847" s="28"/>
      <c r="N847" s="28"/>
      <c r="O847" s="28"/>
      <c r="X847" s="40"/>
      <c r="Y847" s="40"/>
    </row>
    <row r="848" spans="5:25" x14ac:dyDescent="0.35">
      <c r="E848" t="s">
        <v>189</v>
      </c>
      <c r="F848" t="s">
        <v>374</v>
      </c>
      <c r="G848" s="28"/>
      <c r="N848" s="28"/>
      <c r="O848" s="28"/>
      <c r="X848" s="40"/>
      <c r="Y848" s="40"/>
    </row>
    <row r="849" spans="5:25" x14ac:dyDescent="0.35">
      <c r="E849" t="s">
        <v>189</v>
      </c>
      <c r="F849" t="s">
        <v>376</v>
      </c>
      <c r="G849" s="28"/>
      <c r="N849" s="28"/>
      <c r="O849" s="28"/>
      <c r="X849" s="40"/>
      <c r="Y849" s="40"/>
    </row>
    <row r="850" spans="5:25" x14ac:dyDescent="0.35">
      <c r="E850" t="s">
        <v>189</v>
      </c>
      <c r="F850" t="s">
        <v>377</v>
      </c>
      <c r="G850" s="28"/>
      <c r="N850" s="28"/>
      <c r="O850" s="28"/>
      <c r="X850" s="40"/>
      <c r="Y850" s="40"/>
    </row>
    <row r="851" spans="5:25" x14ac:dyDescent="0.35">
      <c r="E851" t="s">
        <v>189</v>
      </c>
      <c r="F851" t="s">
        <v>622</v>
      </c>
      <c r="G851" s="28"/>
      <c r="N851" s="28"/>
      <c r="O851" s="28"/>
      <c r="X851" s="40"/>
      <c r="Y851" s="40"/>
    </row>
    <row r="852" spans="5:25" x14ac:dyDescent="0.35">
      <c r="E852" t="s">
        <v>189</v>
      </c>
      <c r="F852" t="s">
        <v>907</v>
      </c>
      <c r="G852" s="28"/>
      <c r="N852" s="28"/>
      <c r="O852" s="28"/>
      <c r="X852" s="40"/>
      <c r="Y852" s="40"/>
    </row>
    <row r="853" spans="5:25" x14ac:dyDescent="0.35">
      <c r="E853" t="s">
        <v>189</v>
      </c>
      <c r="F853" t="s">
        <v>379</v>
      </c>
      <c r="G853" s="28"/>
      <c r="N853" s="28"/>
      <c r="O853" s="28"/>
      <c r="X853" s="40"/>
      <c r="Y853" s="40"/>
    </row>
    <row r="854" spans="5:25" x14ac:dyDescent="0.35">
      <c r="E854" t="s">
        <v>189</v>
      </c>
      <c r="F854" t="s">
        <v>380</v>
      </c>
      <c r="G854" s="28"/>
      <c r="N854" s="28"/>
      <c r="O854" s="28"/>
      <c r="X854" s="40"/>
      <c r="Y854" s="40"/>
    </row>
    <row r="855" spans="5:25" x14ac:dyDescent="0.35">
      <c r="E855" t="s">
        <v>189</v>
      </c>
      <c r="F855" t="s">
        <v>381</v>
      </c>
      <c r="G855" s="28"/>
      <c r="N855" s="28"/>
      <c r="O855" s="28"/>
      <c r="X855" s="40"/>
      <c r="Y855" s="40"/>
    </row>
    <row r="856" spans="5:25" x14ac:dyDescent="0.35">
      <c r="E856" t="s">
        <v>189</v>
      </c>
      <c r="F856" t="s">
        <v>433</v>
      </c>
      <c r="G856" s="28"/>
      <c r="N856" s="28"/>
      <c r="O856" s="28"/>
      <c r="X856" s="40"/>
      <c r="Y856" s="40"/>
    </row>
    <row r="857" spans="5:25" x14ac:dyDescent="0.35">
      <c r="E857" t="s">
        <v>189</v>
      </c>
      <c r="F857" t="s">
        <v>908</v>
      </c>
      <c r="G857" s="28"/>
      <c r="N857" s="28"/>
      <c r="O857" s="28"/>
      <c r="X857" s="40"/>
      <c r="Y857" s="40"/>
    </row>
    <row r="858" spans="5:25" x14ac:dyDescent="0.35">
      <c r="E858" t="s">
        <v>189</v>
      </c>
      <c r="F858" t="s">
        <v>909</v>
      </c>
      <c r="G858" s="28"/>
      <c r="N858" s="28"/>
      <c r="O858" s="28"/>
      <c r="X858" s="40"/>
      <c r="Y858" s="40"/>
    </row>
    <row r="859" spans="5:25" x14ac:dyDescent="0.35">
      <c r="E859" t="s">
        <v>189</v>
      </c>
      <c r="F859" t="s">
        <v>498</v>
      </c>
      <c r="G859" s="28"/>
      <c r="N859" s="28"/>
      <c r="O859" s="28"/>
      <c r="X859" s="40"/>
      <c r="Y859" s="40"/>
    </row>
    <row r="860" spans="5:25" x14ac:dyDescent="0.35">
      <c r="E860" t="s">
        <v>189</v>
      </c>
      <c r="F860" t="s">
        <v>910</v>
      </c>
      <c r="G860" s="28"/>
      <c r="N860" s="28"/>
      <c r="O860" s="28"/>
      <c r="X860" s="40"/>
      <c r="Y860" s="40"/>
    </row>
    <row r="861" spans="5:25" x14ac:dyDescent="0.35">
      <c r="E861" t="s">
        <v>189</v>
      </c>
      <c r="F861" t="s">
        <v>911</v>
      </c>
      <c r="G861" s="28"/>
      <c r="N861" s="28"/>
      <c r="O861" s="28"/>
      <c r="X861" s="40"/>
      <c r="Y861" s="40"/>
    </row>
    <row r="862" spans="5:25" x14ac:dyDescent="0.35">
      <c r="E862" t="s">
        <v>189</v>
      </c>
      <c r="F862" t="s">
        <v>382</v>
      </c>
      <c r="G862" s="28"/>
      <c r="N862" s="28"/>
      <c r="O862" s="28"/>
      <c r="X862" s="40"/>
      <c r="Y862" s="40"/>
    </row>
    <row r="863" spans="5:25" x14ac:dyDescent="0.35">
      <c r="E863" t="s">
        <v>189</v>
      </c>
      <c r="F863" t="s">
        <v>384</v>
      </c>
      <c r="G863" s="28"/>
      <c r="N863" s="28"/>
      <c r="O863" s="28"/>
      <c r="X863" s="40"/>
      <c r="Y863" s="40"/>
    </row>
    <row r="864" spans="5:25" x14ac:dyDescent="0.35">
      <c r="E864" t="s">
        <v>189</v>
      </c>
      <c r="F864" t="s">
        <v>912</v>
      </c>
      <c r="G864" s="28"/>
      <c r="N864" s="28"/>
      <c r="O864" s="28"/>
      <c r="X864" s="40"/>
      <c r="Y864" s="40"/>
    </row>
    <row r="865" spans="5:25" x14ac:dyDescent="0.35">
      <c r="E865" t="s">
        <v>189</v>
      </c>
      <c r="F865" t="s">
        <v>913</v>
      </c>
      <c r="G865" s="28"/>
      <c r="N865" s="28"/>
      <c r="O865" s="28"/>
      <c r="X865" s="40"/>
      <c r="Y865" s="40"/>
    </row>
    <row r="866" spans="5:25" x14ac:dyDescent="0.35">
      <c r="E866" t="s">
        <v>189</v>
      </c>
      <c r="F866" t="s">
        <v>440</v>
      </c>
      <c r="G866" s="28"/>
      <c r="N866" s="28"/>
      <c r="O866" s="28"/>
      <c r="X866" s="40"/>
      <c r="Y866" s="40"/>
    </row>
    <row r="867" spans="5:25" x14ac:dyDescent="0.35">
      <c r="E867" t="s">
        <v>189</v>
      </c>
      <c r="F867" t="s">
        <v>631</v>
      </c>
      <c r="G867" s="28"/>
      <c r="N867" s="28"/>
      <c r="O867" s="28"/>
      <c r="X867" s="40"/>
      <c r="Y867" s="40"/>
    </row>
    <row r="868" spans="5:25" x14ac:dyDescent="0.35">
      <c r="E868" t="s">
        <v>189</v>
      </c>
      <c r="F868" t="s">
        <v>385</v>
      </c>
      <c r="G868" s="28"/>
      <c r="N868" s="28"/>
      <c r="O868" s="28"/>
      <c r="X868" s="40"/>
      <c r="Y868" s="40"/>
    </row>
    <row r="869" spans="5:25" x14ac:dyDescent="0.35">
      <c r="E869" t="s">
        <v>189</v>
      </c>
      <c r="F869" t="s">
        <v>914</v>
      </c>
      <c r="G869" s="28"/>
      <c r="N869" s="28"/>
      <c r="O869" s="28"/>
      <c r="X869" s="40"/>
      <c r="Y869" s="40"/>
    </row>
    <row r="870" spans="5:25" x14ac:dyDescent="0.35">
      <c r="E870" t="s">
        <v>189</v>
      </c>
      <c r="F870" t="s">
        <v>915</v>
      </c>
      <c r="G870" s="28"/>
      <c r="N870" s="28"/>
      <c r="O870" s="28"/>
      <c r="X870" s="40"/>
      <c r="Y870" s="40"/>
    </row>
    <row r="871" spans="5:25" x14ac:dyDescent="0.35">
      <c r="E871" t="s">
        <v>189</v>
      </c>
      <c r="F871" t="s">
        <v>443</v>
      </c>
      <c r="G871" s="28"/>
      <c r="N871" s="28"/>
      <c r="O871" s="28"/>
      <c r="X871" s="40"/>
      <c r="Y871" s="40"/>
    </row>
    <row r="872" spans="5:25" x14ac:dyDescent="0.35">
      <c r="E872" t="s">
        <v>189</v>
      </c>
      <c r="F872" t="s">
        <v>388</v>
      </c>
      <c r="G872" s="28"/>
      <c r="N872" s="28"/>
      <c r="O872" s="28"/>
      <c r="X872" s="40"/>
      <c r="Y872" s="40"/>
    </row>
    <row r="873" spans="5:25" x14ac:dyDescent="0.35">
      <c r="E873" t="s">
        <v>189</v>
      </c>
      <c r="F873" t="s">
        <v>916</v>
      </c>
      <c r="G873" s="28"/>
      <c r="N873" s="28"/>
      <c r="O873" s="28"/>
      <c r="X873" s="40"/>
      <c r="Y873" s="40"/>
    </row>
    <row r="874" spans="5:25" x14ac:dyDescent="0.35">
      <c r="E874" t="s">
        <v>189</v>
      </c>
      <c r="F874" t="s">
        <v>917</v>
      </c>
      <c r="G874" s="28"/>
      <c r="N874" s="28"/>
      <c r="O874" s="28"/>
      <c r="X874" s="40"/>
      <c r="Y874" s="40"/>
    </row>
    <row r="875" spans="5:25" x14ac:dyDescent="0.35">
      <c r="E875" t="s">
        <v>189</v>
      </c>
      <c r="F875" t="s">
        <v>918</v>
      </c>
      <c r="G875" s="28"/>
      <c r="N875" s="28"/>
      <c r="O875" s="28"/>
      <c r="X875" s="40"/>
      <c r="Y875" s="40"/>
    </row>
    <row r="876" spans="5:25" x14ac:dyDescent="0.35">
      <c r="E876" t="s">
        <v>189</v>
      </c>
      <c r="F876" t="s">
        <v>919</v>
      </c>
      <c r="G876" s="28"/>
      <c r="N876" s="28"/>
      <c r="O876" s="28"/>
      <c r="X876" s="40"/>
      <c r="Y876" s="40"/>
    </row>
    <row r="877" spans="5:25" x14ac:dyDescent="0.35">
      <c r="E877" t="s">
        <v>189</v>
      </c>
      <c r="F877" t="s">
        <v>920</v>
      </c>
      <c r="G877" s="28"/>
      <c r="N877" s="28"/>
      <c r="O877" s="28"/>
      <c r="X877" s="40"/>
      <c r="Y877" s="40"/>
    </row>
    <row r="878" spans="5:25" x14ac:dyDescent="0.35">
      <c r="E878" t="s">
        <v>189</v>
      </c>
      <c r="F878" t="s">
        <v>921</v>
      </c>
      <c r="G878" s="28"/>
      <c r="N878" s="28"/>
      <c r="O878" s="28"/>
      <c r="X878" s="40"/>
      <c r="Y878" s="40"/>
    </row>
    <row r="879" spans="5:25" x14ac:dyDescent="0.35">
      <c r="E879" t="s">
        <v>189</v>
      </c>
      <c r="F879" t="s">
        <v>922</v>
      </c>
      <c r="G879" s="28"/>
      <c r="N879" s="28"/>
      <c r="O879" s="28"/>
      <c r="X879" s="40"/>
      <c r="Y879" s="40"/>
    </row>
    <row r="880" spans="5:25" x14ac:dyDescent="0.35">
      <c r="E880" t="s">
        <v>189</v>
      </c>
      <c r="F880" t="s">
        <v>923</v>
      </c>
      <c r="G880" s="28"/>
      <c r="N880" s="28"/>
      <c r="O880" s="28"/>
      <c r="X880" s="40"/>
      <c r="Y880" s="40"/>
    </row>
    <row r="881" spans="5:25" x14ac:dyDescent="0.35">
      <c r="E881" t="s">
        <v>189</v>
      </c>
      <c r="F881" t="s">
        <v>449</v>
      </c>
      <c r="G881" s="28"/>
      <c r="N881" s="28"/>
      <c r="O881" s="28"/>
      <c r="X881" s="40"/>
      <c r="Y881" s="40"/>
    </row>
    <row r="882" spans="5:25" x14ac:dyDescent="0.35">
      <c r="E882" t="s">
        <v>189</v>
      </c>
      <c r="F882" t="s">
        <v>924</v>
      </c>
      <c r="G882" s="28"/>
      <c r="N882" s="28"/>
      <c r="O882" s="28"/>
      <c r="X882" s="40"/>
      <c r="Y882" s="40"/>
    </row>
    <row r="883" spans="5:25" x14ac:dyDescent="0.35">
      <c r="E883" t="s">
        <v>189</v>
      </c>
      <c r="F883" t="s">
        <v>925</v>
      </c>
      <c r="G883" s="28"/>
      <c r="N883" s="28"/>
      <c r="O883" s="28"/>
      <c r="X883" s="40"/>
      <c r="Y883" s="40"/>
    </row>
    <row r="884" spans="5:25" x14ac:dyDescent="0.35">
      <c r="E884" t="s">
        <v>189</v>
      </c>
      <c r="F884" t="s">
        <v>926</v>
      </c>
      <c r="G884" s="28"/>
      <c r="N884" s="28"/>
      <c r="O884" s="28"/>
      <c r="X884" s="40"/>
      <c r="Y884" s="40"/>
    </row>
    <row r="885" spans="5:25" x14ac:dyDescent="0.35">
      <c r="E885" t="s">
        <v>189</v>
      </c>
      <c r="F885" t="s">
        <v>886</v>
      </c>
      <c r="G885" s="28"/>
      <c r="N885" s="28"/>
      <c r="O885" s="28"/>
      <c r="X885" s="40"/>
      <c r="Y885" s="40"/>
    </row>
    <row r="886" spans="5:25" x14ac:dyDescent="0.35">
      <c r="E886" t="s">
        <v>189</v>
      </c>
      <c r="F886" t="s">
        <v>744</v>
      </c>
      <c r="G886" s="28"/>
      <c r="N886" s="28"/>
      <c r="O886" s="28"/>
      <c r="X886" s="40"/>
      <c r="Y886" s="40"/>
    </row>
    <row r="887" spans="5:25" x14ac:dyDescent="0.35">
      <c r="E887" t="s">
        <v>189</v>
      </c>
      <c r="F887" t="s">
        <v>927</v>
      </c>
      <c r="G887" s="28"/>
      <c r="N887" s="28"/>
      <c r="O887" s="28"/>
      <c r="X887" s="40"/>
      <c r="Y887" s="40"/>
    </row>
    <row r="888" spans="5:25" x14ac:dyDescent="0.35">
      <c r="E888" t="s">
        <v>189</v>
      </c>
      <c r="F888" t="s">
        <v>394</v>
      </c>
      <c r="G888" s="28"/>
      <c r="N888" s="28"/>
      <c r="O888" s="28"/>
      <c r="X888" s="40"/>
      <c r="Y888" s="40"/>
    </row>
    <row r="889" spans="5:25" x14ac:dyDescent="0.35">
      <c r="E889" t="s">
        <v>189</v>
      </c>
      <c r="F889" t="s">
        <v>745</v>
      </c>
      <c r="G889" s="28"/>
      <c r="N889" s="28"/>
      <c r="O889" s="28"/>
      <c r="X889" s="40"/>
      <c r="Y889" s="40"/>
    </row>
    <row r="890" spans="5:25" x14ac:dyDescent="0.35">
      <c r="E890" t="s">
        <v>189</v>
      </c>
      <c r="F890" t="s">
        <v>928</v>
      </c>
      <c r="G890" s="28"/>
      <c r="N890" s="28"/>
      <c r="O890" s="28"/>
      <c r="X890" s="40"/>
      <c r="Y890" s="40"/>
    </row>
    <row r="891" spans="5:25" x14ac:dyDescent="0.35">
      <c r="E891" t="s">
        <v>189</v>
      </c>
      <c r="F891" t="s">
        <v>451</v>
      </c>
      <c r="G891" s="28"/>
      <c r="N891" s="28"/>
      <c r="O891" s="28"/>
      <c r="X891" s="40"/>
      <c r="Y891" s="40"/>
    </row>
    <row r="892" spans="5:25" x14ac:dyDescent="0.35">
      <c r="E892" t="s">
        <v>189</v>
      </c>
      <c r="F892" t="s">
        <v>929</v>
      </c>
      <c r="G892" s="28"/>
      <c r="N892" s="28"/>
      <c r="O892" s="28"/>
      <c r="X892" s="40"/>
      <c r="Y892" s="40"/>
    </row>
    <row r="893" spans="5:25" x14ac:dyDescent="0.35">
      <c r="E893" t="s">
        <v>190</v>
      </c>
      <c r="F893" t="s">
        <v>891</v>
      </c>
      <c r="G893" s="28"/>
      <c r="N893" s="28"/>
      <c r="O893" s="28"/>
      <c r="X893" s="40"/>
      <c r="Y893" s="40"/>
    </row>
    <row r="894" spans="5:25" x14ac:dyDescent="0.35">
      <c r="E894" t="s">
        <v>190</v>
      </c>
      <c r="F894" t="s">
        <v>930</v>
      </c>
      <c r="G894" s="28"/>
      <c r="N894" s="28"/>
      <c r="O894" s="28"/>
      <c r="X894" s="40"/>
      <c r="Y894" s="40"/>
    </row>
    <row r="895" spans="5:25" x14ac:dyDescent="0.35">
      <c r="E895" t="s">
        <v>190</v>
      </c>
      <c r="F895" t="s">
        <v>931</v>
      </c>
      <c r="G895" s="28"/>
      <c r="N895" s="28"/>
      <c r="O895" s="28"/>
      <c r="X895" s="40"/>
      <c r="Y895" s="40"/>
    </row>
    <row r="896" spans="5:25" x14ac:dyDescent="0.35">
      <c r="E896" t="s">
        <v>190</v>
      </c>
      <c r="F896" t="s">
        <v>932</v>
      </c>
      <c r="G896" s="28"/>
      <c r="N896" s="28"/>
      <c r="O896" s="28"/>
      <c r="X896" s="40"/>
      <c r="Y896" s="40"/>
    </row>
    <row r="897" spans="5:25" x14ac:dyDescent="0.35">
      <c r="E897" t="s">
        <v>190</v>
      </c>
      <c r="F897" t="s">
        <v>933</v>
      </c>
      <c r="G897" s="28"/>
      <c r="N897" s="28"/>
      <c r="O897" s="28"/>
      <c r="X897" s="40"/>
      <c r="Y897" s="40"/>
    </row>
    <row r="898" spans="5:25" x14ac:dyDescent="0.35">
      <c r="E898" t="s">
        <v>190</v>
      </c>
      <c r="F898" t="s">
        <v>934</v>
      </c>
      <c r="G898" s="28"/>
      <c r="N898" s="28"/>
      <c r="O898" s="28"/>
      <c r="X898" s="40"/>
      <c r="Y898" s="40"/>
    </row>
    <row r="899" spans="5:25" x14ac:dyDescent="0.35">
      <c r="E899" t="s">
        <v>190</v>
      </c>
      <c r="F899" t="s">
        <v>844</v>
      </c>
      <c r="G899" s="28"/>
      <c r="N899" s="28"/>
      <c r="O899" s="28"/>
      <c r="X899" s="40"/>
      <c r="Y899" s="40"/>
    </row>
    <row r="900" spans="5:25" x14ac:dyDescent="0.35">
      <c r="E900" t="s">
        <v>190</v>
      </c>
      <c r="F900" t="s">
        <v>336</v>
      </c>
      <c r="G900" s="28"/>
      <c r="N900" s="28"/>
      <c r="O900" s="28"/>
      <c r="X900" s="40"/>
      <c r="Y900" s="40"/>
    </row>
    <row r="901" spans="5:25" x14ac:dyDescent="0.35">
      <c r="E901" t="s">
        <v>190</v>
      </c>
      <c r="F901" t="s">
        <v>935</v>
      </c>
      <c r="G901" s="28"/>
      <c r="N901" s="28"/>
      <c r="O901" s="28"/>
      <c r="X901" s="40"/>
      <c r="Y901" s="40"/>
    </row>
    <row r="902" spans="5:25" x14ac:dyDescent="0.35">
      <c r="E902" t="s">
        <v>190</v>
      </c>
      <c r="F902" t="s">
        <v>936</v>
      </c>
      <c r="G902" s="28"/>
      <c r="N902" s="28"/>
      <c r="O902" s="28"/>
      <c r="X902" s="40"/>
      <c r="Y902" s="40"/>
    </row>
    <row r="903" spans="5:25" x14ac:dyDescent="0.35">
      <c r="E903" t="s">
        <v>190</v>
      </c>
      <c r="F903" t="s">
        <v>339</v>
      </c>
      <c r="G903" s="28"/>
      <c r="N903" s="28"/>
      <c r="O903" s="28"/>
      <c r="X903" s="40"/>
      <c r="Y903" s="40"/>
    </row>
    <row r="904" spans="5:25" x14ac:dyDescent="0.35">
      <c r="E904" t="s">
        <v>190</v>
      </c>
      <c r="F904" t="s">
        <v>535</v>
      </c>
      <c r="G904" s="28"/>
      <c r="N904" s="28"/>
      <c r="O904" s="28"/>
      <c r="X904" s="40"/>
      <c r="Y904" s="40"/>
    </row>
    <row r="905" spans="5:25" x14ac:dyDescent="0.35">
      <c r="E905" t="s">
        <v>190</v>
      </c>
      <c r="F905" t="s">
        <v>405</v>
      </c>
      <c r="G905" s="28"/>
      <c r="N905" s="28"/>
      <c r="O905" s="28"/>
      <c r="X905" s="40"/>
      <c r="Y905" s="40"/>
    </row>
    <row r="906" spans="5:25" x14ac:dyDescent="0.35">
      <c r="E906" t="s">
        <v>190</v>
      </c>
      <c r="F906" t="s">
        <v>343</v>
      </c>
      <c r="G906" s="28"/>
      <c r="N906" s="28"/>
      <c r="O906" s="28"/>
      <c r="X906" s="40"/>
      <c r="Y906" s="40"/>
    </row>
    <row r="907" spans="5:25" x14ac:dyDescent="0.35">
      <c r="E907" t="s">
        <v>190</v>
      </c>
      <c r="F907" t="s">
        <v>937</v>
      </c>
      <c r="G907" s="28"/>
      <c r="N907" s="28"/>
      <c r="O907" s="28"/>
      <c r="X907" s="40"/>
      <c r="Y907" s="40"/>
    </row>
    <row r="908" spans="5:25" x14ac:dyDescent="0.35">
      <c r="E908" t="s">
        <v>190</v>
      </c>
      <c r="F908" t="s">
        <v>938</v>
      </c>
      <c r="G908" s="28"/>
      <c r="N908" s="28"/>
      <c r="O908" s="28"/>
      <c r="X908" s="40"/>
      <c r="Y908" s="40"/>
    </row>
    <row r="909" spans="5:25" x14ac:dyDescent="0.35">
      <c r="E909" t="s">
        <v>190</v>
      </c>
      <c r="F909" t="s">
        <v>939</v>
      </c>
      <c r="G909" s="28"/>
      <c r="N909" s="28"/>
      <c r="O909" s="28"/>
      <c r="X909" s="40"/>
      <c r="Y909" s="40"/>
    </row>
    <row r="910" spans="5:25" x14ac:dyDescent="0.35">
      <c r="E910" t="s">
        <v>190</v>
      </c>
      <c r="F910" t="s">
        <v>940</v>
      </c>
      <c r="G910" s="28"/>
      <c r="N910" s="28"/>
      <c r="O910" s="28"/>
      <c r="X910" s="40"/>
      <c r="Y910" s="40"/>
    </row>
    <row r="911" spans="5:25" x14ac:dyDescent="0.35">
      <c r="E911" t="s">
        <v>190</v>
      </c>
      <c r="F911" t="s">
        <v>410</v>
      </c>
      <c r="G911" s="28"/>
      <c r="N911" s="28"/>
      <c r="O911" s="28"/>
      <c r="X911" s="40"/>
      <c r="Y911" s="40"/>
    </row>
    <row r="912" spans="5:25" x14ac:dyDescent="0.35">
      <c r="E912" t="s">
        <v>190</v>
      </c>
      <c r="F912" t="s">
        <v>674</v>
      </c>
      <c r="G912" s="28"/>
      <c r="N912" s="28"/>
      <c r="O912" s="28"/>
      <c r="X912" s="40"/>
      <c r="Y912" s="40"/>
    </row>
    <row r="913" spans="5:25" x14ac:dyDescent="0.35">
      <c r="E913" t="s">
        <v>190</v>
      </c>
      <c r="F913" t="s">
        <v>773</v>
      </c>
      <c r="G913" s="28"/>
      <c r="N913" s="28"/>
      <c r="O913" s="28"/>
      <c r="X913" s="40"/>
      <c r="Y913" s="40"/>
    </row>
    <row r="914" spans="5:25" x14ac:dyDescent="0.35">
      <c r="E914" t="s">
        <v>190</v>
      </c>
      <c r="F914" t="s">
        <v>941</v>
      </c>
      <c r="G914" s="28"/>
      <c r="N914" s="28"/>
      <c r="O914" s="28"/>
      <c r="X914" s="40"/>
      <c r="Y914" s="40"/>
    </row>
    <row r="915" spans="5:25" x14ac:dyDescent="0.35">
      <c r="E915" t="s">
        <v>190</v>
      </c>
      <c r="F915" t="s">
        <v>544</v>
      </c>
      <c r="G915" s="28"/>
      <c r="N915" s="28"/>
      <c r="O915" s="28"/>
      <c r="X915" s="40"/>
      <c r="Y915" s="40"/>
    </row>
    <row r="916" spans="5:25" x14ac:dyDescent="0.35">
      <c r="E916" t="s">
        <v>190</v>
      </c>
      <c r="F916" t="s">
        <v>853</v>
      </c>
      <c r="G916" s="28"/>
      <c r="N916" s="28"/>
      <c r="O916" s="28"/>
      <c r="X916" s="40"/>
      <c r="Y916" s="40"/>
    </row>
    <row r="917" spans="5:25" x14ac:dyDescent="0.35">
      <c r="E917" t="s">
        <v>190</v>
      </c>
      <c r="F917" t="s">
        <v>942</v>
      </c>
      <c r="G917" s="28"/>
      <c r="N917" s="28"/>
      <c r="O917" s="28"/>
      <c r="X917" s="40"/>
      <c r="Y917" s="40"/>
    </row>
    <row r="918" spans="5:25" x14ac:dyDescent="0.35">
      <c r="E918" t="s">
        <v>190</v>
      </c>
      <c r="F918" t="s">
        <v>943</v>
      </c>
      <c r="G918" s="28"/>
      <c r="N918" s="28"/>
      <c r="O918" s="28"/>
      <c r="X918" s="40"/>
      <c r="Y918" s="40"/>
    </row>
    <row r="919" spans="5:25" x14ac:dyDescent="0.35">
      <c r="E919" t="s">
        <v>190</v>
      </c>
      <c r="F919" t="s">
        <v>944</v>
      </c>
      <c r="G919" s="28"/>
      <c r="N919" s="28"/>
      <c r="O919" s="28"/>
      <c r="X919" s="40"/>
      <c r="Y919" s="40"/>
    </row>
    <row r="920" spans="5:25" x14ac:dyDescent="0.35">
      <c r="E920" t="s">
        <v>190</v>
      </c>
      <c r="F920" t="s">
        <v>945</v>
      </c>
      <c r="G920" s="28"/>
      <c r="N920" s="28"/>
      <c r="O920" s="28"/>
      <c r="X920" s="40"/>
      <c r="Y920" s="40"/>
    </row>
    <row r="921" spans="5:25" x14ac:dyDescent="0.35">
      <c r="E921" t="s">
        <v>190</v>
      </c>
      <c r="F921" t="s">
        <v>854</v>
      </c>
      <c r="G921" s="28"/>
      <c r="N921" s="28"/>
      <c r="O921" s="28"/>
      <c r="X921" s="40"/>
      <c r="Y921" s="40"/>
    </row>
    <row r="922" spans="5:25" x14ac:dyDescent="0.35">
      <c r="E922" t="s">
        <v>190</v>
      </c>
      <c r="F922" t="s">
        <v>359</v>
      </c>
      <c r="G922" s="28"/>
      <c r="N922" s="28"/>
      <c r="O922" s="28"/>
      <c r="X922" s="40"/>
      <c r="Y922" s="40"/>
    </row>
    <row r="923" spans="5:25" x14ac:dyDescent="0.35">
      <c r="E923" t="s">
        <v>190</v>
      </c>
      <c r="F923" t="s">
        <v>946</v>
      </c>
      <c r="G923" s="28"/>
      <c r="N923" s="28"/>
      <c r="O923" s="28"/>
      <c r="X923" s="40"/>
      <c r="Y923" s="40"/>
    </row>
    <row r="924" spans="5:25" x14ac:dyDescent="0.35">
      <c r="E924" t="s">
        <v>190</v>
      </c>
      <c r="F924" t="s">
        <v>947</v>
      </c>
      <c r="G924" s="28"/>
      <c r="N924" s="28"/>
      <c r="O924" s="28"/>
      <c r="X924" s="40"/>
      <c r="Y924" s="40"/>
    </row>
    <row r="925" spans="5:25" x14ac:dyDescent="0.35">
      <c r="E925" t="s">
        <v>190</v>
      </c>
      <c r="F925" t="s">
        <v>459</v>
      </c>
      <c r="G925" s="28"/>
      <c r="N925" s="28"/>
      <c r="O925" s="28"/>
      <c r="X925" s="40"/>
      <c r="Y925" s="40"/>
    </row>
    <row r="926" spans="5:25" x14ac:dyDescent="0.35">
      <c r="E926" t="s">
        <v>190</v>
      </c>
      <c r="F926" t="s">
        <v>418</v>
      </c>
      <c r="G926" s="28"/>
      <c r="N926" s="28"/>
      <c r="O926" s="28"/>
      <c r="X926" s="40"/>
      <c r="Y926" s="40"/>
    </row>
    <row r="927" spans="5:25" x14ac:dyDescent="0.35">
      <c r="E927" t="s">
        <v>190</v>
      </c>
      <c r="F927" t="s">
        <v>948</v>
      </c>
      <c r="G927" s="28"/>
      <c r="N927" s="28"/>
      <c r="O927" s="28"/>
      <c r="X927" s="40"/>
      <c r="Y927" s="40"/>
    </row>
    <row r="928" spans="5:25" x14ac:dyDescent="0.35">
      <c r="E928" t="s">
        <v>190</v>
      </c>
      <c r="F928" t="s">
        <v>949</v>
      </c>
      <c r="G928" s="28"/>
      <c r="N928" s="28"/>
      <c r="O928" s="28"/>
      <c r="X928" s="40"/>
      <c r="Y928" s="40"/>
    </row>
    <row r="929" spans="5:25" x14ac:dyDescent="0.35">
      <c r="E929" t="s">
        <v>190</v>
      </c>
      <c r="F929" t="s">
        <v>950</v>
      </c>
      <c r="G929" s="28"/>
      <c r="N929" s="28"/>
      <c r="O929" s="28"/>
      <c r="X929" s="40"/>
      <c r="Y929" s="40"/>
    </row>
    <row r="930" spans="5:25" x14ac:dyDescent="0.35">
      <c r="E930" t="s">
        <v>190</v>
      </c>
      <c r="F930" t="s">
        <v>610</v>
      </c>
      <c r="G930" s="28"/>
      <c r="N930" s="28"/>
      <c r="O930" s="28"/>
      <c r="X930" s="40"/>
      <c r="Y930" s="40"/>
    </row>
    <row r="931" spans="5:25" x14ac:dyDescent="0.35">
      <c r="E931" t="s">
        <v>190</v>
      </c>
      <c r="F931" t="s">
        <v>951</v>
      </c>
      <c r="G931" s="28"/>
      <c r="N931" s="28"/>
      <c r="O931" s="28"/>
      <c r="X931" s="40"/>
      <c r="Y931" s="40"/>
    </row>
    <row r="932" spans="5:25" x14ac:dyDescent="0.35">
      <c r="E932" t="s">
        <v>190</v>
      </c>
      <c r="F932" t="s">
        <v>952</v>
      </c>
      <c r="G932" s="28"/>
      <c r="N932" s="28"/>
      <c r="O932" s="28"/>
      <c r="X932" s="40"/>
      <c r="Y932" s="40"/>
    </row>
    <row r="933" spans="5:25" x14ac:dyDescent="0.35">
      <c r="E933" t="s">
        <v>190</v>
      </c>
      <c r="F933" t="s">
        <v>953</v>
      </c>
      <c r="G933" s="28"/>
      <c r="N933" s="28"/>
      <c r="O933" s="28"/>
      <c r="X933" s="40"/>
      <c r="Y933" s="40"/>
    </row>
    <row r="934" spans="5:25" x14ac:dyDescent="0.35">
      <c r="E934" t="s">
        <v>190</v>
      </c>
      <c r="F934" t="s">
        <v>954</v>
      </c>
      <c r="G934" s="28"/>
      <c r="N934" s="28"/>
      <c r="O934" s="28"/>
      <c r="X934" s="40"/>
      <c r="Y934" s="40"/>
    </row>
    <row r="935" spans="5:25" x14ac:dyDescent="0.35">
      <c r="E935" t="s">
        <v>190</v>
      </c>
      <c r="F935" t="s">
        <v>365</v>
      </c>
      <c r="G935" s="28"/>
      <c r="N935" s="28"/>
      <c r="O935" s="28"/>
      <c r="X935" s="40"/>
      <c r="Y935" s="40"/>
    </row>
    <row r="936" spans="5:25" x14ac:dyDescent="0.35">
      <c r="E936" t="s">
        <v>190</v>
      </c>
      <c r="F936" t="s">
        <v>366</v>
      </c>
      <c r="G936" s="28"/>
      <c r="N936" s="28"/>
      <c r="O936" s="28"/>
      <c r="X936" s="40"/>
      <c r="Y936" s="40"/>
    </row>
    <row r="937" spans="5:25" x14ac:dyDescent="0.35">
      <c r="E937" t="s">
        <v>190</v>
      </c>
      <c r="F937" t="s">
        <v>955</v>
      </c>
      <c r="G937" s="28"/>
      <c r="N937" s="28"/>
      <c r="O937" s="28"/>
      <c r="X937" s="40"/>
      <c r="Y937" s="40"/>
    </row>
    <row r="938" spans="5:25" x14ac:dyDescent="0.35">
      <c r="E938" t="s">
        <v>190</v>
      </c>
      <c r="F938" t="s">
        <v>424</v>
      </c>
      <c r="G938" s="28"/>
      <c r="N938" s="28"/>
      <c r="O938" s="28"/>
      <c r="X938" s="40"/>
      <c r="Y938" s="40"/>
    </row>
    <row r="939" spans="5:25" x14ac:dyDescent="0.35">
      <c r="E939" t="s">
        <v>190</v>
      </c>
      <c r="F939" t="s">
        <v>956</v>
      </c>
      <c r="G939" s="28"/>
      <c r="N939" s="28"/>
      <c r="O939" s="28"/>
      <c r="X939" s="40"/>
      <c r="Y939" s="40"/>
    </row>
    <row r="940" spans="5:25" x14ac:dyDescent="0.35">
      <c r="E940" t="s">
        <v>190</v>
      </c>
      <c r="F940" t="s">
        <v>957</v>
      </c>
      <c r="G940" s="28"/>
      <c r="N940" s="28"/>
      <c r="O940" s="28"/>
      <c r="X940" s="40"/>
      <c r="Y940" s="40"/>
    </row>
    <row r="941" spans="5:25" x14ac:dyDescent="0.35">
      <c r="E941" t="s">
        <v>190</v>
      </c>
      <c r="F941" t="s">
        <v>555</v>
      </c>
      <c r="G941" s="28"/>
      <c r="N941" s="28"/>
      <c r="O941" s="28"/>
      <c r="X941" s="40"/>
      <c r="Y941" s="40"/>
    </row>
    <row r="942" spans="5:25" x14ac:dyDescent="0.35">
      <c r="E942" t="s">
        <v>190</v>
      </c>
      <c r="F942" t="s">
        <v>958</v>
      </c>
      <c r="G942" s="28"/>
      <c r="N942" s="28"/>
      <c r="O942" s="28"/>
      <c r="X942" s="40"/>
      <c r="Y942" s="40"/>
    </row>
    <row r="943" spans="5:25" x14ac:dyDescent="0.35">
      <c r="E943" t="s">
        <v>190</v>
      </c>
      <c r="F943" t="s">
        <v>959</v>
      </c>
      <c r="G943" s="28"/>
      <c r="N943" s="28"/>
      <c r="O943" s="28"/>
      <c r="X943" s="40"/>
      <c r="Y943" s="40"/>
    </row>
    <row r="944" spans="5:25" x14ac:dyDescent="0.35">
      <c r="E944" t="s">
        <v>190</v>
      </c>
      <c r="F944" t="s">
        <v>960</v>
      </c>
      <c r="G944" s="28"/>
      <c r="N944" s="28"/>
      <c r="O944" s="28"/>
      <c r="X944" s="40"/>
      <c r="Y944" s="40"/>
    </row>
    <row r="945" spans="5:25" x14ac:dyDescent="0.35">
      <c r="E945" t="s">
        <v>190</v>
      </c>
      <c r="F945" t="s">
        <v>426</v>
      </c>
      <c r="G945" s="28"/>
      <c r="N945" s="28"/>
      <c r="O945" s="28"/>
      <c r="X945" s="40"/>
      <c r="Y945" s="40"/>
    </row>
    <row r="946" spans="5:25" x14ac:dyDescent="0.35">
      <c r="E946" t="s">
        <v>190</v>
      </c>
      <c r="F946" t="s">
        <v>784</v>
      </c>
      <c r="G946" s="28"/>
      <c r="N946" s="28"/>
      <c r="O946" s="28"/>
      <c r="X946" s="40"/>
      <c r="Y946" s="40"/>
    </row>
    <row r="947" spans="5:25" x14ac:dyDescent="0.35">
      <c r="E947" t="s">
        <v>190</v>
      </c>
      <c r="F947" t="s">
        <v>428</v>
      </c>
      <c r="G947" s="28"/>
      <c r="N947" s="28"/>
      <c r="O947" s="28"/>
      <c r="X947" s="40"/>
      <c r="Y947" s="40"/>
    </row>
    <row r="948" spans="5:25" x14ac:dyDescent="0.35">
      <c r="E948" t="s">
        <v>190</v>
      </c>
      <c r="F948" t="s">
        <v>787</v>
      </c>
      <c r="G948" s="28"/>
      <c r="N948" s="28"/>
      <c r="O948" s="28"/>
      <c r="X948" s="40"/>
      <c r="Y948" s="40"/>
    </row>
    <row r="949" spans="5:25" x14ac:dyDescent="0.35">
      <c r="E949" t="s">
        <v>190</v>
      </c>
      <c r="F949" t="s">
        <v>376</v>
      </c>
      <c r="G949" s="28"/>
      <c r="N949" s="28"/>
      <c r="O949" s="28"/>
      <c r="X949" s="40"/>
      <c r="Y949" s="40"/>
    </row>
    <row r="950" spans="5:25" x14ac:dyDescent="0.35">
      <c r="E950" t="s">
        <v>190</v>
      </c>
      <c r="F950" t="s">
        <v>377</v>
      </c>
      <c r="G950" s="28"/>
      <c r="N950" s="28"/>
      <c r="O950" s="28"/>
      <c r="X950" s="40"/>
      <c r="Y950" s="40"/>
    </row>
    <row r="951" spans="5:25" x14ac:dyDescent="0.35">
      <c r="E951" t="s">
        <v>190</v>
      </c>
      <c r="F951" t="s">
        <v>961</v>
      </c>
      <c r="G951" s="28"/>
      <c r="N951" s="28"/>
      <c r="O951" s="28"/>
      <c r="X951" s="40"/>
      <c r="Y951" s="40"/>
    </row>
    <row r="952" spans="5:25" x14ac:dyDescent="0.35">
      <c r="E952" t="s">
        <v>190</v>
      </c>
      <c r="F952" t="s">
        <v>962</v>
      </c>
      <c r="G952" s="28"/>
      <c r="N952" s="28"/>
      <c r="O952" s="28"/>
      <c r="X952" s="40"/>
      <c r="Y952" s="40"/>
    </row>
    <row r="953" spans="5:25" x14ac:dyDescent="0.35">
      <c r="E953" t="s">
        <v>190</v>
      </c>
      <c r="F953" t="s">
        <v>907</v>
      </c>
      <c r="G953" s="28"/>
      <c r="N953" s="28"/>
      <c r="O953" s="28"/>
      <c r="X953" s="40"/>
      <c r="Y953" s="40"/>
    </row>
    <row r="954" spans="5:25" x14ac:dyDescent="0.35">
      <c r="E954" t="s">
        <v>190</v>
      </c>
      <c r="F954" t="s">
        <v>712</v>
      </c>
      <c r="G954" s="28"/>
      <c r="N954" s="28"/>
      <c r="O954" s="28"/>
      <c r="X954" s="40"/>
      <c r="Y954" s="40"/>
    </row>
    <row r="955" spans="5:25" x14ac:dyDescent="0.35">
      <c r="E955" t="s">
        <v>190</v>
      </c>
      <c r="F955" t="s">
        <v>380</v>
      </c>
      <c r="G955" s="28"/>
      <c r="N955" s="28"/>
      <c r="O955" s="28"/>
      <c r="X955" s="40"/>
      <c r="Y955" s="40"/>
    </row>
    <row r="956" spans="5:25" x14ac:dyDescent="0.35">
      <c r="E956" t="s">
        <v>190</v>
      </c>
      <c r="F956" t="s">
        <v>963</v>
      </c>
      <c r="G956" s="28"/>
      <c r="N956" s="28"/>
      <c r="O956" s="28"/>
      <c r="X956" s="40"/>
      <c r="Y956" s="40"/>
    </row>
    <row r="957" spans="5:25" x14ac:dyDescent="0.35">
      <c r="E957" t="s">
        <v>190</v>
      </c>
      <c r="F957" t="s">
        <v>964</v>
      </c>
      <c r="G957" s="28"/>
      <c r="N957" s="28"/>
      <c r="O957" s="28"/>
      <c r="X957" s="40"/>
      <c r="Y957" s="40"/>
    </row>
    <row r="958" spans="5:25" x14ac:dyDescent="0.35">
      <c r="E958" t="s">
        <v>190</v>
      </c>
      <c r="F958" t="s">
        <v>965</v>
      </c>
      <c r="G958" s="28"/>
      <c r="N958" s="28"/>
      <c r="O958" s="28"/>
      <c r="X958" s="40"/>
      <c r="Y958" s="40"/>
    </row>
    <row r="959" spans="5:25" x14ac:dyDescent="0.35">
      <c r="E959" t="s">
        <v>190</v>
      </c>
      <c r="F959" t="s">
        <v>966</v>
      </c>
      <c r="G959" s="28"/>
      <c r="N959" s="28"/>
      <c r="O959" s="28"/>
      <c r="X959" s="40"/>
      <c r="Y959" s="40"/>
    </row>
    <row r="960" spans="5:25" x14ac:dyDescent="0.35">
      <c r="E960" t="s">
        <v>190</v>
      </c>
      <c r="F960" t="s">
        <v>967</v>
      </c>
      <c r="G960" s="28"/>
      <c r="N960" s="28"/>
      <c r="O960" s="28"/>
      <c r="X960" s="40"/>
      <c r="Y960" s="40"/>
    </row>
    <row r="961" spans="5:25" x14ac:dyDescent="0.35">
      <c r="E961" t="s">
        <v>190</v>
      </c>
      <c r="F961" t="s">
        <v>968</v>
      </c>
      <c r="G961" s="28"/>
      <c r="N961" s="28"/>
      <c r="O961" s="28"/>
      <c r="X961" s="40"/>
      <c r="Y961" s="40"/>
    </row>
    <row r="962" spans="5:25" x14ac:dyDescent="0.35">
      <c r="E962" t="s">
        <v>190</v>
      </c>
      <c r="F962" t="s">
        <v>969</v>
      </c>
      <c r="G962" s="28"/>
      <c r="N962" s="28"/>
      <c r="O962" s="28"/>
      <c r="X962" s="40"/>
      <c r="Y962" s="40"/>
    </row>
    <row r="963" spans="5:25" x14ac:dyDescent="0.35">
      <c r="E963" t="s">
        <v>190</v>
      </c>
      <c r="F963" t="s">
        <v>970</v>
      </c>
      <c r="G963" s="28"/>
      <c r="N963" s="28"/>
      <c r="O963" s="28"/>
      <c r="X963" s="40"/>
      <c r="Y963" s="40"/>
    </row>
    <row r="964" spans="5:25" x14ac:dyDescent="0.35">
      <c r="E964" t="s">
        <v>190</v>
      </c>
      <c r="F964" t="s">
        <v>971</v>
      </c>
      <c r="G964" s="28"/>
      <c r="N964" s="28"/>
      <c r="O964" s="28"/>
      <c r="X964" s="40"/>
      <c r="Y964" s="40"/>
    </row>
    <row r="965" spans="5:25" x14ac:dyDescent="0.35">
      <c r="E965" t="s">
        <v>190</v>
      </c>
      <c r="F965" t="s">
        <v>972</v>
      </c>
      <c r="G965" s="28"/>
      <c r="N965" s="28"/>
      <c r="O965" s="28"/>
      <c r="X965" s="40"/>
      <c r="Y965" s="40"/>
    </row>
    <row r="966" spans="5:25" x14ac:dyDescent="0.35">
      <c r="E966" t="s">
        <v>190</v>
      </c>
      <c r="F966" t="s">
        <v>435</v>
      </c>
      <c r="G966" s="28"/>
      <c r="N966" s="28"/>
      <c r="O966" s="28"/>
      <c r="X966" s="40"/>
      <c r="Y966" s="40"/>
    </row>
    <row r="967" spans="5:25" x14ac:dyDescent="0.35">
      <c r="E967" t="s">
        <v>190</v>
      </c>
      <c r="F967" t="s">
        <v>973</v>
      </c>
      <c r="G967" s="28"/>
      <c r="N967" s="28"/>
      <c r="O967" s="28"/>
      <c r="X967" s="40"/>
      <c r="Y967" s="40"/>
    </row>
    <row r="968" spans="5:25" x14ac:dyDescent="0.35">
      <c r="E968" t="s">
        <v>190</v>
      </c>
      <c r="F968" t="s">
        <v>974</v>
      </c>
      <c r="G968" s="28"/>
      <c r="N968" s="28"/>
      <c r="O968" s="28"/>
      <c r="X968" s="40"/>
      <c r="Y968" s="40"/>
    </row>
    <row r="969" spans="5:25" x14ac:dyDescent="0.35">
      <c r="E969" t="s">
        <v>190</v>
      </c>
      <c r="F969" t="s">
        <v>975</v>
      </c>
      <c r="G969" s="28"/>
      <c r="N969" s="28"/>
      <c r="O969" s="28"/>
      <c r="X969" s="40"/>
      <c r="Y969" s="40"/>
    </row>
    <row r="970" spans="5:25" x14ac:dyDescent="0.35">
      <c r="E970" t="s">
        <v>190</v>
      </c>
      <c r="F970" t="s">
        <v>976</v>
      </c>
      <c r="G970" s="28"/>
      <c r="N970" s="28"/>
      <c r="O970" s="28"/>
      <c r="X970" s="40"/>
      <c r="Y970" s="40"/>
    </row>
    <row r="971" spans="5:25" x14ac:dyDescent="0.35">
      <c r="E971" t="s">
        <v>190</v>
      </c>
      <c r="F971" t="s">
        <v>977</v>
      </c>
      <c r="G971" s="28"/>
      <c r="N971" s="28"/>
      <c r="O971" s="28"/>
      <c r="X971" s="40"/>
      <c r="Y971" s="40"/>
    </row>
    <row r="972" spans="5:25" x14ac:dyDescent="0.35">
      <c r="E972" t="s">
        <v>190</v>
      </c>
      <c r="F972" t="s">
        <v>978</v>
      </c>
      <c r="G972" s="28"/>
      <c r="N972" s="28"/>
      <c r="O972" s="28"/>
      <c r="X972" s="40"/>
      <c r="Y972" s="40"/>
    </row>
    <row r="973" spans="5:25" x14ac:dyDescent="0.35">
      <c r="E973" t="s">
        <v>190</v>
      </c>
      <c r="F973" t="s">
        <v>979</v>
      </c>
      <c r="G973" s="28"/>
      <c r="N973" s="28"/>
      <c r="O973" s="28"/>
      <c r="X973" s="40"/>
      <c r="Y973" s="40"/>
    </row>
    <row r="974" spans="5:25" x14ac:dyDescent="0.35">
      <c r="E974" t="s">
        <v>190</v>
      </c>
      <c r="F974" t="s">
        <v>980</v>
      </c>
      <c r="G974" s="28"/>
      <c r="N974" s="28"/>
      <c r="O974" s="28"/>
      <c r="X974" s="40"/>
      <c r="Y974" s="40"/>
    </row>
    <row r="975" spans="5:25" x14ac:dyDescent="0.35">
      <c r="E975" t="s">
        <v>190</v>
      </c>
      <c r="F975" t="s">
        <v>915</v>
      </c>
      <c r="G975" s="28"/>
      <c r="N975" s="28"/>
      <c r="O975" s="28"/>
      <c r="X975" s="40"/>
      <c r="Y975" s="40"/>
    </row>
    <row r="976" spans="5:25" x14ac:dyDescent="0.35">
      <c r="E976" t="s">
        <v>190</v>
      </c>
      <c r="F976" t="s">
        <v>386</v>
      </c>
      <c r="G976" s="28"/>
      <c r="N976" s="28"/>
      <c r="O976" s="28"/>
      <c r="X976" s="40"/>
      <c r="Y976" s="40"/>
    </row>
    <row r="977" spans="5:25" x14ac:dyDescent="0.35">
      <c r="E977" t="s">
        <v>190</v>
      </c>
      <c r="F977" t="s">
        <v>442</v>
      </c>
      <c r="G977" s="28"/>
      <c r="N977" s="28"/>
      <c r="O977" s="28"/>
      <c r="X977" s="40"/>
      <c r="Y977" s="40"/>
    </row>
    <row r="978" spans="5:25" x14ac:dyDescent="0.35">
      <c r="E978" t="s">
        <v>190</v>
      </c>
      <c r="F978" t="s">
        <v>443</v>
      </c>
      <c r="G978" s="28"/>
      <c r="N978" s="28"/>
      <c r="O978" s="28"/>
      <c r="X978" s="40"/>
      <c r="Y978" s="40"/>
    </row>
    <row r="979" spans="5:25" x14ac:dyDescent="0.35">
      <c r="E979" t="s">
        <v>190</v>
      </c>
      <c r="F979" t="s">
        <v>577</v>
      </c>
      <c r="G979" s="28"/>
      <c r="N979" s="28"/>
      <c r="O979" s="28"/>
      <c r="X979" s="40"/>
      <c r="Y979" s="40"/>
    </row>
    <row r="980" spans="5:25" x14ac:dyDescent="0.35">
      <c r="E980" t="s">
        <v>190</v>
      </c>
      <c r="F980" t="s">
        <v>981</v>
      </c>
      <c r="G980" s="28"/>
      <c r="N980" s="28"/>
      <c r="O980" s="28"/>
      <c r="X980" s="40"/>
      <c r="Y980" s="40"/>
    </row>
    <row r="981" spans="5:25" x14ac:dyDescent="0.35">
      <c r="E981" t="s">
        <v>190</v>
      </c>
      <c r="F981" t="s">
        <v>982</v>
      </c>
      <c r="G981" s="28"/>
      <c r="N981" s="28"/>
      <c r="O981" s="28"/>
      <c r="X981" s="40"/>
      <c r="Y981" s="40"/>
    </row>
    <row r="982" spans="5:25" x14ac:dyDescent="0.35">
      <c r="E982" t="s">
        <v>190</v>
      </c>
      <c r="F982" t="s">
        <v>983</v>
      </c>
      <c r="G982" s="28"/>
      <c r="N982" s="28"/>
      <c r="O982" s="28"/>
      <c r="X982" s="40"/>
      <c r="Y982" s="40"/>
    </row>
    <row r="983" spans="5:25" x14ac:dyDescent="0.35">
      <c r="E983" t="s">
        <v>190</v>
      </c>
      <c r="F983" t="s">
        <v>984</v>
      </c>
      <c r="G983" s="28"/>
      <c r="N983" s="28"/>
      <c r="O983" s="28"/>
      <c r="X983" s="40"/>
      <c r="Y983" s="40"/>
    </row>
    <row r="984" spans="5:25" x14ac:dyDescent="0.35">
      <c r="E984" t="s">
        <v>190</v>
      </c>
      <c r="F984" t="s">
        <v>985</v>
      </c>
      <c r="G984" s="28"/>
      <c r="N984" s="28"/>
      <c r="O984" s="28"/>
      <c r="X984" s="40"/>
      <c r="Y984" s="40"/>
    </row>
    <row r="985" spans="5:25" x14ac:dyDescent="0.35">
      <c r="E985" t="s">
        <v>190</v>
      </c>
      <c r="F985" t="s">
        <v>986</v>
      </c>
      <c r="G985" s="28"/>
      <c r="N985" s="28"/>
      <c r="O985" s="28"/>
      <c r="X985" s="40"/>
      <c r="Y985" s="40"/>
    </row>
    <row r="986" spans="5:25" x14ac:dyDescent="0.35">
      <c r="E986" t="s">
        <v>190</v>
      </c>
      <c r="F986" t="s">
        <v>987</v>
      </c>
      <c r="G986" s="28"/>
      <c r="N986" s="28"/>
      <c r="O986" s="28"/>
      <c r="X986" s="40"/>
      <c r="Y986" s="40"/>
    </row>
    <row r="987" spans="5:25" x14ac:dyDescent="0.35">
      <c r="E987" t="s">
        <v>190</v>
      </c>
      <c r="F987" t="s">
        <v>988</v>
      </c>
      <c r="G987" s="28"/>
      <c r="N987" s="28"/>
      <c r="O987" s="28"/>
      <c r="X987" s="40"/>
      <c r="Y987" s="40"/>
    </row>
    <row r="988" spans="5:25" x14ac:dyDescent="0.35">
      <c r="E988" t="s">
        <v>190</v>
      </c>
      <c r="F988" t="s">
        <v>989</v>
      </c>
      <c r="G988" s="28"/>
      <c r="N988" s="28"/>
      <c r="O988" s="28"/>
      <c r="X988" s="40"/>
      <c r="Y988" s="40"/>
    </row>
    <row r="989" spans="5:25" x14ac:dyDescent="0.35">
      <c r="E989" t="s">
        <v>190</v>
      </c>
      <c r="F989" t="s">
        <v>734</v>
      </c>
      <c r="G989" s="28"/>
      <c r="N989" s="28"/>
      <c r="O989" s="28"/>
      <c r="X989" s="40"/>
      <c r="Y989" s="40"/>
    </row>
    <row r="990" spans="5:25" x14ac:dyDescent="0.35">
      <c r="E990" t="s">
        <v>190</v>
      </c>
      <c r="F990" t="s">
        <v>990</v>
      </c>
      <c r="G990" s="28"/>
      <c r="N990" s="28"/>
      <c r="O990" s="28"/>
      <c r="X990" s="40"/>
      <c r="Y990" s="40"/>
    </row>
    <row r="991" spans="5:25" x14ac:dyDescent="0.35">
      <c r="E991" t="s">
        <v>190</v>
      </c>
      <c r="F991" t="s">
        <v>991</v>
      </c>
      <c r="G991" s="28"/>
      <c r="N991" s="28"/>
      <c r="O991" s="28"/>
      <c r="X991" s="40"/>
      <c r="Y991" s="40"/>
    </row>
    <row r="992" spans="5:25" x14ac:dyDescent="0.35">
      <c r="E992" t="s">
        <v>190</v>
      </c>
      <c r="F992" t="s">
        <v>992</v>
      </c>
      <c r="G992" s="28"/>
      <c r="N992" s="28"/>
      <c r="O992" s="28"/>
      <c r="X992" s="40"/>
      <c r="Y992" s="40"/>
    </row>
    <row r="993" spans="5:25" x14ac:dyDescent="0.35">
      <c r="E993" t="s">
        <v>190</v>
      </c>
      <c r="F993" t="s">
        <v>394</v>
      </c>
      <c r="G993" s="28"/>
      <c r="N993" s="28"/>
      <c r="O993" s="28"/>
      <c r="X993" s="40"/>
      <c r="Y993" s="40"/>
    </row>
    <row r="994" spans="5:25" x14ac:dyDescent="0.35">
      <c r="E994" t="s">
        <v>190</v>
      </c>
      <c r="F994" t="s">
        <v>993</v>
      </c>
      <c r="G994" s="28"/>
      <c r="N994" s="28"/>
      <c r="O994" s="28"/>
      <c r="X994" s="40"/>
      <c r="Y994" s="40"/>
    </row>
    <row r="995" spans="5:25" x14ac:dyDescent="0.35">
      <c r="E995" t="s">
        <v>190</v>
      </c>
      <c r="F995" t="s">
        <v>994</v>
      </c>
      <c r="G995" s="28"/>
      <c r="N995" s="28"/>
      <c r="O995" s="28"/>
      <c r="X995" s="40"/>
      <c r="Y995" s="40"/>
    </row>
    <row r="996" spans="5:25" x14ac:dyDescent="0.35">
      <c r="E996" t="s">
        <v>190</v>
      </c>
      <c r="F996" t="s">
        <v>995</v>
      </c>
      <c r="G996" s="28"/>
      <c r="N996" s="28"/>
      <c r="O996" s="28"/>
      <c r="X996" s="40"/>
      <c r="Y996" s="40"/>
    </row>
    <row r="997" spans="5:25" x14ac:dyDescent="0.35">
      <c r="E997" t="s">
        <v>190</v>
      </c>
      <c r="F997" t="s">
        <v>996</v>
      </c>
      <c r="G997" s="28"/>
      <c r="N997" s="28"/>
      <c r="O997" s="28"/>
      <c r="X997" s="40"/>
      <c r="Y997" s="40"/>
    </row>
    <row r="998" spans="5:25" x14ac:dyDescent="0.35">
      <c r="E998" t="s">
        <v>191</v>
      </c>
      <c r="F998" t="s">
        <v>757</v>
      </c>
      <c r="G998" s="28"/>
      <c r="N998" s="28"/>
      <c r="O998" s="28"/>
      <c r="X998" s="40"/>
      <c r="Y998" s="40"/>
    </row>
    <row r="999" spans="5:25" x14ac:dyDescent="0.35">
      <c r="E999" t="s">
        <v>191</v>
      </c>
      <c r="F999" t="s">
        <v>891</v>
      </c>
      <c r="G999" s="28"/>
      <c r="N999" s="28"/>
      <c r="O999" s="28"/>
      <c r="X999" s="40"/>
      <c r="Y999" s="40"/>
    </row>
    <row r="1000" spans="5:25" x14ac:dyDescent="0.35">
      <c r="E1000" t="s">
        <v>191</v>
      </c>
      <c r="F1000" t="s">
        <v>930</v>
      </c>
      <c r="G1000" s="28"/>
      <c r="N1000" s="28"/>
      <c r="O1000" s="28"/>
      <c r="X1000" s="40"/>
      <c r="Y1000" s="40"/>
    </row>
    <row r="1001" spans="5:25" x14ac:dyDescent="0.35">
      <c r="E1001" t="s">
        <v>191</v>
      </c>
      <c r="F1001" t="s">
        <v>997</v>
      </c>
      <c r="G1001" s="28"/>
      <c r="N1001" s="28"/>
      <c r="O1001" s="28"/>
      <c r="X1001" s="40"/>
      <c r="Y1001" s="40"/>
    </row>
    <row r="1002" spans="5:25" x14ac:dyDescent="0.35">
      <c r="E1002" t="s">
        <v>191</v>
      </c>
      <c r="F1002" t="s">
        <v>998</v>
      </c>
      <c r="G1002" s="28"/>
      <c r="N1002" s="28"/>
      <c r="O1002" s="28"/>
      <c r="X1002" s="40"/>
      <c r="Y1002" s="40"/>
    </row>
    <row r="1003" spans="5:25" x14ac:dyDescent="0.35">
      <c r="E1003" t="s">
        <v>191</v>
      </c>
      <c r="F1003" t="s">
        <v>999</v>
      </c>
      <c r="G1003" s="28"/>
      <c r="N1003" s="28"/>
      <c r="O1003" s="28"/>
      <c r="X1003" s="40"/>
      <c r="Y1003" s="40"/>
    </row>
    <row r="1004" spans="5:25" x14ac:dyDescent="0.35">
      <c r="E1004" t="s">
        <v>191</v>
      </c>
      <c r="F1004" t="s">
        <v>1000</v>
      </c>
      <c r="G1004" s="28"/>
      <c r="N1004" s="28"/>
      <c r="O1004" s="28"/>
      <c r="X1004" s="40"/>
      <c r="Y1004" s="40"/>
    </row>
    <row r="1005" spans="5:25" x14ac:dyDescent="0.35">
      <c r="E1005" t="s">
        <v>191</v>
      </c>
      <c r="F1005" t="s">
        <v>401</v>
      </c>
      <c r="G1005" s="28"/>
      <c r="N1005" s="28"/>
      <c r="O1005" s="28"/>
      <c r="X1005" s="40"/>
      <c r="Y1005" s="40"/>
    </row>
    <row r="1006" spans="5:25" x14ac:dyDescent="0.35">
      <c r="E1006" t="s">
        <v>191</v>
      </c>
      <c r="F1006" t="s">
        <v>934</v>
      </c>
      <c r="G1006" s="28"/>
      <c r="N1006" s="28"/>
      <c r="O1006" s="28"/>
      <c r="X1006" s="40"/>
      <c r="Y1006" s="40"/>
    </row>
    <row r="1007" spans="5:25" x14ac:dyDescent="0.35">
      <c r="E1007" t="s">
        <v>191</v>
      </c>
      <c r="F1007" t="s">
        <v>1001</v>
      </c>
      <c r="G1007" s="28"/>
      <c r="N1007" s="28"/>
      <c r="O1007" s="28"/>
      <c r="X1007" s="40"/>
      <c r="Y1007" s="40"/>
    </row>
    <row r="1008" spans="5:25" x14ac:dyDescent="0.35">
      <c r="E1008" t="s">
        <v>191</v>
      </c>
      <c r="F1008" t="s">
        <v>1002</v>
      </c>
      <c r="G1008" s="28"/>
      <c r="N1008" s="28"/>
      <c r="O1008" s="28"/>
      <c r="X1008" s="40"/>
      <c r="Y1008" s="40"/>
    </row>
    <row r="1009" spans="5:25" x14ac:dyDescent="0.35">
      <c r="E1009" t="s">
        <v>191</v>
      </c>
      <c r="F1009" t="s">
        <v>1003</v>
      </c>
      <c r="G1009" s="28"/>
      <c r="N1009" s="28"/>
      <c r="O1009" s="28"/>
      <c r="X1009" s="40"/>
      <c r="Y1009" s="40"/>
    </row>
    <row r="1010" spans="5:25" x14ac:dyDescent="0.35">
      <c r="E1010" t="s">
        <v>191</v>
      </c>
      <c r="F1010" t="s">
        <v>1004</v>
      </c>
      <c r="G1010" s="28"/>
      <c r="N1010" s="28"/>
      <c r="O1010" s="28"/>
      <c r="X1010" s="40"/>
      <c r="Y1010" s="40"/>
    </row>
    <row r="1011" spans="5:25" x14ac:dyDescent="0.35">
      <c r="E1011" t="s">
        <v>191</v>
      </c>
      <c r="F1011" t="s">
        <v>1005</v>
      </c>
      <c r="G1011" s="28"/>
      <c r="N1011" s="28"/>
      <c r="O1011" s="28"/>
      <c r="X1011" s="40"/>
      <c r="Y1011" s="40"/>
    </row>
    <row r="1012" spans="5:25" x14ac:dyDescent="0.35">
      <c r="E1012" t="s">
        <v>191</v>
      </c>
      <c r="F1012" t="s">
        <v>1006</v>
      </c>
      <c r="G1012" s="28"/>
      <c r="N1012" s="28"/>
      <c r="O1012" s="28"/>
      <c r="X1012" s="40"/>
      <c r="Y1012" s="40"/>
    </row>
    <row r="1013" spans="5:25" x14ac:dyDescent="0.35">
      <c r="E1013" t="s">
        <v>191</v>
      </c>
      <c r="F1013" t="s">
        <v>336</v>
      </c>
      <c r="G1013" s="28"/>
      <c r="N1013" s="28"/>
      <c r="O1013" s="28"/>
      <c r="X1013" s="40"/>
      <c r="Y1013" s="40"/>
    </row>
    <row r="1014" spans="5:25" x14ac:dyDescent="0.35">
      <c r="E1014" t="s">
        <v>191</v>
      </c>
      <c r="F1014" t="s">
        <v>1007</v>
      </c>
      <c r="G1014" s="28"/>
      <c r="N1014" s="28"/>
      <c r="O1014" s="28"/>
      <c r="X1014" s="40"/>
      <c r="Y1014" s="40"/>
    </row>
    <row r="1015" spans="5:25" x14ac:dyDescent="0.35">
      <c r="E1015" t="s">
        <v>191</v>
      </c>
      <c r="F1015" t="s">
        <v>1008</v>
      </c>
      <c r="G1015" s="28"/>
      <c r="N1015" s="28"/>
      <c r="O1015" s="28"/>
      <c r="X1015" s="40"/>
      <c r="Y1015" s="40"/>
    </row>
    <row r="1016" spans="5:25" x14ac:dyDescent="0.35">
      <c r="E1016" t="s">
        <v>191</v>
      </c>
      <c r="F1016" t="s">
        <v>1009</v>
      </c>
      <c r="G1016" s="28"/>
      <c r="N1016" s="28"/>
      <c r="O1016" s="28"/>
      <c r="X1016" s="40"/>
      <c r="Y1016" s="40"/>
    </row>
    <row r="1017" spans="5:25" x14ac:dyDescent="0.35">
      <c r="E1017" t="s">
        <v>191</v>
      </c>
      <c r="F1017" t="s">
        <v>1010</v>
      </c>
      <c r="G1017" s="28"/>
      <c r="N1017" s="28"/>
      <c r="O1017" s="28"/>
      <c r="X1017" s="40"/>
      <c r="Y1017" s="40"/>
    </row>
    <row r="1018" spans="5:25" x14ac:dyDescent="0.35">
      <c r="E1018" t="s">
        <v>191</v>
      </c>
      <c r="F1018" t="s">
        <v>403</v>
      </c>
      <c r="G1018" s="28"/>
      <c r="N1018" s="28"/>
      <c r="O1018" s="28"/>
      <c r="X1018" s="40"/>
      <c r="Y1018" s="40"/>
    </row>
    <row r="1019" spans="5:25" x14ac:dyDescent="0.35">
      <c r="E1019" t="s">
        <v>191</v>
      </c>
      <c r="F1019" t="s">
        <v>1011</v>
      </c>
      <c r="G1019" s="28"/>
      <c r="N1019" s="28"/>
      <c r="O1019" s="28"/>
      <c r="X1019" s="40"/>
      <c r="Y1019" s="40"/>
    </row>
    <row r="1020" spans="5:25" x14ac:dyDescent="0.35">
      <c r="E1020" t="s">
        <v>191</v>
      </c>
      <c r="F1020" t="s">
        <v>1012</v>
      </c>
      <c r="G1020" s="28"/>
      <c r="N1020" s="28"/>
      <c r="O1020" s="28"/>
      <c r="X1020" s="40"/>
      <c r="Y1020" s="40"/>
    </row>
    <row r="1021" spans="5:25" x14ac:dyDescent="0.35">
      <c r="E1021" t="s">
        <v>191</v>
      </c>
      <c r="F1021" t="s">
        <v>847</v>
      </c>
      <c r="G1021" s="28"/>
      <c r="N1021" s="28"/>
      <c r="O1021" s="28"/>
      <c r="X1021" s="40"/>
      <c r="Y1021" s="40"/>
    </row>
    <row r="1022" spans="5:25" x14ac:dyDescent="0.35">
      <c r="E1022" t="s">
        <v>191</v>
      </c>
      <c r="F1022" t="s">
        <v>405</v>
      </c>
      <c r="G1022" s="28"/>
      <c r="N1022" s="28"/>
      <c r="O1022" s="28"/>
      <c r="X1022" s="40"/>
      <c r="Y1022" s="40"/>
    </row>
    <row r="1023" spans="5:25" x14ac:dyDescent="0.35">
      <c r="E1023" t="s">
        <v>191</v>
      </c>
      <c r="F1023" t="s">
        <v>343</v>
      </c>
      <c r="G1023" s="28"/>
      <c r="N1023" s="28"/>
      <c r="O1023" s="28"/>
      <c r="X1023" s="40"/>
      <c r="Y1023" s="40"/>
    </row>
    <row r="1024" spans="5:25" x14ac:dyDescent="0.35">
      <c r="E1024" t="s">
        <v>191</v>
      </c>
      <c r="F1024" t="s">
        <v>769</v>
      </c>
      <c r="G1024" s="28"/>
      <c r="N1024" s="28"/>
      <c r="O1024" s="28"/>
      <c r="X1024" s="40"/>
      <c r="Y1024" s="40"/>
    </row>
    <row r="1025" spans="5:25" x14ac:dyDescent="0.35">
      <c r="E1025" t="s">
        <v>191</v>
      </c>
      <c r="F1025" t="s">
        <v>411</v>
      </c>
      <c r="G1025" s="28"/>
      <c r="N1025" s="28"/>
      <c r="O1025" s="28"/>
      <c r="X1025" s="40"/>
      <c r="Y1025" s="40"/>
    </row>
    <row r="1026" spans="5:25" x14ac:dyDescent="0.35">
      <c r="E1026" t="s">
        <v>191</v>
      </c>
      <c r="F1026" t="s">
        <v>849</v>
      </c>
      <c r="G1026" s="28"/>
      <c r="N1026" s="28"/>
      <c r="O1026" s="28"/>
      <c r="X1026" s="40"/>
      <c r="Y1026" s="40"/>
    </row>
    <row r="1027" spans="5:25" x14ac:dyDescent="0.35">
      <c r="E1027" t="s">
        <v>191</v>
      </c>
      <c r="F1027" t="s">
        <v>894</v>
      </c>
      <c r="G1027" s="28"/>
      <c r="N1027" s="28"/>
      <c r="O1027" s="28"/>
      <c r="X1027" s="40"/>
      <c r="Y1027" s="40"/>
    </row>
    <row r="1028" spans="5:25" x14ac:dyDescent="0.35">
      <c r="E1028" t="s">
        <v>191</v>
      </c>
      <c r="F1028" t="s">
        <v>1013</v>
      </c>
      <c r="G1028" s="28"/>
      <c r="N1028" s="28"/>
      <c r="O1028" s="28"/>
      <c r="X1028" s="40"/>
      <c r="Y1028" s="40"/>
    </row>
    <row r="1029" spans="5:25" x14ac:dyDescent="0.35">
      <c r="E1029" t="s">
        <v>191</v>
      </c>
      <c r="F1029" t="s">
        <v>1014</v>
      </c>
      <c r="G1029" s="28"/>
      <c r="N1029" s="28"/>
      <c r="O1029" s="28"/>
      <c r="X1029" s="40"/>
      <c r="Y1029" s="40"/>
    </row>
    <row r="1030" spans="5:25" x14ac:dyDescent="0.35">
      <c r="E1030" t="s">
        <v>191</v>
      </c>
      <c r="F1030" t="s">
        <v>1015</v>
      </c>
      <c r="G1030" s="28"/>
      <c r="N1030" s="28"/>
      <c r="O1030" s="28"/>
      <c r="X1030" s="40"/>
      <c r="Y1030" s="40"/>
    </row>
    <row r="1031" spans="5:25" x14ac:dyDescent="0.35">
      <c r="E1031" t="s">
        <v>191</v>
      </c>
      <c r="F1031" t="s">
        <v>358</v>
      </c>
      <c r="G1031" s="28"/>
      <c r="N1031" s="28"/>
      <c r="O1031" s="28"/>
      <c r="X1031" s="40"/>
      <c r="Y1031" s="40"/>
    </row>
    <row r="1032" spans="5:25" x14ac:dyDescent="0.35">
      <c r="E1032" t="s">
        <v>191</v>
      </c>
      <c r="F1032" t="s">
        <v>1016</v>
      </c>
      <c r="G1032" s="28"/>
      <c r="N1032" s="28"/>
      <c r="O1032" s="28"/>
      <c r="X1032" s="40"/>
      <c r="Y1032" s="40"/>
    </row>
    <row r="1033" spans="5:25" x14ac:dyDescent="0.35">
      <c r="E1033" t="s">
        <v>191</v>
      </c>
      <c r="F1033" t="s">
        <v>685</v>
      </c>
      <c r="G1033" s="28"/>
      <c r="N1033" s="28"/>
      <c r="O1033" s="28"/>
      <c r="X1033" s="40"/>
      <c r="Y1033" s="40"/>
    </row>
    <row r="1034" spans="5:25" x14ac:dyDescent="0.35">
      <c r="E1034" t="s">
        <v>191</v>
      </c>
      <c r="F1034" t="s">
        <v>359</v>
      </c>
      <c r="G1034" s="28"/>
      <c r="N1034" s="28"/>
      <c r="O1034" s="28"/>
      <c r="X1034" s="40"/>
      <c r="Y1034" s="40"/>
    </row>
    <row r="1035" spans="5:25" x14ac:dyDescent="0.35">
      <c r="E1035" t="s">
        <v>191</v>
      </c>
      <c r="F1035" t="s">
        <v>416</v>
      </c>
      <c r="G1035" s="28"/>
      <c r="N1035" s="28"/>
      <c r="O1035" s="28"/>
      <c r="X1035" s="40"/>
      <c r="Y1035" s="40"/>
    </row>
    <row r="1036" spans="5:25" x14ac:dyDescent="0.35">
      <c r="E1036" t="s">
        <v>191</v>
      </c>
      <c r="F1036" t="s">
        <v>855</v>
      </c>
      <c r="G1036" s="28"/>
      <c r="N1036" s="28"/>
      <c r="O1036" s="28"/>
      <c r="X1036" s="40"/>
      <c r="Y1036" s="40"/>
    </row>
    <row r="1037" spans="5:25" x14ac:dyDescent="0.35">
      <c r="E1037" t="s">
        <v>191</v>
      </c>
      <c r="F1037" t="s">
        <v>1017</v>
      </c>
      <c r="G1037" s="28"/>
      <c r="N1037" s="28"/>
      <c r="O1037" s="28"/>
      <c r="X1037" s="40"/>
      <c r="Y1037" s="40"/>
    </row>
    <row r="1038" spans="5:25" x14ac:dyDescent="0.35">
      <c r="E1038" t="s">
        <v>191</v>
      </c>
      <c r="F1038" t="s">
        <v>418</v>
      </c>
      <c r="G1038" s="28"/>
      <c r="N1038" s="28"/>
      <c r="O1038" s="28"/>
      <c r="X1038" s="40"/>
      <c r="Y1038" s="40"/>
    </row>
    <row r="1039" spans="5:25" x14ac:dyDescent="0.35">
      <c r="E1039" t="s">
        <v>191</v>
      </c>
      <c r="F1039" t="s">
        <v>1018</v>
      </c>
      <c r="G1039" s="28"/>
      <c r="N1039" s="28"/>
      <c r="O1039" s="28"/>
      <c r="X1039" s="40"/>
      <c r="Y1039" s="40"/>
    </row>
    <row r="1040" spans="5:25" x14ac:dyDescent="0.35">
      <c r="E1040" t="s">
        <v>191</v>
      </c>
      <c r="F1040" t="s">
        <v>1019</v>
      </c>
      <c r="G1040" s="28"/>
      <c r="N1040" s="28"/>
      <c r="O1040" s="28"/>
      <c r="X1040" s="40"/>
      <c r="Y1040" s="40"/>
    </row>
    <row r="1041" spans="5:25" x14ac:dyDescent="0.35">
      <c r="E1041" t="s">
        <v>191</v>
      </c>
      <c r="F1041" t="s">
        <v>1020</v>
      </c>
      <c r="G1041" s="28"/>
      <c r="N1041" s="28"/>
      <c r="O1041" s="28"/>
      <c r="X1041" s="40"/>
      <c r="Y1041" s="40"/>
    </row>
    <row r="1042" spans="5:25" x14ac:dyDescent="0.35">
      <c r="E1042" t="s">
        <v>191</v>
      </c>
      <c r="F1042" t="s">
        <v>1021</v>
      </c>
      <c r="G1042" s="28"/>
      <c r="N1042" s="28"/>
      <c r="O1042" s="28"/>
      <c r="X1042" s="40"/>
      <c r="Y1042" s="40"/>
    </row>
    <row r="1043" spans="5:25" x14ac:dyDescent="0.35">
      <c r="E1043" t="s">
        <v>191</v>
      </c>
      <c r="F1043" t="s">
        <v>695</v>
      </c>
      <c r="G1043" s="28"/>
      <c r="N1043" s="28"/>
      <c r="O1043" s="28"/>
      <c r="X1043" s="40"/>
      <c r="Y1043" s="40"/>
    </row>
    <row r="1044" spans="5:25" x14ac:dyDescent="0.35">
      <c r="E1044" t="s">
        <v>191</v>
      </c>
      <c r="F1044" t="s">
        <v>778</v>
      </c>
      <c r="G1044" s="28"/>
      <c r="N1044" s="28"/>
      <c r="O1044" s="28"/>
      <c r="X1044" s="40"/>
      <c r="Y1044" s="40"/>
    </row>
    <row r="1045" spans="5:25" x14ac:dyDescent="0.35">
      <c r="E1045" t="s">
        <v>191</v>
      </c>
      <c r="F1045" t="s">
        <v>1022</v>
      </c>
      <c r="G1045" s="28"/>
      <c r="N1045" s="28"/>
      <c r="O1045" s="28"/>
      <c r="X1045" s="40"/>
      <c r="Y1045" s="40"/>
    </row>
    <row r="1046" spans="5:25" x14ac:dyDescent="0.35">
      <c r="E1046" t="s">
        <v>191</v>
      </c>
      <c r="F1046" t="s">
        <v>779</v>
      </c>
      <c r="G1046" s="28"/>
      <c r="N1046" s="28"/>
      <c r="O1046" s="28"/>
      <c r="X1046" s="40"/>
      <c r="Y1046" s="40"/>
    </row>
    <row r="1047" spans="5:25" x14ac:dyDescent="0.35">
      <c r="E1047" t="s">
        <v>191</v>
      </c>
      <c r="F1047" t="s">
        <v>698</v>
      </c>
      <c r="G1047" s="28"/>
      <c r="N1047" s="28"/>
      <c r="O1047" s="28"/>
      <c r="X1047" s="40"/>
      <c r="Y1047" s="40"/>
    </row>
    <row r="1048" spans="5:25" x14ac:dyDescent="0.35">
      <c r="E1048" t="s">
        <v>191</v>
      </c>
      <c r="F1048" t="s">
        <v>856</v>
      </c>
      <c r="G1048" s="28"/>
      <c r="N1048" s="28"/>
      <c r="O1048" s="28"/>
      <c r="X1048" s="40"/>
      <c r="Y1048" s="40"/>
    </row>
    <row r="1049" spans="5:25" x14ac:dyDescent="0.35">
      <c r="E1049" t="s">
        <v>191</v>
      </c>
      <c r="F1049" t="s">
        <v>363</v>
      </c>
      <c r="G1049" s="28"/>
      <c r="N1049" s="28"/>
      <c r="O1049" s="28"/>
      <c r="X1049" s="40"/>
      <c r="Y1049" s="40"/>
    </row>
    <row r="1050" spans="5:25" x14ac:dyDescent="0.35">
      <c r="E1050" t="s">
        <v>191</v>
      </c>
      <c r="F1050" t="s">
        <v>1023</v>
      </c>
      <c r="G1050" s="28"/>
      <c r="N1050" s="28"/>
      <c r="O1050" s="28"/>
      <c r="X1050" s="40"/>
      <c r="Y1050" s="40"/>
    </row>
    <row r="1051" spans="5:25" x14ac:dyDescent="0.35">
      <c r="E1051" t="s">
        <v>191</v>
      </c>
      <c r="F1051" t="s">
        <v>1024</v>
      </c>
      <c r="G1051" s="28"/>
      <c r="N1051" s="28"/>
      <c r="O1051" s="28"/>
      <c r="X1051" s="40"/>
      <c r="Y1051" s="40"/>
    </row>
    <row r="1052" spans="5:25" x14ac:dyDescent="0.35">
      <c r="E1052" t="s">
        <v>191</v>
      </c>
      <c r="F1052" t="s">
        <v>365</v>
      </c>
      <c r="G1052" s="28"/>
      <c r="N1052" s="28"/>
      <c r="O1052" s="28"/>
      <c r="X1052" s="40"/>
      <c r="Y1052" s="40"/>
    </row>
    <row r="1053" spans="5:25" x14ac:dyDescent="0.35">
      <c r="E1053" t="s">
        <v>191</v>
      </c>
      <c r="F1053" t="s">
        <v>366</v>
      </c>
      <c r="G1053" s="28"/>
      <c r="N1053" s="28"/>
      <c r="O1053" s="28"/>
      <c r="X1053" s="40"/>
      <c r="Y1053" s="40"/>
    </row>
    <row r="1054" spans="5:25" x14ac:dyDescent="0.35">
      <c r="E1054" t="s">
        <v>191</v>
      </c>
      <c r="F1054" t="s">
        <v>1025</v>
      </c>
      <c r="G1054" s="28"/>
      <c r="N1054" s="28"/>
      <c r="O1054" s="28"/>
      <c r="X1054" s="40"/>
      <c r="Y1054" s="40"/>
    </row>
    <row r="1055" spans="5:25" x14ac:dyDescent="0.35">
      <c r="E1055" t="s">
        <v>191</v>
      </c>
      <c r="F1055" t="s">
        <v>424</v>
      </c>
      <c r="G1055" s="28"/>
      <c r="N1055" s="28"/>
      <c r="O1055" s="28"/>
      <c r="X1055" s="40"/>
      <c r="Y1055" s="40"/>
    </row>
    <row r="1056" spans="5:25" x14ac:dyDescent="0.35">
      <c r="E1056" t="s">
        <v>191</v>
      </c>
      <c r="F1056" t="s">
        <v>1026</v>
      </c>
      <c r="G1056" s="28"/>
      <c r="N1056" s="28"/>
      <c r="O1056" s="28"/>
      <c r="X1056" s="40"/>
      <c r="Y1056" s="40"/>
    </row>
    <row r="1057" spans="5:25" x14ac:dyDescent="0.35">
      <c r="E1057" t="s">
        <v>191</v>
      </c>
      <c r="F1057" t="s">
        <v>1027</v>
      </c>
      <c r="G1057" s="28"/>
      <c r="N1057" s="28"/>
      <c r="O1057" s="28"/>
      <c r="X1057" s="40"/>
      <c r="Y1057" s="40"/>
    </row>
    <row r="1058" spans="5:25" x14ac:dyDescent="0.35">
      <c r="E1058" t="s">
        <v>191</v>
      </c>
      <c r="F1058" t="s">
        <v>863</v>
      </c>
      <c r="G1058" s="28"/>
      <c r="N1058" s="28"/>
      <c r="O1058" s="28"/>
      <c r="X1058" s="40"/>
      <c r="Y1058" s="40"/>
    </row>
    <row r="1059" spans="5:25" x14ac:dyDescent="0.35">
      <c r="E1059" t="s">
        <v>191</v>
      </c>
      <c r="F1059" t="s">
        <v>1028</v>
      </c>
      <c r="G1059" s="28"/>
      <c r="N1059" s="28"/>
      <c r="O1059" s="28"/>
      <c r="X1059" s="40"/>
      <c r="Y1059" s="40"/>
    </row>
    <row r="1060" spans="5:25" x14ac:dyDescent="0.35">
      <c r="E1060" t="s">
        <v>191</v>
      </c>
      <c r="F1060" t="s">
        <v>1029</v>
      </c>
      <c r="G1060" s="28"/>
      <c r="N1060" s="28"/>
      <c r="O1060" s="28"/>
      <c r="X1060" s="40"/>
      <c r="Y1060" s="40"/>
    </row>
    <row r="1061" spans="5:25" x14ac:dyDescent="0.35">
      <c r="E1061" t="s">
        <v>191</v>
      </c>
      <c r="F1061" t="s">
        <v>369</v>
      </c>
      <c r="G1061" s="28"/>
      <c r="N1061" s="28"/>
      <c r="O1061" s="28"/>
      <c r="X1061" s="40"/>
      <c r="Y1061" s="40"/>
    </row>
    <row r="1062" spans="5:25" x14ac:dyDescent="0.35">
      <c r="E1062" t="s">
        <v>191</v>
      </c>
      <c r="F1062" t="s">
        <v>370</v>
      </c>
      <c r="G1062" s="28"/>
      <c r="N1062" s="28"/>
      <c r="O1062" s="28"/>
      <c r="X1062" s="40"/>
      <c r="Y1062" s="40"/>
    </row>
    <row r="1063" spans="5:25" x14ac:dyDescent="0.35">
      <c r="E1063" t="s">
        <v>191</v>
      </c>
      <c r="F1063" t="s">
        <v>1030</v>
      </c>
      <c r="G1063" s="28"/>
      <c r="N1063" s="28"/>
      <c r="O1063" s="28"/>
      <c r="X1063" s="40"/>
      <c r="Y1063" s="40"/>
    </row>
    <row r="1064" spans="5:25" x14ac:dyDescent="0.35">
      <c r="E1064" t="s">
        <v>191</v>
      </c>
      <c r="F1064" t="s">
        <v>1031</v>
      </c>
      <c r="G1064" s="28"/>
      <c r="N1064" s="28"/>
      <c r="O1064" s="28"/>
      <c r="X1064" s="40"/>
      <c r="Y1064" s="40"/>
    </row>
    <row r="1065" spans="5:25" x14ac:dyDescent="0.35">
      <c r="E1065" t="s">
        <v>191</v>
      </c>
      <c r="F1065" t="s">
        <v>831</v>
      </c>
      <c r="G1065" s="28"/>
      <c r="N1065" s="28"/>
      <c r="O1065" s="28"/>
      <c r="X1065" s="40"/>
      <c r="Y1065" s="40"/>
    </row>
    <row r="1066" spans="5:25" x14ac:dyDescent="0.35">
      <c r="E1066" t="s">
        <v>191</v>
      </c>
      <c r="F1066" t="s">
        <v>426</v>
      </c>
      <c r="G1066" s="28"/>
      <c r="N1066" s="28"/>
      <c r="O1066" s="28"/>
      <c r="X1066" s="40"/>
      <c r="Y1066" s="40"/>
    </row>
    <row r="1067" spans="5:25" x14ac:dyDescent="0.35">
      <c r="E1067" t="s">
        <v>191</v>
      </c>
      <c r="F1067" t="s">
        <v>865</v>
      </c>
      <c r="G1067" s="28"/>
      <c r="N1067" s="28"/>
      <c r="O1067" s="28"/>
      <c r="X1067" s="40"/>
      <c r="Y1067" s="40"/>
    </row>
    <row r="1068" spans="5:25" x14ac:dyDescent="0.35">
      <c r="E1068" t="s">
        <v>191</v>
      </c>
      <c r="F1068" t="s">
        <v>428</v>
      </c>
      <c r="G1068" s="28"/>
      <c r="N1068" s="28"/>
      <c r="O1068" s="28"/>
      <c r="X1068" s="40"/>
      <c r="Y1068" s="40"/>
    </row>
    <row r="1069" spans="5:25" x14ac:dyDescent="0.35">
      <c r="E1069" t="s">
        <v>191</v>
      </c>
      <c r="F1069" t="s">
        <v>787</v>
      </c>
      <c r="G1069" s="28"/>
      <c r="N1069" s="28"/>
      <c r="O1069" s="28"/>
      <c r="X1069" s="40"/>
      <c r="Y1069" s="40"/>
    </row>
    <row r="1070" spans="5:25" x14ac:dyDescent="0.35">
      <c r="E1070" t="s">
        <v>191</v>
      </c>
      <c r="F1070" t="s">
        <v>374</v>
      </c>
      <c r="G1070" s="28"/>
      <c r="N1070" s="28"/>
      <c r="O1070" s="28"/>
      <c r="X1070" s="40"/>
      <c r="Y1070" s="40"/>
    </row>
    <row r="1071" spans="5:25" x14ac:dyDescent="0.35">
      <c r="E1071" t="s">
        <v>191</v>
      </c>
      <c r="F1071" t="s">
        <v>1032</v>
      </c>
      <c r="G1071" s="28"/>
      <c r="N1071" s="28"/>
      <c r="O1071" s="28"/>
      <c r="X1071" s="40"/>
      <c r="Y1071" s="40"/>
    </row>
    <row r="1072" spans="5:25" x14ac:dyDescent="0.35">
      <c r="E1072" t="s">
        <v>191</v>
      </c>
      <c r="F1072" t="s">
        <v>376</v>
      </c>
      <c r="G1072" s="28"/>
      <c r="N1072" s="28"/>
      <c r="O1072" s="28"/>
      <c r="X1072" s="40"/>
      <c r="Y1072" s="40"/>
    </row>
    <row r="1073" spans="5:25" x14ac:dyDescent="0.35">
      <c r="E1073" t="s">
        <v>191</v>
      </c>
      <c r="F1073" t="s">
        <v>377</v>
      </c>
      <c r="G1073" s="28"/>
      <c r="N1073" s="28"/>
      <c r="O1073" s="28"/>
      <c r="X1073" s="40"/>
      <c r="Y1073" s="40"/>
    </row>
    <row r="1074" spans="5:25" x14ac:dyDescent="0.35">
      <c r="E1074" t="s">
        <v>191</v>
      </c>
      <c r="F1074" t="s">
        <v>622</v>
      </c>
      <c r="G1074" s="28"/>
      <c r="N1074" s="28"/>
      <c r="O1074" s="28"/>
      <c r="X1074" s="40"/>
      <c r="Y1074" s="40"/>
    </row>
    <row r="1075" spans="5:25" x14ac:dyDescent="0.35">
      <c r="E1075" t="s">
        <v>191</v>
      </c>
      <c r="F1075" t="s">
        <v>867</v>
      </c>
      <c r="G1075" s="28"/>
      <c r="N1075" s="28"/>
      <c r="O1075" s="28"/>
      <c r="X1075" s="40"/>
      <c r="Y1075" s="40"/>
    </row>
    <row r="1076" spans="5:25" x14ac:dyDescent="0.35">
      <c r="E1076" t="s">
        <v>191</v>
      </c>
      <c r="F1076" t="s">
        <v>1033</v>
      </c>
      <c r="G1076" s="28"/>
      <c r="N1076" s="28"/>
      <c r="O1076" s="28"/>
      <c r="X1076" s="40"/>
      <c r="Y1076" s="40"/>
    </row>
    <row r="1077" spans="5:25" x14ac:dyDescent="0.35">
      <c r="E1077" t="s">
        <v>191</v>
      </c>
      <c r="F1077" t="s">
        <v>1034</v>
      </c>
      <c r="G1077" s="28"/>
      <c r="N1077" s="28"/>
      <c r="O1077" s="28"/>
      <c r="X1077" s="40"/>
      <c r="Y1077" s="40"/>
    </row>
    <row r="1078" spans="5:25" x14ac:dyDescent="0.35">
      <c r="E1078" t="s">
        <v>191</v>
      </c>
      <c r="F1078" t="s">
        <v>871</v>
      </c>
      <c r="G1078" s="28"/>
      <c r="N1078" s="28"/>
      <c r="O1078" s="28"/>
      <c r="X1078" s="40"/>
      <c r="Y1078" s="40"/>
    </row>
    <row r="1079" spans="5:25" x14ac:dyDescent="0.35">
      <c r="E1079" t="s">
        <v>191</v>
      </c>
      <c r="F1079" t="s">
        <v>962</v>
      </c>
      <c r="G1079" s="28"/>
      <c r="N1079" s="28"/>
      <c r="O1079" s="28"/>
      <c r="X1079" s="40"/>
      <c r="Y1079" s="40"/>
    </row>
    <row r="1080" spans="5:25" x14ac:dyDescent="0.35">
      <c r="E1080" t="s">
        <v>191</v>
      </c>
      <c r="F1080" t="s">
        <v>1035</v>
      </c>
      <c r="G1080" s="28"/>
      <c r="N1080" s="28"/>
      <c r="O1080" s="28"/>
      <c r="X1080" s="40"/>
      <c r="Y1080" s="40"/>
    </row>
    <row r="1081" spans="5:25" x14ac:dyDescent="0.35">
      <c r="E1081" t="s">
        <v>191</v>
      </c>
      <c r="F1081" t="s">
        <v>873</v>
      </c>
      <c r="G1081" s="28"/>
      <c r="N1081" s="28"/>
      <c r="O1081" s="28"/>
      <c r="X1081" s="40"/>
      <c r="Y1081" s="40"/>
    </row>
    <row r="1082" spans="5:25" x14ac:dyDescent="0.35">
      <c r="E1082" t="s">
        <v>191</v>
      </c>
      <c r="F1082" t="s">
        <v>1036</v>
      </c>
      <c r="G1082" s="28"/>
      <c r="N1082" s="28"/>
      <c r="O1082" s="28"/>
      <c r="X1082" s="40"/>
      <c r="Y1082" s="40"/>
    </row>
    <row r="1083" spans="5:25" x14ac:dyDescent="0.35">
      <c r="E1083" t="s">
        <v>191</v>
      </c>
      <c r="F1083" t="s">
        <v>379</v>
      </c>
      <c r="G1083" s="28"/>
      <c r="N1083" s="28"/>
      <c r="O1083" s="28"/>
      <c r="X1083" s="40"/>
      <c r="Y1083" s="40"/>
    </row>
    <row r="1084" spans="5:25" x14ac:dyDescent="0.35">
      <c r="E1084" t="s">
        <v>191</v>
      </c>
      <c r="F1084" t="s">
        <v>380</v>
      </c>
      <c r="G1084" s="28"/>
      <c r="N1084" s="28"/>
      <c r="O1084" s="28"/>
      <c r="X1084" s="40"/>
      <c r="Y1084" s="40"/>
    </row>
    <row r="1085" spans="5:25" x14ac:dyDescent="0.35">
      <c r="E1085" t="s">
        <v>191</v>
      </c>
      <c r="F1085" t="s">
        <v>381</v>
      </c>
      <c r="G1085" s="28"/>
      <c r="N1085" s="28"/>
      <c r="O1085" s="28"/>
      <c r="X1085" s="40"/>
      <c r="Y1085" s="40"/>
    </row>
    <row r="1086" spans="5:25" x14ac:dyDescent="0.35">
      <c r="E1086" t="s">
        <v>191</v>
      </c>
      <c r="F1086" t="s">
        <v>1037</v>
      </c>
      <c r="G1086" s="28"/>
      <c r="N1086" s="28"/>
      <c r="O1086" s="28"/>
      <c r="X1086" s="40"/>
      <c r="Y1086" s="40"/>
    </row>
    <row r="1087" spans="5:25" x14ac:dyDescent="0.35">
      <c r="E1087" t="s">
        <v>191</v>
      </c>
      <c r="F1087" t="s">
        <v>1038</v>
      </c>
      <c r="G1087" s="28"/>
      <c r="N1087" s="28"/>
      <c r="O1087" s="28"/>
      <c r="X1087" s="40"/>
      <c r="Y1087" s="40"/>
    </row>
    <row r="1088" spans="5:25" x14ac:dyDescent="0.35">
      <c r="E1088" t="s">
        <v>191</v>
      </c>
      <c r="F1088" t="s">
        <v>1039</v>
      </c>
      <c r="G1088" s="28"/>
      <c r="N1088" s="28"/>
      <c r="O1088" s="28"/>
      <c r="X1088" s="40"/>
      <c r="Y1088" s="40"/>
    </row>
    <row r="1089" spans="5:25" x14ac:dyDescent="0.35">
      <c r="E1089" t="s">
        <v>191</v>
      </c>
      <c r="F1089" t="s">
        <v>909</v>
      </c>
      <c r="G1089" s="28"/>
      <c r="N1089" s="28"/>
      <c r="O1089" s="28"/>
      <c r="X1089" s="40"/>
      <c r="Y1089" s="40"/>
    </row>
    <row r="1090" spans="5:25" x14ac:dyDescent="0.35">
      <c r="E1090" t="s">
        <v>191</v>
      </c>
      <c r="F1090" t="s">
        <v>1040</v>
      </c>
      <c r="G1090" s="28"/>
      <c r="N1090" s="28"/>
      <c r="O1090" s="28"/>
      <c r="X1090" s="40"/>
      <c r="Y1090" s="40"/>
    </row>
    <row r="1091" spans="5:25" x14ac:dyDescent="0.35">
      <c r="E1091" t="s">
        <v>191</v>
      </c>
      <c r="F1091" t="s">
        <v>910</v>
      </c>
      <c r="G1091" s="28"/>
      <c r="N1091" s="28"/>
      <c r="O1091" s="28"/>
      <c r="X1091" s="40"/>
      <c r="Y1091" s="40"/>
    </row>
    <row r="1092" spans="5:25" x14ac:dyDescent="0.35">
      <c r="E1092" t="s">
        <v>191</v>
      </c>
      <c r="F1092" t="s">
        <v>1041</v>
      </c>
      <c r="G1092" s="28"/>
      <c r="N1092" s="28"/>
      <c r="O1092" s="28"/>
      <c r="X1092" s="40"/>
      <c r="Y1092" s="40"/>
    </row>
    <row r="1093" spans="5:25" x14ac:dyDescent="0.35">
      <c r="E1093" t="s">
        <v>191</v>
      </c>
      <c r="F1093" t="s">
        <v>1042</v>
      </c>
      <c r="G1093" s="28"/>
      <c r="N1093" s="28"/>
      <c r="O1093" s="28"/>
      <c r="X1093" s="40"/>
      <c r="Y1093" s="40"/>
    </row>
    <row r="1094" spans="5:25" x14ac:dyDescent="0.35">
      <c r="E1094" t="s">
        <v>191</v>
      </c>
      <c r="F1094" t="s">
        <v>382</v>
      </c>
      <c r="G1094" s="28"/>
      <c r="N1094" s="28"/>
      <c r="O1094" s="28"/>
      <c r="X1094" s="40"/>
      <c r="Y1094" s="40"/>
    </row>
    <row r="1095" spans="5:25" x14ac:dyDescent="0.35">
      <c r="E1095" t="s">
        <v>191</v>
      </c>
      <c r="F1095" t="s">
        <v>384</v>
      </c>
      <c r="G1095" s="28"/>
      <c r="N1095" s="28"/>
      <c r="O1095" s="28"/>
      <c r="X1095" s="40"/>
      <c r="Y1095" s="40"/>
    </row>
    <row r="1096" spans="5:25" x14ac:dyDescent="0.35">
      <c r="E1096" t="s">
        <v>191</v>
      </c>
      <c r="F1096" t="s">
        <v>1043</v>
      </c>
      <c r="G1096" s="28"/>
      <c r="N1096" s="28"/>
      <c r="O1096" s="28"/>
      <c r="X1096" s="40"/>
      <c r="Y1096" s="40"/>
    </row>
    <row r="1097" spans="5:25" x14ac:dyDescent="0.35">
      <c r="E1097" t="s">
        <v>191</v>
      </c>
      <c r="F1097" t="s">
        <v>440</v>
      </c>
      <c r="G1097" s="28"/>
      <c r="N1097" s="28"/>
      <c r="O1097" s="28"/>
      <c r="X1097" s="40"/>
      <c r="Y1097" s="40"/>
    </row>
    <row r="1098" spans="5:25" x14ac:dyDescent="0.35">
      <c r="E1098" t="s">
        <v>191</v>
      </c>
      <c r="F1098" t="s">
        <v>1044</v>
      </c>
      <c r="G1098" s="28"/>
      <c r="N1098" s="28"/>
      <c r="O1098" s="28"/>
      <c r="X1098" s="40"/>
      <c r="Y1098" s="40"/>
    </row>
    <row r="1099" spans="5:25" x14ac:dyDescent="0.35">
      <c r="E1099" t="s">
        <v>191</v>
      </c>
      <c r="F1099" t="s">
        <v>1045</v>
      </c>
      <c r="G1099" s="28"/>
      <c r="N1099" s="28"/>
      <c r="O1099" s="28"/>
      <c r="X1099" s="40"/>
      <c r="Y1099" s="40"/>
    </row>
    <row r="1100" spans="5:25" x14ac:dyDescent="0.35">
      <c r="E1100" t="s">
        <v>191</v>
      </c>
      <c r="F1100" t="s">
        <v>1046</v>
      </c>
      <c r="G1100" s="28"/>
      <c r="N1100" s="28"/>
      <c r="O1100" s="28"/>
      <c r="X1100" s="40"/>
      <c r="Y1100" s="40"/>
    </row>
    <row r="1101" spans="5:25" x14ac:dyDescent="0.35">
      <c r="E1101" t="s">
        <v>191</v>
      </c>
      <c r="F1101" t="s">
        <v>386</v>
      </c>
      <c r="G1101" s="28"/>
      <c r="N1101" s="28"/>
      <c r="O1101" s="28"/>
      <c r="X1101" s="40"/>
      <c r="Y1101" s="40"/>
    </row>
    <row r="1102" spans="5:25" x14ac:dyDescent="0.35">
      <c r="E1102" t="s">
        <v>191</v>
      </c>
      <c r="F1102" t="s">
        <v>443</v>
      </c>
      <c r="G1102" s="28"/>
      <c r="N1102" s="28"/>
      <c r="O1102" s="28"/>
      <c r="X1102" s="40"/>
      <c r="Y1102" s="40"/>
    </row>
    <row r="1103" spans="5:25" x14ac:dyDescent="0.35">
      <c r="E1103" t="s">
        <v>191</v>
      </c>
      <c r="F1103" t="s">
        <v>388</v>
      </c>
      <c r="G1103" s="28"/>
      <c r="N1103" s="28"/>
      <c r="O1103" s="28"/>
      <c r="X1103" s="40"/>
      <c r="Y1103" s="40"/>
    </row>
    <row r="1104" spans="5:25" x14ac:dyDescent="0.35">
      <c r="E1104" t="s">
        <v>191</v>
      </c>
      <c r="F1104" t="s">
        <v>1047</v>
      </c>
      <c r="G1104" s="28"/>
      <c r="N1104" s="28"/>
      <c r="O1104" s="28"/>
      <c r="X1104" s="40"/>
      <c r="Y1104" s="40"/>
    </row>
    <row r="1105" spans="5:25" x14ac:dyDescent="0.35">
      <c r="E1105" t="s">
        <v>191</v>
      </c>
      <c r="F1105" t="s">
        <v>916</v>
      </c>
      <c r="G1105" s="28"/>
      <c r="N1105" s="28"/>
      <c r="O1105" s="28"/>
      <c r="X1105" s="40"/>
      <c r="Y1105" s="40"/>
    </row>
    <row r="1106" spans="5:25" x14ac:dyDescent="0.35">
      <c r="E1106" t="s">
        <v>191</v>
      </c>
      <c r="F1106" t="s">
        <v>638</v>
      </c>
      <c r="G1106" s="28"/>
      <c r="N1106" s="28"/>
      <c r="O1106" s="28"/>
      <c r="X1106" s="40"/>
      <c r="Y1106" s="40"/>
    </row>
    <row r="1107" spans="5:25" x14ac:dyDescent="0.35">
      <c r="E1107" t="s">
        <v>191</v>
      </c>
      <c r="F1107" t="s">
        <v>1048</v>
      </c>
      <c r="G1107" s="28"/>
      <c r="N1107" s="28"/>
      <c r="O1107" s="28"/>
      <c r="X1107" s="40"/>
      <c r="Y1107" s="40"/>
    </row>
    <row r="1108" spans="5:25" x14ac:dyDescent="0.35">
      <c r="E1108" t="s">
        <v>191</v>
      </c>
      <c r="F1108" t="s">
        <v>1049</v>
      </c>
      <c r="G1108" s="28"/>
      <c r="N1108" s="28"/>
      <c r="O1108" s="28"/>
      <c r="X1108" s="40"/>
      <c r="Y1108" s="40"/>
    </row>
    <row r="1109" spans="5:25" x14ac:dyDescent="0.35">
      <c r="E1109" t="s">
        <v>191</v>
      </c>
      <c r="F1109" t="s">
        <v>1050</v>
      </c>
      <c r="G1109" s="28"/>
      <c r="N1109" s="28"/>
      <c r="O1109" s="28"/>
      <c r="X1109" s="40"/>
      <c r="Y1109" s="40"/>
    </row>
    <row r="1110" spans="5:25" x14ac:dyDescent="0.35">
      <c r="E1110" t="s">
        <v>191</v>
      </c>
      <c r="F1110" t="s">
        <v>449</v>
      </c>
      <c r="G1110" s="28"/>
      <c r="N1110" s="28"/>
      <c r="O1110" s="28"/>
      <c r="X1110" s="40"/>
      <c r="Y1110" s="40"/>
    </row>
    <row r="1111" spans="5:25" x14ac:dyDescent="0.35">
      <c r="E1111" t="s">
        <v>191</v>
      </c>
      <c r="F1111" t="s">
        <v>744</v>
      </c>
      <c r="G1111" s="28"/>
      <c r="N1111" s="28"/>
      <c r="O1111" s="28"/>
      <c r="X1111" s="40"/>
      <c r="Y1111" s="40"/>
    </row>
    <row r="1112" spans="5:25" x14ac:dyDescent="0.35">
      <c r="E1112" t="s">
        <v>191</v>
      </c>
      <c r="F1112" t="s">
        <v>394</v>
      </c>
      <c r="G1112" s="28"/>
      <c r="N1112" s="28"/>
      <c r="O1112" s="28"/>
      <c r="X1112" s="40"/>
      <c r="Y1112" s="40"/>
    </row>
    <row r="1113" spans="5:25" x14ac:dyDescent="0.35">
      <c r="E1113" t="s">
        <v>191</v>
      </c>
      <c r="F1113" t="s">
        <v>745</v>
      </c>
      <c r="G1113" s="28"/>
      <c r="N1113" s="28"/>
      <c r="O1113" s="28"/>
      <c r="X1113" s="40"/>
      <c r="Y1113" s="40"/>
    </row>
    <row r="1114" spans="5:25" x14ac:dyDescent="0.35">
      <c r="E1114" t="s">
        <v>191</v>
      </c>
      <c r="F1114" t="s">
        <v>746</v>
      </c>
      <c r="G1114" s="28"/>
      <c r="N1114" s="28"/>
      <c r="O1114" s="28"/>
      <c r="X1114" s="40"/>
      <c r="Y1114" s="40"/>
    </row>
    <row r="1115" spans="5:25" x14ac:dyDescent="0.35">
      <c r="E1115" t="s">
        <v>191</v>
      </c>
      <c r="F1115" t="s">
        <v>929</v>
      </c>
      <c r="G1115" s="28"/>
      <c r="N1115" s="28"/>
      <c r="O1115" s="28"/>
      <c r="X1115" s="40"/>
      <c r="Y1115" s="40"/>
    </row>
    <row r="1116" spans="5:25" x14ac:dyDescent="0.35">
      <c r="E1116" t="s">
        <v>191</v>
      </c>
      <c r="F1116" t="s">
        <v>1051</v>
      </c>
      <c r="G1116" s="28"/>
      <c r="N1116" s="28"/>
      <c r="O1116" s="28"/>
      <c r="X1116" s="40"/>
      <c r="Y1116" s="40"/>
    </row>
    <row r="1117" spans="5:25" x14ac:dyDescent="0.35">
      <c r="E1117" t="s">
        <v>191</v>
      </c>
      <c r="F1117" t="s">
        <v>890</v>
      </c>
      <c r="G1117" s="28"/>
      <c r="N1117" s="28"/>
      <c r="O1117" s="28"/>
      <c r="X1117" s="40"/>
      <c r="Y1117" s="40"/>
    </row>
    <row r="1118" spans="5:25" x14ac:dyDescent="0.35">
      <c r="E1118" t="s">
        <v>192</v>
      </c>
      <c r="F1118" t="s">
        <v>1052</v>
      </c>
      <c r="G1118" s="28"/>
      <c r="N1118" s="28"/>
      <c r="O1118" s="28"/>
      <c r="X1118" s="40"/>
      <c r="Y1118" s="40"/>
    </row>
    <row r="1119" spans="5:25" x14ac:dyDescent="0.35">
      <c r="E1119" t="s">
        <v>192</v>
      </c>
      <c r="F1119" t="s">
        <v>891</v>
      </c>
      <c r="G1119" s="28"/>
      <c r="N1119" s="28"/>
      <c r="O1119" s="28"/>
      <c r="X1119" s="40"/>
      <c r="Y1119" s="40"/>
    </row>
    <row r="1120" spans="5:25" x14ac:dyDescent="0.35">
      <c r="E1120" t="s">
        <v>192</v>
      </c>
      <c r="F1120" t="s">
        <v>1053</v>
      </c>
      <c r="G1120" s="28"/>
      <c r="N1120" s="28"/>
      <c r="O1120" s="28"/>
      <c r="X1120" s="40"/>
      <c r="Y1120" s="40"/>
    </row>
    <row r="1121" spans="5:25" x14ac:dyDescent="0.35">
      <c r="E1121" t="s">
        <v>192</v>
      </c>
      <c r="F1121" t="s">
        <v>1054</v>
      </c>
      <c r="G1121" s="28"/>
      <c r="N1121" s="28"/>
      <c r="O1121" s="28"/>
      <c r="X1121" s="40"/>
      <c r="Y1121" s="40"/>
    </row>
    <row r="1122" spans="5:25" x14ac:dyDescent="0.35">
      <c r="E1122" t="s">
        <v>192</v>
      </c>
      <c r="F1122" t="s">
        <v>1055</v>
      </c>
      <c r="G1122" s="28"/>
      <c r="N1122" s="28"/>
      <c r="O1122" s="28"/>
      <c r="X1122" s="40"/>
      <c r="Y1122" s="40"/>
    </row>
    <row r="1123" spans="5:25" x14ac:dyDescent="0.35">
      <c r="E1123" t="s">
        <v>192</v>
      </c>
      <c r="F1123" t="s">
        <v>1056</v>
      </c>
      <c r="G1123" s="28"/>
      <c r="N1123" s="28"/>
      <c r="O1123" s="28"/>
      <c r="X1123" s="40"/>
      <c r="Y1123" s="40"/>
    </row>
    <row r="1124" spans="5:25" x14ac:dyDescent="0.35">
      <c r="E1124" t="s">
        <v>192</v>
      </c>
      <c r="F1124" t="s">
        <v>1057</v>
      </c>
      <c r="G1124" s="28"/>
      <c r="N1124" s="28"/>
      <c r="O1124" s="28"/>
      <c r="X1124" s="40"/>
      <c r="Y1124" s="40"/>
    </row>
    <row r="1125" spans="5:25" x14ac:dyDescent="0.35">
      <c r="E1125" t="s">
        <v>192</v>
      </c>
      <c r="F1125" t="s">
        <v>1058</v>
      </c>
      <c r="G1125" s="28"/>
      <c r="N1125" s="28"/>
      <c r="O1125" s="28"/>
      <c r="X1125" s="40"/>
      <c r="Y1125" s="40"/>
    </row>
    <row r="1126" spans="5:25" x14ac:dyDescent="0.35">
      <c r="E1126" t="s">
        <v>192</v>
      </c>
      <c r="F1126" t="s">
        <v>1059</v>
      </c>
      <c r="G1126" s="28"/>
      <c r="N1126" s="28"/>
      <c r="O1126" s="28"/>
      <c r="X1126" s="40"/>
      <c r="Y1126" s="40"/>
    </row>
    <row r="1127" spans="5:25" x14ac:dyDescent="0.35">
      <c r="E1127" t="s">
        <v>192</v>
      </c>
      <c r="F1127" t="s">
        <v>1060</v>
      </c>
      <c r="G1127" s="28"/>
      <c r="N1127" s="28"/>
      <c r="O1127" s="28"/>
      <c r="X1127" s="40"/>
      <c r="Y1127" s="40"/>
    </row>
    <row r="1128" spans="5:25" x14ac:dyDescent="0.35">
      <c r="E1128" t="s">
        <v>192</v>
      </c>
      <c r="F1128" t="s">
        <v>1007</v>
      </c>
      <c r="G1128" s="28"/>
      <c r="N1128" s="28"/>
      <c r="O1128" s="28"/>
      <c r="X1128" s="40"/>
      <c r="Y1128" s="40"/>
    </row>
    <row r="1129" spans="5:25" x14ac:dyDescent="0.35">
      <c r="E1129" t="s">
        <v>192</v>
      </c>
      <c r="F1129" t="s">
        <v>1061</v>
      </c>
      <c r="G1129" s="28"/>
      <c r="N1129" s="28"/>
      <c r="O1129" s="28"/>
      <c r="X1129" s="40"/>
      <c r="Y1129" s="40"/>
    </row>
    <row r="1130" spans="5:25" x14ac:dyDescent="0.35">
      <c r="E1130" t="s">
        <v>192</v>
      </c>
      <c r="F1130" t="s">
        <v>1062</v>
      </c>
      <c r="G1130" s="28"/>
      <c r="N1130" s="28"/>
      <c r="O1130" s="28"/>
      <c r="X1130" s="40"/>
      <c r="Y1130" s="40"/>
    </row>
    <row r="1131" spans="5:25" x14ac:dyDescent="0.35">
      <c r="E1131" t="s">
        <v>192</v>
      </c>
      <c r="F1131" t="s">
        <v>1063</v>
      </c>
      <c r="G1131" s="28"/>
      <c r="N1131" s="28"/>
      <c r="O1131" s="28"/>
      <c r="X1131" s="40"/>
      <c r="Y1131" s="40"/>
    </row>
    <row r="1132" spans="5:25" x14ac:dyDescent="0.35">
      <c r="E1132" t="s">
        <v>192</v>
      </c>
      <c r="F1132" t="s">
        <v>1064</v>
      </c>
      <c r="G1132" s="28"/>
      <c r="N1132" s="28"/>
      <c r="O1132" s="28"/>
      <c r="X1132" s="40"/>
      <c r="Y1132" s="40"/>
    </row>
    <row r="1133" spans="5:25" x14ac:dyDescent="0.35">
      <c r="E1133" t="s">
        <v>192</v>
      </c>
      <c r="F1133" t="s">
        <v>602</v>
      </c>
      <c r="G1133" s="28"/>
      <c r="N1133" s="28"/>
      <c r="O1133" s="28"/>
      <c r="X1133" s="40"/>
      <c r="Y1133" s="40"/>
    </row>
    <row r="1134" spans="5:25" x14ac:dyDescent="0.35">
      <c r="E1134" t="s">
        <v>192</v>
      </c>
      <c r="F1134" t="s">
        <v>1065</v>
      </c>
      <c r="G1134" s="28"/>
      <c r="N1134" s="28"/>
      <c r="O1134" s="28"/>
      <c r="X1134" s="40"/>
      <c r="Y1134" s="40"/>
    </row>
    <row r="1135" spans="5:25" x14ac:dyDescent="0.35">
      <c r="E1135" t="s">
        <v>192</v>
      </c>
      <c r="F1135" t="s">
        <v>1066</v>
      </c>
      <c r="G1135" s="28"/>
      <c r="N1135" s="28"/>
      <c r="O1135" s="28"/>
      <c r="X1135" s="40"/>
      <c r="Y1135" s="40"/>
    </row>
    <row r="1136" spans="5:25" x14ac:dyDescent="0.35">
      <c r="E1136" t="s">
        <v>192</v>
      </c>
      <c r="F1136" t="s">
        <v>1067</v>
      </c>
      <c r="G1136" s="28"/>
      <c r="N1136" s="28"/>
      <c r="O1136" s="28"/>
      <c r="X1136" s="40"/>
      <c r="Y1136" s="40"/>
    </row>
    <row r="1137" spans="5:25" x14ac:dyDescent="0.35">
      <c r="E1137" t="s">
        <v>192</v>
      </c>
      <c r="F1137" t="s">
        <v>1068</v>
      </c>
      <c r="G1137" s="28"/>
      <c r="N1137" s="28"/>
      <c r="O1137" s="28"/>
      <c r="X1137" s="40"/>
      <c r="Y1137" s="40"/>
    </row>
    <row r="1138" spans="5:25" x14ac:dyDescent="0.35">
      <c r="E1138" t="s">
        <v>192</v>
      </c>
      <c r="F1138" t="s">
        <v>359</v>
      </c>
      <c r="G1138" s="28"/>
      <c r="N1138" s="28"/>
      <c r="O1138" s="28"/>
      <c r="X1138" s="40"/>
      <c r="Y1138" s="40"/>
    </row>
    <row r="1139" spans="5:25" x14ac:dyDescent="0.35">
      <c r="E1139" t="s">
        <v>192</v>
      </c>
      <c r="F1139" t="s">
        <v>418</v>
      </c>
      <c r="G1139" s="28"/>
      <c r="N1139" s="28"/>
      <c r="O1139" s="28"/>
      <c r="X1139" s="40"/>
      <c r="Y1139" s="40"/>
    </row>
    <row r="1140" spans="5:25" x14ac:dyDescent="0.35">
      <c r="E1140" t="s">
        <v>192</v>
      </c>
      <c r="F1140" t="s">
        <v>1069</v>
      </c>
      <c r="G1140" s="28"/>
      <c r="N1140" s="28"/>
      <c r="O1140" s="28"/>
      <c r="X1140" s="40"/>
      <c r="Y1140" s="40"/>
    </row>
    <row r="1141" spans="5:25" x14ac:dyDescent="0.35">
      <c r="E1141" t="s">
        <v>192</v>
      </c>
      <c r="F1141" t="s">
        <v>1070</v>
      </c>
      <c r="G1141" s="28"/>
      <c r="N1141" s="28"/>
      <c r="O1141" s="28"/>
      <c r="X1141" s="40"/>
      <c r="Y1141" s="40"/>
    </row>
    <row r="1142" spans="5:25" x14ac:dyDescent="0.35">
      <c r="E1142" t="s">
        <v>192</v>
      </c>
      <c r="F1142" t="s">
        <v>365</v>
      </c>
      <c r="G1142" s="28"/>
      <c r="N1142" s="28"/>
      <c r="O1142" s="28"/>
      <c r="X1142" s="40"/>
      <c r="Y1142" s="40"/>
    </row>
    <row r="1143" spans="5:25" x14ac:dyDescent="0.35">
      <c r="E1143" t="s">
        <v>192</v>
      </c>
      <c r="F1143" t="s">
        <v>366</v>
      </c>
      <c r="G1143" s="28"/>
      <c r="N1143" s="28"/>
      <c r="O1143" s="28"/>
      <c r="X1143" s="40"/>
      <c r="Y1143" s="40"/>
    </row>
    <row r="1144" spans="5:25" x14ac:dyDescent="0.35">
      <c r="E1144" t="s">
        <v>192</v>
      </c>
      <c r="F1144" t="s">
        <v>1071</v>
      </c>
      <c r="G1144" s="28"/>
      <c r="N1144" s="28"/>
      <c r="O1144" s="28"/>
      <c r="X1144" s="40"/>
      <c r="Y1144" s="40"/>
    </row>
    <row r="1145" spans="5:25" x14ac:dyDescent="0.35">
      <c r="E1145" t="s">
        <v>192</v>
      </c>
      <c r="F1145" t="s">
        <v>864</v>
      </c>
      <c r="G1145" s="28"/>
      <c r="N1145" s="28"/>
      <c r="O1145" s="28"/>
      <c r="X1145" s="40"/>
      <c r="Y1145" s="40"/>
    </row>
    <row r="1146" spans="5:25" x14ac:dyDescent="0.35">
      <c r="E1146" t="s">
        <v>192</v>
      </c>
      <c r="F1146" t="s">
        <v>425</v>
      </c>
      <c r="G1146" s="28"/>
      <c r="N1146" s="28"/>
      <c r="O1146" s="28"/>
      <c r="X1146" s="40"/>
      <c r="Y1146" s="40"/>
    </row>
    <row r="1147" spans="5:25" x14ac:dyDescent="0.35">
      <c r="E1147" t="s">
        <v>192</v>
      </c>
      <c r="F1147" t="s">
        <v>1072</v>
      </c>
      <c r="G1147" s="28"/>
      <c r="N1147" s="28"/>
      <c r="O1147" s="28"/>
      <c r="X1147" s="40"/>
      <c r="Y1147" s="40"/>
    </row>
    <row r="1148" spans="5:25" x14ac:dyDescent="0.35">
      <c r="E1148" t="s">
        <v>192</v>
      </c>
      <c r="F1148" t="s">
        <v>426</v>
      </c>
      <c r="G1148" s="28"/>
      <c r="N1148" s="28"/>
      <c r="O1148" s="28"/>
      <c r="X1148" s="40"/>
      <c r="Y1148" s="40"/>
    </row>
    <row r="1149" spans="5:25" x14ac:dyDescent="0.35">
      <c r="E1149" t="s">
        <v>192</v>
      </c>
      <c r="F1149" t="s">
        <v>865</v>
      </c>
      <c r="G1149" s="28"/>
      <c r="N1149" s="28"/>
      <c r="O1149" s="28"/>
      <c r="X1149" s="40"/>
      <c r="Y1149" s="40"/>
    </row>
    <row r="1150" spans="5:25" x14ac:dyDescent="0.35">
      <c r="E1150" t="s">
        <v>192</v>
      </c>
      <c r="F1150" t="s">
        <v>374</v>
      </c>
      <c r="G1150" s="28"/>
      <c r="N1150" s="28"/>
      <c r="O1150" s="28"/>
      <c r="X1150" s="40"/>
      <c r="Y1150" s="40"/>
    </row>
    <row r="1151" spans="5:25" x14ac:dyDescent="0.35">
      <c r="E1151" t="s">
        <v>192</v>
      </c>
      <c r="F1151" t="s">
        <v>1073</v>
      </c>
      <c r="G1151" s="28"/>
      <c r="N1151" s="28"/>
      <c r="O1151" s="28"/>
      <c r="X1151" s="40"/>
      <c r="Y1151" s="40"/>
    </row>
    <row r="1152" spans="5:25" x14ac:dyDescent="0.35">
      <c r="E1152" t="s">
        <v>192</v>
      </c>
      <c r="F1152" t="s">
        <v>1074</v>
      </c>
      <c r="G1152" s="28"/>
      <c r="N1152" s="28"/>
      <c r="O1152" s="28"/>
      <c r="X1152" s="40"/>
      <c r="Y1152" s="40"/>
    </row>
    <row r="1153" spans="5:25" x14ac:dyDescent="0.35">
      <c r="E1153" t="s">
        <v>192</v>
      </c>
      <c r="F1153" t="s">
        <v>1075</v>
      </c>
      <c r="G1153" s="28"/>
      <c r="N1153" s="28"/>
      <c r="O1153" s="28"/>
      <c r="X1153" s="40"/>
      <c r="Y1153" s="40"/>
    </row>
    <row r="1154" spans="5:25" x14ac:dyDescent="0.35">
      <c r="E1154" t="s">
        <v>192</v>
      </c>
      <c r="F1154" t="s">
        <v>434</v>
      </c>
      <c r="G1154" s="28"/>
      <c r="N1154" s="28"/>
      <c r="O1154" s="28"/>
      <c r="X1154" s="40"/>
      <c r="Y1154" s="40"/>
    </row>
    <row r="1155" spans="5:25" x14ac:dyDescent="0.35">
      <c r="E1155" t="s">
        <v>192</v>
      </c>
      <c r="F1155" t="s">
        <v>1076</v>
      </c>
      <c r="G1155" s="28"/>
      <c r="N1155" s="28"/>
      <c r="O1155" s="28"/>
      <c r="X1155" s="40"/>
      <c r="Y1155" s="40"/>
    </row>
    <row r="1156" spans="5:25" x14ac:dyDescent="0.35">
      <c r="E1156" t="s">
        <v>192</v>
      </c>
      <c r="F1156" t="s">
        <v>1077</v>
      </c>
      <c r="G1156" s="28"/>
      <c r="N1156" s="28"/>
      <c r="O1156" s="28"/>
      <c r="X1156" s="40"/>
      <c r="Y1156" s="40"/>
    </row>
    <row r="1157" spans="5:25" x14ac:dyDescent="0.35">
      <c r="E1157" t="s">
        <v>192</v>
      </c>
      <c r="F1157" t="s">
        <v>1078</v>
      </c>
      <c r="G1157" s="28"/>
      <c r="N1157" s="28"/>
      <c r="O1157" s="28"/>
      <c r="X1157" s="40"/>
      <c r="Y1157" s="40"/>
    </row>
    <row r="1158" spans="5:25" x14ac:dyDescent="0.35">
      <c r="E1158" t="s">
        <v>192</v>
      </c>
      <c r="F1158" t="s">
        <v>1079</v>
      </c>
      <c r="G1158" s="28"/>
      <c r="N1158" s="28"/>
      <c r="O1158" s="28"/>
      <c r="X1158" s="40"/>
      <c r="Y1158" s="40"/>
    </row>
    <row r="1159" spans="5:25" x14ac:dyDescent="0.35">
      <c r="E1159" t="s">
        <v>192</v>
      </c>
      <c r="F1159" t="s">
        <v>878</v>
      </c>
      <c r="G1159" s="28"/>
      <c r="N1159" s="28"/>
      <c r="O1159" s="28"/>
      <c r="X1159" s="40"/>
      <c r="Y1159" s="40"/>
    </row>
    <row r="1160" spans="5:25" x14ac:dyDescent="0.35">
      <c r="E1160" t="s">
        <v>192</v>
      </c>
      <c r="F1160" t="s">
        <v>1080</v>
      </c>
      <c r="G1160" s="28"/>
      <c r="N1160" s="28"/>
      <c r="O1160" s="28"/>
      <c r="X1160" s="40"/>
      <c r="Y1160" s="40"/>
    </row>
    <row r="1161" spans="5:25" x14ac:dyDescent="0.35">
      <c r="E1161" t="s">
        <v>192</v>
      </c>
      <c r="F1161" t="s">
        <v>1081</v>
      </c>
      <c r="G1161" s="28"/>
      <c r="N1161" s="28"/>
      <c r="O1161" s="28"/>
      <c r="X1161" s="40"/>
      <c r="Y1161" s="40"/>
    </row>
    <row r="1162" spans="5:25" x14ac:dyDescent="0.35">
      <c r="E1162" t="s">
        <v>192</v>
      </c>
      <c r="F1162" t="s">
        <v>1082</v>
      </c>
      <c r="G1162" s="28"/>
      <c r="N1162" s="28"/>
      <c r="O1162" s="28"/>
      <c r="X1162" s="40"/>
      <c r="Y1162" s="40"/>
    </row>
    <row r="1163" spans="5:25" x14ac:dyDescent="0.35">
      <c r="E1163" t="s">
        <v>192</v>
      </c>
      <c r="F1163" t="s">
        <v>1083</v>
      </c>
      <c r="G1163" s="28"/>
      <c r="N1163" s="28"/>
      <c r="O1163" s="28"/>
      <c r="X1163" s="40"/>
      <c r="Y1163" s="40"/>
    </row>
    <row r="1164" spans="5:25" x14ac:dyDescent="0.35">
      <c r="E1164" t="s">
        <v>192</v>
      </c>
      <c r="F1164" t="s">
        <v>1084</v>
      </c>
      <c r="G1164" s="28"/>
      <c r="N1164" s="28"/>
      <c r="O1164" s="28"/>
      <c r="X1164" s="40"/>
      <c r="Y1164" s="40"/>
    </row>
    <row r="1165" spans="5:25" x14ac:dyDescent="0.35">
      <c r="E1165" t="s">
        <v>192</v>
      </c>
      <c r="F1165" t="s">
        <v>1085</v>
      </c>
      <c r="G1165" s="28"/>
      <c r="N1165" s="28"/>
      <c r="O1165" s="28"/>
      <c r="X1165" s="40"/>
      <c r="Y1165" s="40"/>
    </row>
    <row r="1166" spans="5:25" x14ac:dyDescent="0.35">
      <c r="E1166" t="s">
        <v>192</v>
      </c>
      <c r="F1166" t="s">
        <v>1086</v>
      </c>
      <c r="G1166" s="28"/>
      <c r="N1166" s="28"/>
      <c r="O1166" s="28"/>
      <c r="X1166" s="40"/>
      <c r="Y1166" s="40"/>
    </row>
    <row r="1167" spans="5:25" x14ac:dyDescent="0.35">
      <c r="E1167" t="s">
        <v>192</v>
      </c>
      <c r="F1167" t="s">
        <v>1087</v>
      </c>
      <c r="G1167" s="28"/>
      <c r="N1167" s="28"/>
      <c r="O1167" s="28"/>
      <c r="X1167" s="40"/>
      <c r="Y1167" s="40"/>
    </row>
    <row r="1168" spans="5:25" x14ac:dyDescent="0.35">
      <c r="E1168" t="s">
        <v>192</v>
      </c>
      <c r="F1168" t="s">
        <v>1088</v>
      </c>
      <c r="G1168" s="28"/>
      <c r="N1168" s="28"/>
      <c r="O1168" s="28"/>
      <c r="X1168" s="40"/>
      <c r="Y1168" s="40"/>
    </row>
    <row r="1169" spans="5:25" x14ac:dyDescent="0.35">
      <c r="E1169" t="s">
        <v>192</v>
      </c>
      <c r="F1169" t="s">
        <v>1089</v>
      </c>
      <c r="G1169" s="28"/>
      <c r="N1169" s="28"/>
      <c r="O1169" s="28"/>
      <c r="X1169" s="40"/>
      <c r="Y1169" s="40"/>
    </row>
    <row r="1170" spans="5:25" x14ac:dyDescent="0.35">
      <c r="E1170" t="s">
        <v>192</v>
      </c>
      <c r="F1170" t="s">
        <v>1090</v>
      </c>
      <c r="G1170" s="28"/>
      <c r="N1170" s="28"/>
      <c r="O1170" s="28"/>
      <c r="X1170" s="40"/>
      <c r="Y1170" s="40"/>
    </row>
    <row r="1171" spans="5:25" x14ac:dyDescent="0.35">
      <c r="E1171" t="s">
        <v>192</v>
      </c>
      <c r="F1171" t="s">
        <v>1091</v>
      </c>
      <c r="G1171" s="28"/>
      <c r="N1171" s="28"/>
      <c r="O1171" s="28"/>
      <c r="X1171" s="40"/>
      <c r="Y1171" s="40"/>
    </row>
    <row r="1172" spans="5:25" x14ac:dyDescent="0.35">
      <c r="E1172" t="s">
        <v>192</v>
      </c>
      <c r="F1172" t="s">
        <v>1092</v>
      </c>
      <c r="G1172" s="28"/>
      <c r="N1172" s="28"/>
      <c r="O1172" s="28"/>
      <c r="X1172" s="40"/>
      <c r="Y1172" s="40"/>
    </row>
    <row r="1173" spans="5:25" x14ac:dyDescent="0.35">
      <c r="E1173" t="s">
        <v>192</v>
      </c>
      <c r="F1173" t="s">
        <v>449</v>
      </c>
      <c r="G1173" s="28"/>
      <c r="N1173" s="28"/>
      <c r="O1173" s="28"/>
      <c r="X1173" s="40"/>
      <c r="Y1173" s="40"/>
    </row>
    <row r="1174" spans="5:25" x14ac:dyDescent="0.35">
      <c r="E1174" t="s">
        <v>192</v>
      </c>
      <c r="F1174" t="s">
        <v>885</v>
      </c>
      <c r="G1174" s="28"/>
      <c r="N1174" s="28"/>
      <c r="O1174" s="28"/>
      <c r="X1174" s="40"/>
      <c r="Y1174" s="40"/>
    </row>
    <row r="1175" spans="5:25" x14ac:dyDescent="0.35">
      <c r="E1175" t="s">
        <v>192</v>
      </c>
      <c r="F1175" t="s">
        <v>1093</v>
      </c>
      <c r="G1175" s="28"/>
      <c r="N1175" s="28"/>
      <c r="O1175" s="28"/>
      <c r="X1175" s="40"/>
      <c r="Y1175" s="40"/>
    </row>
    <row r="1176" spans="5:25" x14ac:dyDescent="0.35">
      <c r="E1176" t="s">
        <v>192</v>
      </c>
      <c r="F1176" t="s">
        <v>394</v>
      </c>
      <c r="G1176" s="28"/>
      <c r="N1176" s="28"/>
      <c r="O1176" s="28"/>
      <c r="X1176" s="40"/>
      <c r="Y1176" s="40"/>
    </row>
    <row r="1177" spans="5:25" x14ac:dyDescent="0.35">
      <c r="E1177" t="s">
        <v>192</v>
      </c>
      <c r="F1177" t="s">
        <v>746</v>
      </c>
      <c r="G1177" s="32"/>
      <c r="N1177" s="28"/>
      <c r="O1177" s="28"/>
      <c r="X1177" s="40"/>
      <c r="Y1177" s="40"/>
    </row>
    <row r="1178" spans="5:25" x14ac:dyDescent="0.35">
      <c r="E1178" t="s">
        <v>192</v>
      </c>
      <c r="F1178" t="s">
        <v>1094</v>
      </c>
      <c r="G1178" s="32"/>
      <c r="N1178" s="28"/>
      <c r="O1178" s="28"/>
      <c r="X1178" s="40"/>
      <c r="Y1178" s="40"/>
    </row>
    <row r="1179" spans="5:25" x14ac:dyDescent="0.35">
      <c r="E1179" t="s">
        <v>192</v>
      </c>
      <c r="F1179" t="s">
        <v>1095</v>
      </c>
      <c r="G1179" s="32"/>
      <c r="N1179" s="28"/>
      <c r="O1179" s="28"/>
      <c r="X1179" s="40"/>
      <c r="Y1179" s="40"/>
    </row>
    <row r="1180" spans="5:25" x14ac:dyDescent="0.35">
      <c r="E1180" t="s">
        <v>192</v>
      </c>
      <c r="F1180" t="s">
        <v>1096</v>
      </c>
      <c r="G1180" s="32"/>
      <c r="N1180" s="28"/>
      <c r="O1180" s="28"/>
      <c r="X1180" s="40"/>
      <c r="Y1180" s="40"/>
    </row>
    <row r="1181" spans="5:25" x14ac:dyDescent="0.35">
      <c r="E1181" t="s">
        <v>192</v>
      </c>
      <c r="F1181" t="s">
        <v>1097</v>
      </c>
      <c r="G1181" s="32"/>
      <c r="N1181" s="28"/>
      <c r="O1181" s="28"/>
      <c r="X1181" s="40"/>
      <c r="Y1181" s="40"/>
    </row>
    <row r="1182" spans="5:25" x14ac:dyDescent="0.35">
      <c r="E1182" t="s">
        <v>193</v>
      </c>
      <c r="F1182" t="s">
        <v>1098</v>
      </c>
      <c r="G1182" s="32"/>
      <c r="N1182" s="28"/>
      <c r="O1182" s="28"/>
      <c r="X1182" s="40"/>
      <c r="Y1182" s="40"/>
    </row>
    <row r="1183" spans="5:25" x14ac:dyDescent="0.35">
      <c r="E1183" t="s">
        <v>193</v>
      </c>
      <c r="F1183" t="s">
        <v>1099</v>
      </c>
      <c r="G1183" s="32"/>
      <c r="N1183" s="28"/>
      <c r="O1183" s="28"/>
      <c r="X1183" s="40"/>
      <c r="Y1183" s="40"/>
    </row>
    <row r="1184" spans="5:25" x14ac:dyDescent="0.35">
      <c r="E1184" t="s">
        <v>193</v>
      </c>
      <c r="F1184" t="s">
        <v>1100</v>
      </c>
      <c r="G1184" s="32"/>
      <c r="N1184" s="28"/>
      <c r="O1184" s="28"/>
      <c r="X1184" s="40"/>
      <c r="Y1184" s="40"/>
    </row>
    <row r="1185" spans="5:25" x14ac:dyDescent="0.35">
      <c r="E1185" t="s">
        <v>193</v>
      </c>
      <c r="F1185" t="s">
        <v>1101</v>
      </c>
      <c r="G1185" s="32"/>
      <c r="N1185" s="28"/>
      <c r="O1185" s="28"/>
      <c r="X1185" s="40"/>
      <c r="Y1185" s="40"/>
    </row>
    <row r="1186" spans="5:25" x14ac:dyDescent="0.35">
      <c r="E1186" t="s">
        <v>193</v>
      </c>
      <c r="F1186" t="s">
        <v>1102</v>
      </c>
      <c r="G1186" s="32"/>
      <c r="N1186" s="28"/>
      <c r="O1186" s="28"/>
      <c r="X1186" s="40"/>
      <c r="Y1186" s="40"/>
    </row>
    <row r="1187" spans="5:25" x14ac:dyDescent="0.35">
      <c r="E1187" t="s">
        <v>193</v>
      </c>
      <c r="F1187" t="s">
        <v>359</v>
      </c>
      <c r="G1187" s="32"/>
      <c r="N1187" s="28"/>
      <c r="O1187" s="28"/>
      <c r="X1187" s="40"/>
      <c r="Y1187" s="40"/>
    </row>
    <row r="1188" spans="5:25" x14ac:dyDescent="0.35">
      <c r="E1188" t="s">
        <v>193</v>
      </c>
      <c r="F1188" t="s">
        <v>1103</v>
      </c>
      <c r="G1188" s="32"/>
      <c r="N1188" s="28"/>
      <c r="O1188" s="28"/>
      <c r="X1188" s="40"/>
      <c r="Y1188" s="40"/>
    </row>
    <row r="1189" spans="5:25" x14ac:dyDescent="0.35">
      <c r="E1189" t="s">
        <v>193</v>
      </c>
      <c r="F1189" t="s">
        <v>1104</v>
      </c>
      <c r="G1189" s="32"/>
      <c r="N1189" s="28"/>
      <c r="O1189" s="28"/>
      <c r="X1189" s="40"/>
      <c r="Y1189" s="40"/>
    </row>
    <row r="1190" spans="5:25" x14ac:dyDescent="0.35">
      <c r="E1190" t="s">
        <v>193</v>
      </c>
      <c r="F1190" t="s">
        <v>584</v>
      </c>
      <c r="G1190" s="32"/>
      <c r="N1190" s="28"/>
      <c r="O1190" s="28"/>
      <c r="X1190" s="40"/>
      <c r="Y1190" s="40"/>
    </row>
    <row r="1191" spans="5:25" x14ac:dyDescent="0.35">
      <c r="E1191" t="s">
        <v>193</v>
      </c>
      <c r="F1191" t="s">
        <v>1105</v>
      </c>
      <c r="G1191" s="32"/>
      <c r="N1191" s="28"/>
      <c r="O1191" s="28"/>
      <c r="X1191" s="40"/>
      <c r="Y1191" s="40"/>
    </row>
    <row r="1192" spans="5:25" x14ac:dyDescent="0.35">
      <c r="E1192" t="s">
        <v>193</v>
      </c>
      <c r="F1192" t="s">
        <v>1106</v>
      </c>
      <c r="G1192" s="32"/>
      <c r="N1192" s="28"/>
      <c r="O1192" s="28"/>
      <c r="X1192" s="40"/>
      <c r="Y1192" s="40"/>
    </row>
    <row r="1193" spans="5:25" x14ac:dyDescent="0.35">
      <c r="E1193" t="s">
        <v>193</v>
      </c>
      <c r="F1193" t="s">
        <v>795</v>
      </c>
      <c r="G1193" s="28"/>
      <c r="N1193" s="28"/>
      <c r="O1193" s="28"/>
      <c r="X1193" s="40"/>
      <c r="Y1193" s="40"/>
    </row>
    <row r="1194" spans="5:25" x14ac:dyDescent="0.35">
      <c r="E1194" t="s">
        <v>193</v>
      </c>
      <c r="F1194" t="s">
        <v>1107</v>
      </c>
      <c r="G1194" s="28"/>
      <c r="N1194" s="28"/>
      <c r="O1194" s="28"/>
      <c r="X1194" s="40"/>
      <c r="Y1194" s="40"/>
    </row>
    <row r="1195" spans="5:25" x14ac:dyDescent="0.35">
      <c r="E1195" t="s">
        <v>193</v>
      </c>
      <c r="F1195" t="s">
        <v>1108</v>
      </c>
      <c r="G1195" s="28"/>
      <c r="N1195" s="28"/>
      <c r="O1195" s="28"/>
      <c r="X1195" s="40"/>
      <c r="Y1195" s="40"/>
    </row>
    <row r="1196" spans="5:25" x14ac:dyDescent="0.35">
      <c r="E1196" t="s">
        <v>194</v>
      </c>
      <c r="F1196" t="s">
        <v>1109</v>
      </c>
      <c r="G1196" s="28"/>
      <c r="N1196" s="28"/>
      <c r="O1196" s="28"/>
      <c r="X1196" s="40"/>
      <c r="Y1196" s="40"/>
    </row>
    <row r="1197" spans="5:25" x14ac:dyDescent="0.35">
      <c r="E1197" t="s">
        <v>194</v>
      </c>
      <c r="F1197" t="s">
        <v>1110</v>
      </c>
      <c r="G1197" s="28"/>
      <c r="N1197" s="28"/>
      <c r="O1197" s="28"/>
      <c r="X1197" s="40"/>
      <c r="Y1197" s="40"/>
    </row>
    <row r="1198" spans="5:25" x14ac:dyDescent="0.35">
      <c r="E1198" t="s">
        <v>194</v>
      </c>
      <c r="F1198" t="s">
        <v>1111</v>
      </c>
      <c r="G1198" s="28"/>
      <c r="N1198" s="28"/>
      <c r="O1198" s="28"/>
      <c r="X1198" s="40"/>
      <c r="Y1198" s="40"/>
    </row>
    <row r="1199" spans="5:25" x14ac:dyDescent="0.35">
      <c r="E1199" t="s">
        <v>194</v>
      </c>
      <c r="F1199" t="s">
        <v>1112</v>
      </c>
      <c r="G1199" s="28"/>
      <c r="N1199" s="28"/>
      <c r="O1199" s="28"/>
      <c r="X1199" s="40"/>
      <c r="Y1199" s="40"/>
    </row>
    <row r="1200" spans="5:25" x14ac:dyDescent="0.35">
      <c r="E1200" t="s">
        <v>194</v>
      </c>
      <c r="F1200" t="s">
        <v>1113</v>
      </c>
      <c r="G1200" s="28"/>
      <c r="N1200" s="28"/>
      <c r="O1200" s="28"/>
      <c r="X1200" s="40"/>
      <c r="Y1200" s="40"/>
    </row>
    <row r="1201" spans="5:25" x14ac:dyDescent="0.35">
      <c r="E1201" t="s">
        <v>194</v>
      </c>
      <c r="F1201" t="s">
        <v>1114</v>
      </c>
      <c r="G1201" s="28"/>
      <c r="N1201" s="28"/>
      <c r="O1201" s="28"/>
      <c r="X1201" s="40"/>
      <c r="Y1201" s="40"/>
    </row>
    <row r="1202" spans="5:25" x14ac:dyDescent="0.35">
      <c r="E1202" t="s">
        <v>194</v>
      </c>
      <c r="F1202" t="s">
        <v>403</v>
      </c>
      <c r="G1202" s="28"/>
      <c r="N1202" s="28"/>
      <c r="O1202" s="28"/>
      <c r="X1202" s="40"/>
      <c r="Y1202" s="40"/>
    </row>
    <row r="1203" spans="5:25" x14ac:dyDescent="0.35">
      <c r="E1203" t="s">
        <v>194</v>
      </c>
      <c r="F1203" t="s">
        <v>1115</v>
      </c>
      <c r="G1203" s="28"/>
      <c r="N1203" s="28"/>
      <c r="O1203" s="28"/>
      <c r="X1203" s="40"/>
      <c r="Y1203" s="40"/>
    </row>
    <row r="1204" spans="5:25" x14ac:dyDescent="0.35">
      <c r="E1204" t="s">
        <v>194</v>
      </c>
      <c r="F1204" t="s">
        <v>1116</v>
      </c>
      <c r="G1204" s="28"/>
      <c r="N1204" s="28"/>
      <c r="O1204" s="28"/>
      <c r="X1204" s="40"/>
      <c r="Y1204" s="40"/>
    </row>
    <row r="1205" spans="5:25" x14ac:dyDescent="0.35">
      <c r="E1205" t="s">
        <v>194</v>
      </c>
      <c r="F1205" t="s">
        <v>1117</v>
      </c>
      <c r="G1205" s="28"/>
      <c r="N1205" s="28"/>
      <c r="O1205" s="28"/>
      <c r="X1205" s="40"/>
      <c r="Y1205" s="40"/>
    </row>
    <row r="1206" spans="5:25" x14ac:dyDescent="0.35">
      <c r="E1206" t="s">
        <v>194</v>
      </c>
      <c r="F1206" t="s">
        <v>1118</v>
      </c>
      <c r="G1206" s="28"/>
      <c r="N1206" s="28"/>
      <c r="O1206" s="28"/>
      <c r="X1206" s="40"/>
      <c r="Y1206" s="40"/>
    </row>
    <row r="1207" spans="5:25" x14ac:dyDescent="0.35">
      <c r="E1207" t="s">
        <v>194</v>
      </c>
      <c r="F1207" t="s">
        <v>1119</v>
      </c>
      <c r="G1207" s="28"/>
      <c r="N1207" s="28"/>
      <c r="O1207" s="28"/>
      <c r="X1207" s="40"/>
      <c r="Y1207" s="40"/>
    </row>
    <row r="1208" spans="5:25" x14ac:dyDescent="0.35">
      <c r="E1208" t="s">
        <v>194</v>
      </c>
      <c r="F1208" t="s">
        <v>1120</v>
      </c>
      <c r="G1208" s="28"/>
      <c r="N1208" s="28"/>
      <c r="O1208" s="28"/>
      <c r="X1208" s="40"/>
      <c r="Y1208" s="40"/>
    </row>
    <row r="1209" spans="5:25" x14ac:dyDescent="0.35">
      <c r="E1209" t="s">
        <v>194</v>
      </c>
      <c r="F1209" t="s">
        <v>421</v>
      </c>
      <c r="G1209" s="28"/>
      <c r="N1209" s="28"/>
      <c r="O1209" s="28"/>
      <c r="X1209" s="40"/>
      <c r="Y1209" s="40"/>
    </row>
    <row r="1210" spans="5:25" x14ac:dyDescent="0.35">
      <c r="E1210" t="s">
        <v>194</v>
      </c>
      <c r="F1210" t="s">
        <v>590</v>
      </c>
      <c r="G1210" s="28"/>
      <c r="N1210" s="28"/>
      <c r="O1210" s="28"/>
      <c r="X1210" s="40"/>
      <c r="Y1210" s="40"/>
    </row>
    <row r="1211" spans="5:25" x14ac:dyDescent="0.35">
      <c r="E1211" t="s">
        <v>194</v>
      </c>
      <c r="F1211" t="s">
        <v>380</v>
      </c>
      <c r="G1211" s="28"/>
      <c r="N1211" s="28"/>
      <c r="O1211" s="28"/>
      <c r="X1211" s="40"/>
      <c r="Y1211" s="40"/>
    </row>
    <row r="1212" spans="5:25" x14ac:dyDescent="0.35">
      <c r="E1212" t="s">
        <v>194</v>
      </c>
      <c r="F1212" t="s">
        <v>1121</v>
      </c>
      <c r="G1212" s="28"/>
      <c r="N1212" s="28"/>
      <c r="O1212" s="28"/>
      <c r="X1212" s="40"/>
      <c r="Y1212" s="40"/>
    </row>
    <row r="1213" spans="5:25" x14ac:dyDescent="0.35">
      <c r="E1213" t="s">
        <v>194</v>
      </c>
      <c r="F1213" t="s">
        <v>1122</v>
      </c>
      <c r="G1213" s="28"/>
      <c r="N1213" s="28"/>
      <c r="O1213" s="28"/>
      <c r="X1213" s="40"/>
      <c r="Y1213" s="40"/>
    </row>
    <row r="1214" spans="5:25" x14ac:dyDescent="0.35">
      <c r="E1214" t="s">
        <v>194</v>
      </c>
      <c r="F1214" t="s">
        <v>1123</v>
      </c>
      <c r="G1214" s="28"/>
      <c r="N1214" s="28"/>
      <c r="O1214" s="28"/>
      <c r="X1214" s="40"/>
      <c r="Y1214" s="40"/>
    </row>
    <row r="1215" spans="5:25" x14ac:dyDescent="0.35">
      <c r="E1215" t="s">
        <v>194</v>
      </c>
      <c r="F1215" t="s">
        <v>1124</v>
      </c>
      <c r="G1215" s="28"/>
      <c r="N1215" s="28"/>
      <c r="O1215" s="28"/>
      <c r="X1215" s="40"/>
      <c r="Y1215" s="40"/>
    </row>
    <row r="1216" spans="5:25" x14ac:dyDescent="0.35">
      <c r="E1216" t="s">
        <v>194</v>
      </c>
      <c r="F1216" t="s">
        <v>729</v>
      </c>
      <c r="G1216" s="28"/>
      <c r="N1216" s="28"/>
      <c r="O1216" s="28"/>
      <c r="X1216" s="40"/>
      <c r="Y1216" s="40"/>
    </row>
    <row r="1217" spans="5:25" x14ac:dyDescent="0.35">
      <c r="E1217" t="s">
        <v>194</v>
      </c>
      <c r="F1217" t="s">
        <v>394</v>
      </c>
      <c r="G1217" s="28"/>
      <c r="N1217" s="28"/>
      <c r="O1217" s="28"/>
      <c r="X1217" s="40"/>
      <c r="Y1217" s="40"/>
    </row>
    <row r="1218" spans="5:25" x14ac:dyDescent="0.35">
      <c r="E1218" t="s">
        <v>194</v>
      </c>
      <c r="F1218" t="s">
        <v>1125</v>
      </c>
      <c r="G1218" s="28"/>
      <c r="N1218" s="28"/>
      <c r="O1218" s="28"/>
      <c r="X1218" s="40"/>
      <c r="Y1218" s="40"/>
    </row>
    <row r="1219" spans="5:25" x14ac:dyDescent="0.35">
      <c r="E1219" t="s">
        <v>194</v>
      </c>
      <c r="F1219" t="s">
        <v>1108</v>
      </c>
      <c r="G1219" s="28"/>
      <c r="N1219" s="28"/>
      <c r="O1219" s="28"/>
      <c r="X1219" s="40"/>
      <c r="Y1219" s="40"/>
    </row>
    <row r="1220" spans="5:25" x14ac:dyDescent="0.35">
      <c r="E1220" t="s">
        <v>195</v>
      </c>
      <c r="F1220" t="s">
        <v>1126</v>
      </c>
      <c r="G1220" s="28"/>
      <c r="N1220" s="28"/>
      <c r="O1220" s="28"/>
      <c r="X1220" s="40"/>
      <c r="Y1220" s="40"/>
    </row>
    <row r="1221" spans="5:25" x14ac:dyDescent="0.35">
      <c r="E1221" t="s">
        <v>195</v>
      </c>
      <c r="F1221" t="s">
        <v>1127</v>
      </c>
      <c r="G1221" s="28"/>
      <c r="N1221" s="28"/>
      <c r="O1221" s="28"/>
      <c r="X1221" s="40"/>
      <c r="Y1221" s="40"/>
    </row>
    <row r="1222" spans="5:25" x14ac:dyDescent="0.35">
      <c r="E1222" t="s">
        <v>195</v>
      </c>
      <c r="F1222" t="s">
        <v>849</v>
      </c>
      <c r="G1222" s="28"/>
      <c r="N1222" s="28"/>
      <c r="O1222" s="28"/>
      <c r="X1222" s="40"/>
      <c r="Y1222" s="40"/>
    </row>
    <row r="1223" spans="5:25" x14ac:dyDescent="0.35">
      <c r="E1223" t="s">
        <v>195</v>
      </c>
      <c r="F1223" t="s">
        <v>359</v>
      </c>
      <c r="G1223" s="28"/>
      <c r="N1223" s="28"/>
      <c r="O1223" s="28"/>
      <c r="X1223" s="40"/>
      <c r="Y1223" s="40"/>
    </row>
    <row r="1224" spans="5:25" x14ac:dyDescent="0.35">
      <c r="E1224" t="s">
        <v>195</v>
      </c>
      <c r="F1224" t="s">
        <v>695</v>
      </c>
      <c r="G1224" s="28"/>
      <c r="N1224" s="28"/>
      <c r="O1224" s="28"/>
      <c r="X1224" s="40"/>
      <c r="Y1224" s="40"/>
    </row>
    <row r="1225" spans="5:25" x14ac:dyDescent="0.35">
      <c r="E1225" t="s">
        <v>195</v>
      </c>
      <c r="F1225" t="s">
        <v>1128</v>
      </c>
      <c r="G1225" s="28"/>
      <c r="N1225" s="28"/>
      <c r="O1225" s="28"/>
      <c r="X1225" s="40"/>
      <c r="Y1225" s="40"/>
    </row>
    <row r="1226" spans="5:25" x14ac:dyDescent="0.35">
      <c r="E1226" t="s">
        <v>195</v>
      </c>
      <c r="F1226" t="s">
        <v>863</v>
      </c>
      <c r="G1226" s="28"/>
      <c r="N1226" s="28"/>
      <c r="O1226" s="28"/>
      <c r="X1226" s="40"/>
      <c r="Y1226" s="40"/>
    </row>
    <row r="1227" spans="5:25" x14ac:dyDescent="0.35">
      <c r="E1227" t="s">
        <v>195</v>
      </c>
      <c r="F1227" t="s">
        <v>426</v>
      </c>
      <c r="G1227" s="28"/>
      <c r="N1227" s="28"/>
      <c r="O1227" s="28"/>
      <c r="X1227" s="40"/>
      <c r="Y1227" s="40"/>
    </row>
    <row r="1228" spans="5:25" x14ac:dyDescent="0.35">
      <c r="E1228" t="s">
        <v>195</v>
      </c>
      <c r="F1228" t="s">
        <v>1129</v>
      </c>
      <c r="G1228" s="28"/>
      <c r="N1228" s="28"/>
      <c r="O1228" s="28"/>
      <c r="X1228" s="40"/>
      <c r="Y1228" s="40"/>
    </row>
    <row r="1229" spans="5:25" x14ac:dyDescent="0.35">
      <c r="E1229" t="s">
        <v>195</v>
      </c>
      <c r="F1229" t="s">
        <v>1130</v>
      </c>
      <c r="G1229" s="28"/>
      <c r="N1229" s="28"/>
      <c r="O1229" s="28"/>
      <c r="X1229" s="40"/>
      <c r="Y1229" s="40"/>
    </row>
    <row r="1230" spans="5:25" x14ac:dyDescent="0.35">
      <c r="E1230" t="s">
        <v>195</v>
      </c>
      <c r="F1230" t="s">
        <v>1131</v>
      </c>
      <c r="G1230" s="28"/>
      <c r="N1230" s="28"/>
      <c r="O1230" s="28"/>
      <c r="X1230" s="40"/>
      <c r="Y1230" s="40"/>
    </row>
    <row r="1231" spans="5:25" x14ac:dyDescent="0.35">
      <c r="E1231" t="s">
        <v>195</v>
      </c>
      <c r="F1231" t="s">
        <v>1132</v>
      </c>
      <c r="G1231" s="28"/>
      <c r="N1231" s="28"/>
      <c r="O1231" s="28"/>
      <c r="X1231" s="40"/>
      <c r="Y1231" s="40"/>
    </row>
    <row r="1232" spans="5:25" x14ac:dyDescent="0.35">
      <c r="E1232" t="s">
        <v>195</v>
      </c>
      <c r="F1232" t="s">
        <v>1124</v>
      </c>
      <c r="G1232" s="28"/>
      <c r="N1232" s="28"/>
      <c r="O1232" s="28"/>
      <c r="X1232" s="40"/>
      <c r="Y1232" s="40"/>
    </row>
    <row r="1233" spans="5:25" x14ac:dyDescent="0.35">
      <c r="E1233" t="s">
        <v>195</v>
      </c>
      <c r="F1233" t="s">
        <v>1133</v>
      </c>
      <c r="G1233" s="28"/>
      <c r="N1233" s="28"/>
      <c r="O1233" s="28"/>
      <c r="X1233" s="40"/>
      <c r="Y1233" s="40"/>
    </row>
    <row r="1234" spans="5:25" x14ac:dyDescent="0.35">
      <c r="E1234" t="s">
        <v>195</v>
      </c>
      <c r="F1234" t="s">
        <v>394</v>
      </c>
      <c r="G1234" s="28"/>
      <c r="N1234" s="28"/>
      <c r="O1234" s="28"/>
      <c r="X1234" s="40"/>
      <c r="Y1234" s="40"/>
    </row>
    <row r="1235" spans="5:25" x14ac:dyDescent="0.35">
      <c r="E1235" t="s">
        <v>195</v>
      </c>
      <c r="F1235" t="s">
        <v>1134</v>
      </c>
      <c r="G1235" s="28"/>
      <c r="N1235" s="28"/>
      <c r="O1235" s="28"/>
      <c r="X1235" s="40"/>
      <c r="Y1235" s="40"/>
    </row>
    <row r="1236" spans="5:25" x14ac:dyDescent="0.35">
      <c r="E1236" t="s">
        <v>296</v>
      </c>
      <c r="F1236" t="s">
        <v>1135</v>
      </c>
      <c r="G1236" s="28"/>
      <c r="N1236" s="28"/>
      <c r="O1236" s="28"/>
      <c r="X1236" s="40"/>
      <c r="Y1236" s="40"/>
    </row>
    <row r="1237" spans="5:25" x14ac:dyDescent="0.35">
      <c r="E1237" t="s">
        <v>196</v>
      </c>
      <c r="F1237" t="s">
        <v>1136</v>
      </c>
      <c r="G1237" s="28"/>
      <c r="N1237" s="28"/>
      <c r="O1237" s="28"/>
      <c r="X1237" s="40"/>
      <c r="Y1237" s="40"/>
    </row>
    <row r="1238" spans="5:25" x14ac:dyDescent="0.35">
      <c r="E1238" t="s">
        <v>196</v>
      </c>
      <c r="F1238" t="s">
        <v>1137</v>
      </c>
      <c r="G1238" s="28"/>
      <c r="N1238" s="28"/>
      <c r="O1238" s="28"/>
      <c r="X1238" s="40"/>
      <c r="Y1238" s="40"/>
    </row>
    <row r="1239" spans="5:25" x14ac:dyDescent="0.35">
      <c r="E1239" t="s">
        <v>196</v>
      </c>
      <c r="F1239" t="s">
        <v>1138</v>
      </c>
      <c r="G1239" s="28"/>
      <c r="N1239" s="28"/>
      <c r="O1239" s="28"/>
      <c r="X1239" s="40"/>
      <c r="Y1239" s="40"/>
    </row>
    <row r="1240" spans="5:25" x14ac:dyDescent="0.35">
      <c r="E1240" t="s">
        <v>196</v>
      </c>
      <c r="F1240" t="s">
        <v>1139</v>
      </c>
      <c r="G1240" s="28"/>
      <c r="N1240" s="28"/>
      <c r="O1240" s="28"/>
      <c r="X1240" s="40"/>
      <c r="Y1240" s="40"/>
    </row>
    <row r="1241" spans="5:25" x14ac:dyDescent="0.35">
      <c r="E1241" t="s">
        <v>196</v>
      </c>
      <c r="F1241" t="s">
        <v>1140</v>
      </c>
      <c r="G1241" s="28"/>
      <c r="N1241" s="28"/>
      <c r="O1241" s="28"/>
      <c r="X1241" s="40"/>
      <c r="Y1241" s="40"/>
    </row>
    <row r="1242" spans="5:25" x14ac:dyDescent="0.35">
      <c r="E1242" t="s">
        <v>196</v>
      </c>
      <c r="F1242" t="s">
        <v>1141</v>
      </c>
      <c r="G1242" s="28"/>
      <c r="N1242" s="28"/>
      <c r="O1242" s="28"/>
      <c r="X1242" s="40"/>
      <c r="Y1242" s="40"/>
    </row>
    <row r="1243" spans="5:25" x14ac:dyDescent="0.35">
      <c r="E1243" t="s">
        <v>196</v>
      </c>
      <c r="F1243" t="s">
        <v>1142</v>
      </c>
      <c r="G1243" s="28"/>
      <c r="N1243" s="28"/>
      <c r="O1243" s="28"/>
      <c r="X1243" s="40"/>
      <c r="Y1243" s="40"/>
    </row>
    <row r="1244" spans="5:25" x14ac:dyDescent="0.35">
      <c r="E1244" t="s">
        <v>196</v>
      </c>
      <c r="F1244" t="s">
        <v>1143</v>
      </c>
      <c r="G1244" s="28"/>
      <c r="N1244" s="28"/>
      <c r="O1244" s="28"/>
      <c r="X1244" s="40"/>
      <c r="Y1244" s="40"/>
    </row>
    <row r="1245" spans="5:25" x14ac:dyDescent="0.35">
      <c r="E1245" t="s">
        <v>196</v>
      </c>
      <c r="F1245" t="s">
        <v>595</v>
      </c>
      <c r="G1245" s="28"/>
      <c r="N1245" s="28"/>
      <c r="O1245" s="28"/>
      <c r="X1245" s="40"/>
      <c r="Y1245" s="40"/>
    </row>
    <row r="1246" spans="5:25" x14ac:dyDescent="0.35">
      <c r="E1246" t="s">
        <v>196</v>
      </c>
      <c r="F1246" t="s">
        <v>1144</v>
      </c>
      <c r="G1246" s="28"/>
      <c r="N1246" s="28"/>
      <c r="O1246" s="28"/>
      <c r="X1246" s="40"/>
      <c r="Y1246" s="40"/>
    </row>
    <row r="1247" spans="5:25" x14ac:dyDescent="0.35">
      <c r="E1247" t="s">
        <v>196</v>
      </c>
      <c r="F1247" t="s">
        <v>650</v>
      </c>
      <c r="G1247" s="28"/>
      <c r="N1247" s="28"/>
      <c r="O1247" s="28"/>
      <c r="X1247" s="40"/>
      <c r="Y1247" s="40"/>
    </row>
    <row r="1248" spans="5:25" x14ac:dyDescent="0.35">
      <c r="E1248" t="s">
        <v>196</v>
      </c>
      <c r="F1248" t="s">
        <v>1145</v>
      </c>
      <c r="G1248" s="28"/>
      <c r="N1248" s="28"/>
      <c r="O1248" s="28"/>
      <c r="X1248" s="40"/>
      <c r="Y1248" s="40"/>
    </row>
    <row r="1249" spans="5:25" x14ac:dyDescent="0.35">
      <c r="E1249" t="s">
        <v>196</v>
      </c>
      <c r="F1249" t="s">
        <v>337</v>
      </c>
      <c r="G1249" s="28"/>
      <c r="N1249" s="28"/>
      <c r="O1249" s="28"/>
      <c r="X1249" s="40"/>
      <c r="Y1249" s="40"/>
    </row>
    <row r="1250" spans="5:25" x14ac:dyDescent="0.35">
      <c r="E1250" t="s">
        <v>196</v>
      </c>
      <c r="F1250" t="s">
        <v>765</v>
      </c>
      <c r="G1250" s="28"/>
      <c r="N1250" s="28"/>
      <c r="O1250" s="28"/>
      <c r="X1250" s="40"/>
      <c r="Y1250" s="40"/>
    </row>
    <row r="1251" spans="5:25" x14ac:dyDescent="0.35">
      <c r="E1251" t="s">
        <v>196</v>
      </c>
      <c r="F1251" t="s">
        <v>1146</v>
      </c>
      <c r="G1251" s="28"/>
      <c r="N1251" s="28"/>
      <c r="O1251" s="28"/>
      <c r="X1251" s="40"/>
      <c r="Y1251" s="40"/>
    </row>
    <row r="1252" spans="5:25" x14ac:dyDescent="0.35">
      <c r="E1252" t="s">
        <v>196</v>
      </c>
      <c r="F1252" t="s">
        <v>1147</v>
      </c>
      <c r="G1252" s="28"/>
      <c r="N1252" s="28"/>
      <c r="O1252" s="28"/>
      <c r="X1252" s="40"/>
      <c r="Y1252" s="40"/>
    </row>
    <row r="1253" spans="5:25" x14ac:dyDescent="0.35">
      <c r="E1253" t="s">
        <v>196</v>
      </c>
      <c r="F1253" t="s">
        <v>1148</v>
      </c>
      <c r="G1253" s="28"/>
      <c r="N1253" s="28"/>
      <c r="O1253" s="28"/>
      <c r="X1253" s="40"/>
      <c r="Y1253" s="40"/>
    </row>
    <row r="1254" spans="5:25" x14ac:dyDescent="0.35">
      <c r="E1254" t="s">
        <v>196</v>
      </c>
      <c r="F1254" t="s">
        <v>1149</v>
      </c>
      <c r="G1254" s="28"/>
      <c r="N1254" s="28"/>
      <c r="O1254" s="28"/>
      <c r="X1254" s="40"/>
      <c r="Y1254" s="40"/>
    </row>
    <row r="1255" spans="5:25" x14ac:dyDescent="0.35">
      <c r="E1255" t="s">
        <v>196</v>
      </c>
      <c r="F1255" t="s">
        <v>769</v>
      </c>
      <c r="G1255" s="28"/>
      <c r="N1255" s="28"/>
      <c r="O1255" s="28"/>
      <c r="X1255" s="40"/>
      <c r="Y1255" s="40"/>
    </row>
    <row r="1256" spans="5:25" x14ac:dyDescent="0.35">
      <c r="E1256" t="s">
        <v>196</v>
      </c>
      <c r="F1256" t="s">
        <v>410</v>
      </c>
      <c r="G1256" s="28"/>
      <c r="N1256" s="28"/>
      <c r="O1256" s="28"/>
      <c r="X1256" s="40"/>
      <c r="Y1256" s="40"/>
    </row>
    <row r="1257" spans="5:25" x14ac:dyDescent="0.35">
      <c r="E1257" t="s">
        <v>196</v>
      </c>
      <c r="F1257" t="s">
        <v>541</v>
      </c>
      <c r="G1257" s="28"/>
      <c r="N1257" s="28"/>
      <c r="O1257" s="28"/>
      <c r="X1257" s="40"/>
      <c r="Y1257" s="40"/>
    </row>
    <row r="1258" spans="5:25" x14ac:dyDescent="0.35">
      <c r="E1258" t="s">
        <v>196</v>
      </c>
      <c r="F1258" t="s">
        <v>773</v>
      </c>
      <c r="G1258" s="28"/>
      <c r="N1258" s="28"/>
      <c r="O1258" s="28"/>
      <c r="X1258" s="40"/>
      <c r="Y1258" s="40"/>
    </row>
    <row r="1259" spans="5:25" x14ac:dyDescent="0.35">
      <c r="E1259" t="s">
        <v>196</v>
      </c>
      <c r="F1259" t="s">
        <v>1150</v>
      </c>
      <c r="G1259" s="28"/>
      <c r="N1259" s="28"/>
      <c r="O1259" s="28"/>
      <c r="X1259" s="40"/>
      <c r="Y1259" s="40"/>
    </row>
    <row r="1260" spans="5:25" x14ac:dyDescent="0.35">
      <c r="E1260" t="s">
        <v>196</v>
      </c>
      <c r="F1260" t="s">
        <v>775</v>
      </c>
      <c r="G1260" s="28"/>
      <c r="N1260" s="28"/>
      <c r="O1260" s="28"/>
      <c r="X1260" s="40"/>
      <c r="Y1260" s="40"/>
    </row>
    <row r="1261" spans="5:25" x14ac:dyDescent="0.35">
      <c r="E1261" t="s">
        <v>196</v>
      </c>
      <c r="F1261" t="s">
        <v>1151</v>
      </c>
      <c r="G1261" s="28"/>
      <c r="N1261" s="28"/>
      <c r="O1261" s="28"/>
      <c r="X1261" s="40"/>
      <c r="Y1261" s="40"/>
    </row>
    <row r="1262" spans="5:25" x14ac:dyDescent="0.35">
      <c r="E1262" t="s">
        <v>196</v>
      </c>
      <c r="F1262" t="s">
        <v>1152</v>
      </c>
      <c r="G1262" s="28"/>
      <c r="N1262" s="28"/>
      <c r="O1262" s="28"/>
      <c r="X1262" s="40"/>
      <c r="Y1262" s="40"/>
    </row>
    <row r="1263" spans="5:25" x14ac:dyDescent="0.35">
      <c r="E1263" t="s">
        <v>196</v>
      </c>
      <c r="F1263" t="s">
        <v>1153</v>
      </c>
      <c r="G1263" s="28"/>
      <c r="N1263" s="28"/>
      <c r="O1263" s="28"/>
      <c r="X1263" s="40"/>
      <c r="Y1263" s="40"/>
    </row>
    <row r="1264" spans="5:25" x14ac:dyDescent="0.35">
      <c r="E1264" t="s">
        <v>196</v>
      </c>
      <c r="F1264" t="s">
        <v>1154</v>
      </c>
      <c r="G1264" s="28"/>
      <c r="N1264" s="28"/>
      <c r="O1264" s="28"/>
      <c r="X1264" s="40"/>
      <c r="Y1264" s="40"/>
    </row>
    <row r="1265" spans="5:25" x14ac:dyDescent="0.35">
      <c r="E1265" t="s">
        <v>196</v>
      </c>
      <c r="F1265" t="s">
        <v>1155</v>
      </c>
      <c r="G1265" s="28"/>
      <c r="N1265" s="28"/>
      <c r="O1265" s="28"/>
      <c r="X1265" s="40"/>
      <c r="Y1265" s="40"/>
    </row>
    <row r="1266" spans="5:25" x14ac:dyDescent="0.35">
      <c r="E1266" t="s">
        <v>196</v>
      </c>
      <c r="F1266" t="s">
        <v>1156</v>
      </c>
      <c r="G1266" s="28"/>
      <c r="N1266" s="28"/>
      <c r="O1266" s="28"/>
      <c r="X1266" s="40"/>
      <c r="Y1266" s="40"/>
    </row>
    <row r="1267" spans="5:25" x14ac:dyDescent="0.35">
      <c r="E1267" t="s">
        <v>196</v>
      </c>
      <c r="F1267" t="s">
        <v>1157</v>
      </c>
      <c r="G1267" s="28"/>
      <c r="N1267" s="28"/>
      <c r="O1267" s="28"/>
      <c r="X1267" s="40"/>
      <c r="Y1267" s="40"/>
    </row>
    <row r="1268" spans="5:25" x14ac:dyDescent="0.35">
      <c r="E1268" t="s">
        <v>196</v>
      </c>
      <c r="F1268" t="s">
        <v>1158</v>
      </c>
      <c r="G1268" s="28"/>
      <c r="N1268" s="28"/>
      <c r="O1268" s="28"/>
      <c r="X1268" s="40"/>
      <c r="Y1268" s="40"/>
    </row>
    <row r="1269" spans="5:25" x14ac:dyDescent="0.35">
      <c r="E1269" t="s">
        <v>196</v>
      </c>
      <c r="F1269" t="s">
        <v>1159</v>
      </c>
      <c r="G1269" s="28"/>
      <c r="N1269" s="28"/>
      <c r="O1269" s="28"/>
      <c r="X1269" s="40"/>
      <c r="Y1269" s="40"/>
    </row>
    <row r="1270" spans="5:25" x14ac:dyDescent="0.35">
      <c r="E1270" t="s">
        <v>196</v>
      </c>
      <c r="F1270" t="s">
        <v>1160</v>
      </c>
      <c r="G1270" s="28"/>
      <c r="N1270" s="28"/>
      <c r="O1270" s="28"/>
      <c r="X1270" s="40"/>
      <c r="Y1270" s="40"/>
    </row>
    <row r="1271" spans="5:25" x14ac:dyDescent="0.35">
      <c r="E1271" t="s">
        <v>196</v>
      </c>
      <c r="F1271" t="s">
        <v>1161</v>
      </c>
      <c r="G1271" s="28"/>
      <c r="N1271" s="28"/>
      <c r="O1271" s="28"/>
      <c r="X1271" s="40"/>
      <c r="Y1271" s="40"/>
    </row>
    <row r="1272" spans="5:25" x14ac:dyDescent="0.35">
      <c r="E1272" t="s">
        <v>196</v>
      </c>
      <c r="F1272" t="s">
        <v>1162</v>
      </c>
      <c r="G1272" s="28"/>
      <c r="N1272" s="28"/>
      <c r="O1272" s="28"/>
      <c r="X1272" s="40"/>
      <c r="Y1272" s="40"/>
    </row>
    <row r="1273" spans="5:25" x14ac:dyDescent="0.35">
      <c r="E1273" t="s">
        <v>196</v>
      </c>
      <c r="F1273" t="s">
        <v>1163</v>
      </c>
      <c r="G1273" s="28"/>
      <c r="N1273" s="28"/>
      <c r="O1273" s="28"/>
      <c r="X1273" s="40"/>
      <c r="Y1273" s="40"/>
    </row>
    <row r="1274" spans="5:25" x14ac:dyDescent="0.35">
      <c r="E1274" t="s">
        <v>196</v>
      </c>
      <c r="F1274" t="s">
        <v>365</v>
      </c>
      <c r="G1274" s="28"/>
      <c r="N1274" s="28"/>
      <c r="O1274" s="28"/>
      <c r="X1274" s="40"/>
      <c r="Y1274" s="40"/>
    </row>
    <row r="1275" spans="5:25" x14ac:dyDescent="0.35">
      <c r="E1275" t="s">
        <v>196</v>
      </c>
      <c r="F1275" t="s">
        <v>1164</v>
      </c>
      <c r="G1275" s="28"/>
      <c r="N1275" s="28"/>
      <c r="O1275" s="28"/>
      <c r="X1275" s="40"/>
      <c r="Y1275" s="40"/>
    </row>
    <row r="1276" spans="5:25" x14ac:dyDescent="0.35">
      <c r="E1276" t="s">
        <v>196</v>
      </c>
      <c r="F1276" t="s">
        <v>1165</v>
      </c>
      <c r="G1276" s="28"/>
      <c r="N1276" s="28"/>
      <c r="O1276" s="28"/>
      <c r="X1276" s="40"/>
      <c r="Y1276" s="40"/>
    </row>
    <row r="1277" spans="5:25" x14ac:dyDescent="0.35">
      <c r="E1277" t="s">
        <v>196</v>
      </c>
      <c r="F1277" t="s">
        <v>590</v>
      </c>
      <c r="G1277" s="28"/>
      <c r="N1277" s="28"/>
      <c r="O1277" s="28"/>
      <c r="X1277" s="40"/>
      <c r="Y1277" s="40"/>
    </row>
    <row r="1278" spans="5:25" x14ac:dyDescent="0.35">
      <c r="E1278" t="s">
        <v>196</v>
      </c>
      <c r="F1278" t="s">
        <v>1166</v>
      </c>
      <c r="G1278" s="28"/>
      <c r="N1278" s="28"/>
      <c r="O1278" s="28"/>
      <c r="X1278" s="40"/>
      <c r="Y1278" s="40"/>
    </row>
    <row r="1279" spans="5:25" x14ac:dyDescent="0.35">
      <c r="E1279" t="s">
        <v>196</v>
      </c>
      <c r="F1279" t="s">
        <v>486</v>
      </c>
      <c r="G1279" s="28"/>
      <c r="N1279" s="28"/>
      <c r="O1279" s="28"/>
      <c r="X1279" s="40"/>
      <c r="Y1279" s="40"/>
    </row>
    <row r="1280" spans="5:25" x14ac:dyDescent="0.35">
      <c r="E1280" t="s">
        <v>196</v>
      </c>
      <c r="F1280" t="s">
        <v>1167</v>
      </c>
      <c r="G1280" s="28"/>
      <c r="N1280" s="28"/>
      <c r="O1280" s="28"/>
      <c r="X1280" s="40"/>
      <c r="Y1280" s="40"/>
    </row>
    <row r="1281" spans="5:25" x14ac:dyDescent="0.35">
      <c r="E1281" t="s">
        <v>196</v>
      </c>
      <c r="F1281" t="s">
        <v>1168</v>
      </c>
      <c r="G1281" s="28"/>
      <c r="N1281" s="28"/>
      <c r="O1281" s="28"/>
      <c r="X1281" s="40"/>
      <c r="Y1281" s="40"/>
    </row>
    <row r="1282" spans="5:25" x14ac:dyDescent="0.35">
      <c r="E1282" t="s">
        <v>196</v>
      </c>
      <c r="F1282" t="s">
        <v>1169</v>
      </c>
      <c r="G1282" s="28"/>
      <c r="N1282" s="28"/>
      <c r="O1282" s="28"/>
      <c r="X1282" s="40"/>
      <c r="Y1282" s="40"/>
    </row>
    <row r="1283" spans="5:25" x14ac:dyDescent="0.35">
      <c r="E1283" t="s">
        <v>196</v>
      </c>
      <c r="F1283" t="s">
        <v>865</v>
      </c>
      <c r="G1283" s="28"/>
      <c r="N1283" s="28"/>
      <c r="O1283" s="28"/>
      <c r="X1283" s="40"/>
      <c r="Y1283" s="40"/>
    </row>
    <row r="1284" spans="5:25" x14ac:dyDescent="0.35">
      <c r="E1284" t="s">
        <v>196</v>
      </c>
      <c r="F1284" t="s">
        <v>1170</v>
      </c>
      <c r="G1284" s="28"/>
      <c r="N1284" s="28"/>
      <c r="O1284" s="28"/>
      <c r="X1284" s="40"/>
      <c r="Y1284" s="40"/>
    </row>
    <row r="1285" spans="5:25" x14ac:dyDescent="0.35">
      <c r="E1285" t="s">
        <v>196</v>
      </c>
      <c r="F1285" t="s">
        <v>1171</v>
      </c>
      <c r="G1285" s="28"/>
      <c r="N1285" s="28"/>
      <c r="O1285" s="28"/>
      <c r="X1285" s="40"/>
      <c r="Y1285" s="40"/>
    </row>
    <row r="1286" spans="5:25" x14ac:dyDescent="0.35">
      <c r="E1286" t="s">
        <v>196</v>
      </c>
      <c r="F1286" t="s">
        <v>1172</v>
      </c>
      <c r="G1286" s="28"/>
      <c r="N1286" s="28"/>
      <c r="O1286" s="28"/>
      <c r="X1286" s="40"/>
      <c r="Y1286" s="40"/>
    </row>
    <row r="1287" spans="5:25" x14ac:dyDescent="0.35">
      <c r="E1287" t="s">
        <v>196</v>
      </c>
      <c r="F1287" t="s">
        <v>1173</v>
      </c>
      <c r="G1287" s="28"/>
      <c r="N1287" s="28"/>
      <c r="O1287" s="28"/>
      <c r="X1287" s="40"/>
      <c r="Y1287" s="40"/>
    </row>
    <row r="1288" spans="5:25" x14ac:dyDescent="0.35">
      <c r="E1288" t="s">
        <v>196</v>
      </c>
      <c r="F1288" t="s">
        <v>1174</v>
      </c>
      <c r="G1288" s="28"/>
      <c r="N1288" s="28"/>
      <c r="O1288" s="28"/>
      <c r="X1288" s="40"/>
      <c r="Y1288" s="40"/>
    </row>
    <row r="1289" spans="5:25" x14ac:dyDescent="0.35">
      <c r="E1289" t="s">
        <v>196</v>
      </c>
      <c r="F1289" t="s">
        <v>867</v>
      </c>
      <c r="G1289" s="28"/>
      <c r="N1289" s="28"/>
      <c r="O1289" s="28"/>
      <c r="X1289" s="40"/>
      <c r="Y1289" s="40"/>
    </row>
    <row r="1290" spans="5:25" x14ac:dyDescent="0.35">
      <c r="E1290" t="s">
        <v>196</v>
      </c>
      <c r="F1290" t="s">
        <v>1175</v>
      </c>
      <c r="G1290" s="28"/>
      <c r="N1290" s="28"/>
      <c r="O1290" s="28"/>
      <c r="X1290" s="40"/>
      <c r="Y1290" s="40"/>
    </row>
    <row r="1291" spans="5:25" x14ac:dyDescent="0.35">
      <c r="E1291" t="s">
        <v>196</v>
      </c>
      <c r="F1291" t="s">
        <v>1176</v>
      </c>
      <c r="G1291" s="28"/>
      <c r="N1291" s="28"/>
      <c r="O1291" s="28"/>
      <c r="X1291" s="40"/>
      <c r="Y1291" s="40"/>
    </row>
    <row r="1292" spans="5:25" x14ac:dyDescent="0.35">
      <c r="E1292" t="s">
        <v>196</v>
      </c>
      <c r="F1292" t="s">
        <v>1177</v>
      </c>
      <c r="G1292" s="28"/>
      <c r="N1292" s="28"/>
      <c r="O1292" s="28"/>
      <c r="X1292" s="40"/>
      <c r="Y1292" s="40"/>
    </row>
    <row r="1293" spans="5:25" x14ac:dyDescent="0.35">
      <c r="E1293" t="s">
        <v>196</v>
      </c>
      <c r="F1293" t="s">
        <v>1178</v>
      </c>
      <c r="G1293" s="28"/>
      <c r="N1293" s="28"/>
      <c r="O1293" s="28"/>
      <c r="X1293" s="40"/>
      <c r="Y1293" s="40"/>
    </row>
    <row r="1294" spans="5:25" x14ac:dyDescent="0.35">
      <c r="E1294" t="s">
        <v>196</v>
      </c>
      <c r="F1294" t="s">
        <v>379</v>
      </c>
      <c r="G1294" s="28"/>
      <c r="N1294" s="28"/>
      <c r="O1294" s="28"/>
      <c r="X1294" s="40"/>
      <c r="Y1294" s="40"/>
    </row>
    <row r="1295" spans="5:25" x14ac:dyDescent="0.35">
      <c r="E1295" t="s">
        <v>196</v>
      </c>
      <c r="F1295" t="s">
        <v>1179</v>
      </c>
      <c r="G1295" s="28"/>
      <c r="N1295" s="28"/>
      <c r="O1295" s="28"/>
      <c r="X1295" s="40"/>
      <c r="Y1295" s="40"/>
    </row>
    <row r="1296" spans="5:25" x14ac:dyDescent="0.35">
      <c r="E1296" t="s">
        <v>196</v>
      </c>
      <c r="F1296" t="s">
        <v>1180</v>
      </c>
      <c r="G1296" s="28"/>
      <c r="N1296" s="28"/>
      <c r="O1296" s="28"/>
      <c r="X1296" s="40"/>
      <c r="Y1296" s="40"/>
    </row>
    <row r="1297" spans="5:25" x14ac:dyDescent="0.35">
      <c r="E1297" t="s">
        <v>196</v>
      </c>
      <c r="F1297" t="s">
        <v>1181</v>
      </c>
      <c r="G1297" s="28"/>
      <c r="N1297" s="28"/>
      <c r="O1297" s="28"/>
      <c r="X1297" s="40"/>
      <c r="Y1297" s="40"/>
    </row>
    <row r="1298" spans="5:25" x14ac:dyDescent="0.35">
      <c r="E1298" t="s">
        <v>196</v>
      </c>
      <c r="F1298" t="s">
        <v>1182</v>
      </c>
      <c r="G1298" s="28"/>
      <c r="N1298" s="28"/>
      <c r="O1298" s="28"/>
      <c r="X1298" s="40"/>
      <c r="Y1298" s="40"/>
    </row>
    <row r="1299" spans="5:25" x14ac:dyDescent="0.35">
      <c r="E1299" t="s">
        <v>196</v>
      </c>
      <c r="F1299" t="s">
        <v>1183</v>
      </c>
      <c r="G1299" s="28"/>
      <c r="N1299" s="28"/>
      <c r="O1299" s="28"/>
      <c r="X1299" s="40"/>
      <c r="Y1299" s="40"/>
    </row>
    <row r="1300" spans="5:25" x14ac:dyDescent="0.35">
      <c r="E1300" t="s">
        <v>196</v>
      </c>
      <c r="F1300" t="s">
        <v>1184</v>
      </c>
      <c r="G1300" s="28"/>
      <c r="N1300" s="28"/>
      <c r="O1300" s="28"/>
      <c r="X1300" s="40"/>
      <c r="Y1300" s="40"/>
    </row>
    <row r="1301" spans="5:25" x14ac:dyDescent="0.35">
      <c r="E1301" t="s">
        <v>196</v>
      </c>
      <c r="F1301" t="s">
        <v>1185</v>
      </c>
      <c r="G1301" s="28"/>
      <c r="N1301" s="28"/>
      <c r="O1301" s="28"/>
      <c r="X1301" s="40"/>
      <c r="Y1301" s="40"/>
    </row>
    <row r="1302" spans="5:25" x14ac:dyDescent="0.35">
      <c r="E1302" t="s">
        <v>196</v>
      </c>
      <c r="F1302" t="s">
        <v>1186</v>
      </c>
      <c r="G1302" s="28"/>
      <c r="N1302" s="28"/>
      <c r="O1302" s="28"/>
      <c r="X1302" s="40"/>
      <c r="Y1302" s="40"/>
    </row>
    <row r="1303" spans="5:25" x14ac:dyDescent="0.35">
      <c r="E1303" t="s">
        <v>196</v>
      </c>
      <c r="F1303" t="s">
        <v>627</v>
      </c>
      <c r="G1303" s="28"/>
      <c r="N1303" s="28"/>
      <c r="O1303" s="28"/>
      <c r="X1303" s="40"/>
      <c r="Y1303" s="40"/>
    </row>
    <row r="1304" spans="5:25" x14ac:dyDescent="0.35">
      <c r="E1304" t="s">
        <v>196</v>
      </c>
      <c r="F1304" t="s">
        <v>1187</v>
      </c>
      <c r="G1304" s="28"/>
      <c r="N1304" s="28"/>
      <c r="O1304" s="28"/>
      <c r="X1304" s="40"/>
      <c r="Y1304" s="40"/>
    </row>
    <row r="1305" spans="5:25" x14ac:dyDescent="0.35">
      <c r="E1305" t="s">
        <v>196</v>
      </c>
      <c r="F1305" t="s">
        <v>1188</v>
      </c>
      <c r="G1305" s="28"/>
      <c r="N1305" s="28"/>
      <c r="O1305" s="28"/>
      <c r="X1305" s="40"/>
      <c r="Y1305" s="40"/>
    </row>
    <row r="1306" spans="5:25" x14ac:dyDescent="0.35">
      <c r="E1306" t="s">
        <v>196</v>
      </c>
      <c r="F1306" t="s">
        <v>971</v>
      </c>
      <c r="G1306" s="28"/>
      <c r="N1306" s="28"/>
      <c r="O1306" s="28"/>
      <c r="X1306" s="40"/>
      <c r="Y1306" s="40"/>
    </row>
    <row r="1307" spans="5:25" x14ac:dyDescent="0.35">
      <c r="E1307" t="s">
        <v>196</v>
      </c>
      <c r="F1307" t="s">
        <v>1189</v>
      </c>
      <c r="G1307" s="28"/>
      <c r="N1307" s="28"/>
      <c r="O1307" s="28"/>
      <c r="X1307" s="40"/>
      <c r="Y1307" s="40"/>
    </row>
    <row r="1308" spans="5:25" x14ac:dyDescent="0.35">
      <c r="E1308" t="s">
        <v>196</v>
      </c>
      <c r="F1308" t="s">
        <v>1190</v>
      </c>
      <c r="G1308" s="28"/>
      <c r="N1308" s="28"/>
      <c r="O1308" s="28"/>
      <c r="X1308" s="40"/>
      <c r="Y1308" s="40"/>
    </row>
    <row r="1309" spans="5:25" x14ac:dyDescent="0.35">
      <c r="E1309" t="s">
        <v>196</v>
      </c>
      <c r="F1309" t="s">
        <v>1191</v>
      </c>
      <c r="G1309" s="28"/>
      <c r="N1309" s="28"/>
      <c r="O1309" s="28"/>
      <c r="X1309" s="40"/>
      <c r="Y1309" s="40"/>
    </row>
    <row r="1310" spans="5:25" x14ac:dyDescent="0.35">
      <c r="E1310" t="s">
        <v>196</v>
      </c>
      <c r="F1310" t="s">
        <v>387</v>
      </c>
      <c r="G1310" s="28"/>
      <c r="N1310" s="28"/>
      <c r="O1310" s="28"/>
      <c r="X1310" s="40"/>
      <c r="Y1310" s="40"/>
    </row>
    <row r="1311" spans="5:25" x14ac:dyDescent="0.35">
      <c r="E1311" t="s">
        <v>196</v>
      </c>
      <c r="F1311" t="s">
        <v>1192</v>
      </c>
      <c r="G1311" s="28"/>
      <c r="N1311" s="28"/>
      <c r="O1311" s="28"/>
      <c r="X1311" s="40"/>
      <c r="Y1311" s="40"/>
    </row>
    <row r="1312" spans="5:25" x14ac:dyDescent="0.35">
      <c r="E1312" t="s">
        <v>196</v>
      </c>
      <c r="F1312" t="s">
        <v>1193</v>
      </c>
      <c r="G1312" s="28"/>
      <c r="N1312" s="28"/>
      <c r="O1312" s="28"/>
      <c r="X1312" s="40"/>
      <c r="Y1312" s="40"/>
    </row>
    <row r="1313" spans="5:25" x14ac:dyDescent="0.35">
      <c r="E1313" t="s">
        <v>196</v>
      </c>
      <c r="F1313" t="s">
        <v>1194</v>
      </c>
      <c r="G1313" s="28"/>
      <c r="N1313" s="28"/>
      <c r="O1313" s="28"/>
      <c r="X1313" s="40"/>
      <c r="Y1313" s="40"/>
    </row>
    <row r="1314" spans="5:25" x14ac:dyDescent="0.35">
      <c r="E1314" t="s">
        <v>196</v>
      </c>
      <c r="F1314" t="s">
        <v>1195</v>
      </c>
      <c r="G1314" s="28"/>
      <c r="N1314" s="28"/>
      <c r="O1314" s="28"/>
      <c r="X1314" s="40"/>
      <c r="Y1314" s="40"/>
    </row>
    <row r="1315" spans="5:25" x14ac:dyDescent="0.35">
      <c r="E1315" t="s">
        <v>196</v>
      </c>
      <c r="F1315" t="s">
        <v>1196</v>
      </c>
      <c r="G1315" s="28"/>
      <c r="N1315" s="28"/>
      <c r="O1315" s="28"/>
      <c r="X1315" s="40"/>
      <c r="Y1315" s="40"/>
    </row>
    <row r="1316" spans="5:25" x14ac:dyDescent="0.35">
      <c r="E1316" t="s">
        <v>196</v>
      </c>
      <c r="F1316" t="s">
        <v>450</v>
      </c>
      <c r="G1316" s="28"/>
      <c r="N1316" s="28"/>
      <c r="O1316" s="28"/>
      <c r="X1316" s="40"/>
      <c r="Y1316" s="40"/>
    </row>
    <row r="1317" spans="5:25" x14ac:dyDescent="0.35">
      <c r="E1317" t="s">
        <v>196</v>
      </c>
      <c r="F1317" t="s">
        <v>1197</v>
      </c>
      <c r="G1317" s="28"/>
      <c r="N1317" s="28"/>
      <c r="O1317" s="28"/>
      <c r="X1317" s="40"/>
      <c r="Y1317" s="40"/>
    </row>
    <row r="1318" spans="5:25" x14ac:dyDescent="0.35">
      <c r="E1318" t="s">
        <v>196</v>
      </c>
      <c r="F1318" t="s">
        <v>745</v>
      </c>
      <c r="G1318" s="28"/>
      <c r="N1318" s="28"/>
      <c r="O1318" s="28"/>
      <c r="X1318" s="40"/>
      <c r="Y1318" s="40"/>
    </row>
    <row r="1319" spans="5:25" x14ac:dyDescent="0.35">
      <c r="E1319" t="s">
        <v>196</v>
      </c>
      <c r="F1319" t="s">
        <v>1198</v>
      </c>
      <c r="G1319" s="28"/>
      <c r="N1319" s="28"/>
      <c r="O1319" s="28"/>
      <c r="X1319" s="40"/>
      <c r="Y1319" s="40"/>
    </row>
    <row r="1320" spans="5:25" x14ac:dyDescent="0.35">
      <c r="E1320" t="s">
        <v>197</v>
      </c>
      <c r="F1320" t="s">
        <v>1199</v>
      </c>
      <c r="G1320" s="28"/>
      <c r="N1320" s="28"/>
      <c r="O1320" s="28"/>
      <c r="X1320" s="40"/>
      <c r="Y1320" s="40"/>
    </row>
    <row r="1321" spans="5:25" x14ac:dyDescent="0.35">
      <c r="E1321" t="s">
        <v>197</v>
      </c>
      <c r="F1321" t="s">
        <v>1200</v>
      </c>
      <c r="G1321" s="28"/>
      <c r="N1321" s="28"/>
      <c r="O1321" s="28"/>
      <c r="X1321" s="40"/>
      <c r="Y1321" s="40"/>
    </row>
    <row r="1322" spans="5:25" x14ac:dyDescent="0.35">
      <c r="E1322" t="s">
        <v>197</v>
      </c>
      <c r="F1322" t="s">
        <v>1201</v>
      </c>
      <c r="G1322" s="28"/>
      <c r="N1322" s="28"/>
      <c r="O1322" s="28"/>
      <c r="X1322" s="40"/>
      <c r="Y1322" s="40"/>
    </row>
    <row r="1323" spans="5:25" x14ac:dyDescent="0.35">
      <c r="E1323" t="s">
        <v>197</v>
      </c>
      <c r="F1323" t="s">
        <v>1202</v>
      </c>
      <c r="G1323" s="28"/>
      <c r="N1323" s="28"/>
      <c r="O1323" s="28"/>
      <c r="X1323" s="40"/>
      <c r="Y1323" s="40"/>
    </row>
    <row r="1324" spans="5:25" x14ac:dyDescent="0.35">
      <c r="E1324" t="s">
        <v>197</v>
      </c>
      <c r="F1324" t="s">
        <v>400</v>
      </c>
      <c r="G1324" s="28"/>
      <c r="N1324" s="28"/>
      <c r="O1324" s="28"/>
      <c r="X1324" s="40"/>
      <c r="Y1324" s="40"/>
    </row>
    <row r="1325" spans="5:25" x14ac:dyDescent="0.35">
      <c r="E1325" t="s">
        <v>197</v>
      </c>
      <c r="F1325" t="s">
        <v>1203</v>
      </c>
      <c r="G1325" s="28"/>
      <c r="N1325" s="28"/>
      <c r="O1325" s="28"/>
      <c r="X1325" s="40"/>
      <c r="Y1325" s="40"/>
    </row>
    <row r="1326" spans="5:25" x14ac:dyDescent="0.35">
      <c r="E1326" t="s">
        <v>197</v>
      </c>
      <c r="F1326" t="s">
        <v>1204</v>
      </c>
      <c r="G1326" s="28"/>
      <c r="N1326" s="28"/>
      <c r="O1326" s="28"/>
      <c r="X1326" s="40"/>
      <c r="Y1326" s="40"/>
    </row>
    <row r="1327" spans="5:25" x14ac:dyDescent="0.35">
      <c r="E1327" t="s">
        <v>197</v>
      </c>
      <c r="F1327" t="s">
        <v>844</v>
      </c>
      <c r="G1327" s="28"/>
      <c r="N1327" s="28"/>
      <c r="O1327" s="28"/>
      <c r="X1327" s="40"/>
      <c r="Y1327" s="40"/>
    </row>
    <row r="1328" spans="5:25" x14ac:dyDescent="0.35">
      <c r="E1328" t="s">
        <v>197</v>
      </c>
      <c r="F1328" t="s">
        <v>1205</v>
      </c>
      <c r="G1328" s="28"/>
      <c r="N1328" s="28"/>
      <c r="O1328" s="28"/>
      <c r="X1328" s="40"/>
      <c r="Y1328" s="40"/>
    </row>
    <row r="1329" spans="5:25" x14ac:dyDescent="0.35">
      <c r="E1329" t="s">
        <v>197</v>
      </c>
      <c r="F1329" t="s">
        <v>1206</v>
      </c>
      <c r="G1329" s="28"/>
      <c r="N1329" s="28"/>
      <c r="O1329" s="28"/>
      <c r="X1329" s="40"/>
      <c r="Y1329" s="40"/>
    </row>
    <row r="1330" spans="5:25" x14ac:dyDescent="0.35">
      <c r="E1330" t="s">
        <v>197</v>
      </c>
      <c r="F1330" t="s">
        <v>765</v>
      </c>
      <c r="G1330" s="28"/>
      <c r="N1330" s="28"/>
      <c r="O1330" s="28"/>
      <c r="X1330" s="40"/>
      <c r="Y1330" s="40"/>
    </row>
    <row r="1331" spans="5:25" x14ac:dyDescent="0.35">
      <c r="E1331" t="s">
        <v>197</v>
      </c>
      <c r="F1331" t="s">
        <v>1148</v>
      </c>
      <c r="G1331" s="28"/>
      <c r="N1331" s="28"/>
      <c r="O1331" s="28"/>
      <c r="X1331" s="40"/>
      <c r="Y1331" s="40"/>
    </row>
    <row r="1332" spans="5:25" x14ac:dyDescent="0.35">
      <c r="E1332" t="s">
        <v>197</v>
      </c>
      <c r="F1332" t="s">
        <v>1207</v>
      </c>
      <c r="G1332" s="28"/>
      <c r="N1332" s="28"/>
      <c r="O1332" s="28"/>
      <c r="X1332" s="40"/>
      <c r="Y1332" s="40"/>
    </row>
    <row r="1333" spans="5:25" x14ac:dyDescent="0.35">
      <c r="E1333" t="s">
        <v>197</v>
      </c>
      <c r="F1333" t="s">
        <v>343</v>
      </c>
      <c r="G1333" s="28"/>
      <c r="N1333" s="28"/>
      <c r="O1333" s="28"/>
      <c r="X1333" s="40"/>
      <c r="Y1333" s="40"/>
    </row>
    <row r="1334" spans="5:25" x14ac:dyDescent="0.35">
      <c r="E1334" t="s">
        <v>197</v>
      </c>
      <c r="F1334" t="s">
        <v>823</v>
      </c>
      <c r="G1334" s="28"/>
      <c r="N1334" s="28"/>
      <c r="O1334" s="28"/>
      <c r="X1334" s="40"/>
      <c r="Y1334" s="40"/>
    </row>
    <row r="1335" spans="5:25" x14ac:dyDescent="0.35">
      <c r="E1335" t="s">
        <v>197</v>
      </c>
      <c r="F1335" t="s">
        <v>669</v>
      </c>
      <c r="G1335" s="28"/>
      <c r="N1335" s="28"/>
      <c r="O1335" s="28"/>
      <c r="X1335" s="40"/>
      <c r="Y1335" s="40"/>
    </row>
    <row r="1336" spans="5:25" x14ac:dyDescent="0.35">
      <c r="E1336" t="s">
        <v>197</v>
      </c>
      <c r="F1336" t="s">
        <v>1208</v>
      </c>
      <c r="G1336" s="28"/>
      <c r="N1336" s="28"/>
      <c r="O1336" s="28"/>
      <c r="X1336" s="40"/>
      <c r="Y1336" s="40"/>
    </row>
    <row r="1337" spans="5:25" x14ac:dyDescent="0.35">
      <c r="E1337" t="s">
        <v>197</v>
      </c>
      <c r="F1337" t="s">
        <v>1209</v>
      </c>
      <c r="G1337" s="28"/>
      <c r="N1337" s="28"/>
      <c r="O1337" s="28"/>
      <c r="X1337" s="40"/>
      <c r="Y1337" s="40"/>
    </row>
    <row r="1338" spans="5:25" x14ac:dyDescent="0.35">
      <c r="E1338" t="s">
        <v>197</v>
      </c>
      <c r="F1338" t="s">
        <v>1210</v>
      </c>
      <c r="G1338" s="28"/>
      <c r="N1338" s="28"/>
      <c r="O1338" s="28"/>
      <c r="X1338" s="40"/>
      <c r="Y1338" s="40"/>
    </row>
    <row r="1339" spans="5:25" x14ac:dyDescent="0.35">
      <c r="E1339" t="s">
        <v>197</v>
      </c>
      <c r="F1339" t="s">
        <v>676</v>
      </c>
      <c r="G1339" s="28"/>
      <c r="N1339" s="28"/>
      <c r="O1339" s="28"/>
      <c r="X1339" s="40"/>
      <c r="Y1339" s="40"/>
    </row>
    <row r="1340" spans="5:25" x14ac:dyDescent="0.35">
      <c r="E1340" t="s">
        <v>197</v>
      </c>
      <c r="F1340" t="s">
        <v>544</v>
      </c>
      <c r="G1340" s="28"/>
      <c r="N1340" s="28"/>
      <c r="O1340" s="28"/>
      <c r="X1340" s="40"/>
      <c r="Y1340" s="40"/>
    </row>
    <row r="1341" spans="5:25" x14ac:dyDescent="0.35">
      <c r="E1341" t="s">
        <v>197</v>
      </c>
      <c r="F1341" t="s">
        <v>1211</v>
      </c>
      <c r="G1341" s="28"/>
      <c r="N1341" s="28"/>
      <c r="O1341" s="28"/>
      <c r="X1341" s="40"/>
      <c r="Y1341" s="40"/>
    </row>
    <row r="1342" spans="5:25" x14ac:dyDescent="0.35">
      <c r="E1342" t="s">
        <v>197</v>
      </c>
      <c r="F1342" t="s">
        <v>1212</v>
      </c>
      <c r="G1342" s="28"/>
      <c r="N1342" s="28"/>
      <c r="O1342" s="28"/>
      <c r="X1342" s="40"/>
      <c r="Y1342" s="40"/>
    </row>
    <row r="1343" spans="5:25" x14ac:dyDescent="0.35">
      <c r="E1343" t="s">
        <v>197</v>
      </c>
      <c r="F1343" t="s">
        <v>1213</v>
      </c>
      <c r="G1343" s="28"/>
      <c r="N1343" s="28"/>
      <c r="O1343" s="28"/>
      <c r="X1343" s="40"/>
      <c r="Y1343" s="40"/>
    </row>
    <row r="1344" spans="5:25" x14ac:dyDescent="0.35">
      <c r="E1344" t="s">
        <v>197</v>
      </c>
      <c r="F1344" t="s">
        <v>1214</v>
      </c>
      <c r="G1344" s="28"/>
      <c r="N1344" s="28"/>
      <c r="O1344" s="28"/>
      <c r="X1344" s="40"/>
      <c r="Y1344" s="40"/>
    </row>
    <row r="1345" spans="5:25" x14ac:dyDescent="0.35">
      <c r="E1345" t="s">
        <v>197</v>
      </c>
      <c r="F1345" t="s">
        <v>418</v>
      </c>
      <c r="G1345" s="28"/>
      <c r="N1345" s="28"/>
      <c r="O1345" s="28"/>
      <c r="X1345" s="40"/>
      <c r="Y1345" s="40"/>
    </row>
    <row r="1346" spans="5:25" x14ac:dyDescent="0.35">
      <c r="E1346" t="s">
        <v>197</v>
      </c>
      <c r="F1346" t="s">
        <v>1215</v>
      </c>
      <c r="G1346" s="28"/>
      <c r="N1346" s="28"/>
      <c r="O1346" s="28"/>
      <c r="X1346" s="40"/>
      <c r="Y1346" s="40"/>
    </row>
    <row r="1347" spans="5:25" x14ac:dyDescent="0.35">
      <c r="E1347" t="s">
        <v>197</v>
      </c>
      <c r="F1347" t="s">
        <v>364</v>
      </c>
      <c r="G1347" s="28"/>
      <c r="N1347" s="28"/>
      <c r="O1347" s="28"/>
      <c r="X1347" s="40"/>
      <c r="Y1347" s="40"/>
    </row>
    <row r="1348" spans="5:25" x14ac:dyDescent="0.35">
      <c r="E1348" t="s">
        <v>197</v>
      </c>
      <c r="F1348" t="s">
        <v>1216</v>
      </c>
      <c r="G1348" s="28"/>
      <c r="N1348" s="28"/>
      <c r="O1348" s="28"/>
      <c r="X1348" s="40"/>
      <c r="Y1348" s="40"/>
    </row>
    <row r="1349" spans="5:25" x14ac:dyDescent="0.35">
      <c r="E1349" t="s">
        <v>197</v>
      </c>
      <c r="F1349" t="s">
        <v>1217</v>
      </c>
      <c r="G1349" s="28"/>
      <c r="N1349" s="28"/>
      <c r="O1349" s="28"/>
      <c r="X1349" s="40"/>
      <c r="Y1349" s="40"/>
    </row>
    <row r="1350" spans="5:25" x14ac:dyDescent="0.35">
      <c r="E1350" t="s">
        <v>197</v>
      </c>
      <c r="F1350" t="s">
        <v>1218</v>
      </c>
      <c r="G1350" s="28"/>
      <c r="N1350" s="28"/>
      <c r="O1350" s="28"/>
      <c r="X1350" s="40"/>
      <c r="Y1350" s="40"/>
    </row>
    <row r="1351" spans="5:25" x14ac:dyDescent="0.35">
      <c r="E1351" t="s">
        <v>197</v>
      </c>
      <c r="F1351" t="s">
        <v>365</v>
      </c>
      <c r="G1351" s="28"/>
      <c r="N1351" s="28"/>
      <c r="O1351" s="28"/>
      <c r="X1351" s="40"/>
      <c r="Y1351" s="40"/>
    </row>
    <row r="1352" spans="5:25" x14ac:dyDescent="0.35">
      <c r="E1352" t="s">
        <v>197</v>
      </c>
      <c r="F1352" t="s">
        <v>1219</v>
      </c>
      <c r="G1352" s="28"/>
      <c r="N1352" s="28"/>
      <c r="O1352" s="28"/>
      <c r="X1352" s="40"/>
      <c r="Y1352" s="40"/>
    </row>
    <row r="1353" spans="5:25" x14ac:dyDescent="0.35">
      <c r="E1353" t="s">
        <v>197</v>
      </c>
      <c r="F1353" t="s">
        <v>1220</v>
      </c>
      <c r="G1353" s="28"/>
      <c r="N1353" s="28"/>
      <c r="O1353" s="28"/>
      <c r="X1353" s="40"/>
      <c r="Y1353" s="40"/>
    </row>
    <row r="1354" spans="5:25" x14ac:dyDescent="0.35">
      <c r="E1354" t="s">
        <v>197</v>
      </c>
      <c r="F1354" t="s">
        <v>1221</v>
      </c>
      <c r="G1354" s="28"/>
      <c r="N1354" s="28"/>
      <c r="O1354" s="28"/>
      <c r="X1354" s="40"/>
      <c r="Y1354" s="40"/>
    </row>
    <row r="1355" spans="5:25" x14ac:dyDescent="0.35">
      <c r="E1355" t="s">
        <v>197</v>
      </c>
      <c r="F1355" t="s">
        <v>1222</v>
      </c>
      <c r="G1355" s="28"/>
      <c r="N1355" s="28"/>
      <c r="O1355" s="28"/>
      <c r="X1355" s="40"/>
      <c r="Y1355" s="40"/>
    </row>
    <row r="1356" spans="5:25" x14ac:dyDescent="0.35">
      <c r="E1356" t="s">
        <v>197</v>
      </c>
      <c r="F1356" t="s">
        <v>1223</v>
      </c>
      <c r="G1356" s="28"/>
      <c r="N1356" s="28"/>
      <c r="O1356" s="28"/>
      <c r="X1356" s="40"/>
      <c r="Y1356" s="40"/>
    </row>
    <row r="1357" spans="5:25" x14ac:dyDescent="0.35">
      <c r="E1357" t="s">
        <v>197</v>
      </c>
      <c r="F1357" t="s">
        <v>486</v>
      </c>
      <c r="G1357" s="28"/>
      <c r="N1357" s="28"/>
      <c r="O1357" s="28"/>
      <c r="X1357" s="40"/>
      <c r="Y1357" s="40"/>
    </row>
    <row r="1358" spans="5:25" x14ac:dyDescent="0.35">
      <c r="E1358" t="s">
        <v>197</v>
      </c>
      <c r="F1358" t="s">
        <v>1224</v>
      </c>
      <c r="G1358" s="28"/>
      <c r="N1358" s="28"/>
      <c r="O1358" s="28"/>
      <c r="X1358" s="40"/>
      <c r="Y1358" s="40"/>
    </row>
    <row r="1359" spans="5:25" x14ac:dyDescent="0.35">
      <c r="E1359" t="s">
        <v>197</v>
      </c>
      <c r="F1359" t="s">
        <v>1225</v>
      </c>
      <c r="G1359" s="28"/>
      <c r="N1359" s="28"/>
      <c r="O1359" s="28"/>
      <c r="X1359" s="40"/>
      <c r="Y1359" s="40"/>
    </row>
    <row r="1360" spans="5:25" x14ac:dyDescent="0.35">
      <c r="E1360" t="s">
        <v>197</v>
      </c>
      <c r="F1360" t="s">
        <v>426</v>
      </c>
      <c r="G1360" s="28"/>
      <c r="N1360" s="28"/>
      <c r="O1360" s="28"/>
      <c r="X1360" s="40"/>
      <c r="Y1360" s="40"/>
    </row>
    <row r="1361" spans="5:25" x14ac:dyDescent="0.35">
      <c r="E1361" t="s">
        <v>197</v>
      </c>
      <c r="F1361" t="s">
        <v>787</v>
      </c>
      <c r="G1361" s="28"/>
      <c r="N1361" s="28"/>
      <c r="O1361" s="28"/>
      <c r="X1361" s="40"/>
      <c r="Y1361" s="40"/>
    </row>
    <row r="1362" spans="5:25" x14ac:dyDescent="0.35">
      <c r="E1362" t="s">
        <v>197</v>
      </c>
      <c r="F1362" t="s">
        <v>1226</v>
      </c>
      <c r="G1362" s="28"/>
      <c r="N1362" s="28"/>
      <c r="O1362" s="28"/>
      <c r="X1362" s="40"/>
      <c r="Y1362" s="40"/>
    </row>
    <row r="1363" spans="5:25" x14ac:dyDescent="0.35">
      <c r="E1363" t="s">
        <v>197</v>
      </c>
      <c r="F1363" t="s">
        <v>377</v>
      </c>
      <c r="G1363" s="28"/>
      <c r="N1363" s="28"/>
      <c r="O1363" s="28"/>
      <c r="X1363" s="40"/>
      <c r="Y1363" s="40"/>
    </row>
    <row r="1364" spans="5:25" x14ac:dyDescent="0.35">
      <c r="E1364" t="s">
        <v>197</v>
      </c>
      <c r="F1364" t="s">
        <v>622</v>
      </c>
      <c r="G1364" s="28"/>
      <c r="N1364" s="28"/>
      <c r="O1364" s="28"/>
      <c r="X1364" s="40"/>
      <c r="Y1364" s="40"/>
    </row>
    <row r="1365" spans="5:25" x14ac:dyDescent="0.35">
      <c r="E1365" t="s">
        <v>197</v>
      </c>
      <c r="F1365" t="s">
        <v>1227</v>
      </c>
      <c r="G1365" s="28"/>
      <c r="N1365" s="28"/>
      <c r="O1365" s="28"/>
      <c r="X1365" s="40"/>
      <c r="Y1365" s="40"/>
    </row>
    <row r="1366" spans="5:25" x14ac:dyDescent="0.35">
      <c r="E1366" t="s">
        <v>197</v>
      </c>
      <c r="F1366" t="s">
        <v>1228</v>
      </c>
      <c r="G1366" s="28"/>
      <c r="N1366" s="28"/>
      <c r="O1366" s="28"/>
      <c r="X1366" s="40"/>
      <c r="Y1366" s="40"/>
    </row>
    <row r="1367" spans="5:25" x14ac:dyDescent="0.35">
      <c r="E1367" t="s">
        <v>197</v>
      </c>
      <c r="F1367" t="s">
        <v>1229</v>
      </c>
      <c r="G1367" s="28"/>
      <c r="N1367" s="28"/>
      <c r="O1367" s="28"/>
      <c r="X1367" s="40"/>
      <c r="Y1367" s="40"/>
    </row>
    <row r="1368" spans="5:25" x14ac:dyDescent="0.35">
      <c r="E1368" t="s">
        <v>197</v>
      </c>
      <c r="F1368" t="s">
        <v>1230</v>
      </c>
      <c r="G1368" s="28"/>
      <c r="N1368" s="28"/>
      <c r="O1368" s="28"/>
      <c r="X1368" s="40"/>
      <c r="Y1368" s="40"/>
    </row>
    <row r="1369" spans="5:25" x14ac:dyDescent="0.35">
      <c r="E1369" t="s">
        <v>197</v>
      </c>
      <c r="F1369" t="s">
        <v>1231</v>
      </c>
      <c r="G1369" s="28"/>
      <c r="N1369" s="28"/>
      <c r="O1369" s="28"/>
      <c r="X1369" s="40"/>
      <c r="Y1369" s="40"/>
    </row>
    <row r="1370" spans="5:25" x14ac:dyDescent="0.35">
      <c r="E1370" t="s">
        <v>197</v>
      </c>
      <c r="F1370" t="s">
        <v>713</v>
      </c>
      <c r="G1370" s="28"/>
      <c r="N1370" s="28"/>
      <c r="O1370" s="28"/>
      <c r="X1370" s="40"/>
      <c r="Y1370" s="40"/>
    </row>
    <row r="1371" spans="5:25" x14ac:dyDescent="0.35">
      <c r="E1371" t="s">
        <v>197</v>
      </c>
      <c r="F1371" t="s">
        <v>1232</v>
      </c>
      <c r="G1371" s="28"/>
      <c r="N1371" s="28"/>
      <c r="O1371" s="28"/>
      <c r="X1371" s="40"/>
      <c r="Y1371" s="40"/>
    </row>
    <row r="1372" spans="5:25" x14ac:dyDescent="0.35">
      <c r="E1372" t="s">
        <v>197</v>
      </c>
      <c r="F1372" t="s">
        <v>1233</v>
      </c>
      <c r="G1372" s="28"/>
      <c r="N1372" s="28"/>
      <c r="O1372" s="28"/>
      <c r="X1372" s="40"/>
      <c r="Y1372" s="40"/>
    </row>
    <row r="1373" spans="5:25" x14ac:dyDescent="0.35">
      <c r="E1373" t="s">
        <v>197</v>
      </c>
      <c r="F1373" t="s">
        <v>1234</v>
      </c>
      <c r="G1373" s="28"/>
      <c r="N1373" s="28"/>
      <c r="O1373" s="28"/>
      <c r="X1373" s="40"/>
      <c r="Y1373" s="40"/>
    </row>
    <row r="1374" spans="5:25" x14ac:dyDescent="0.35">
      <c r="E1374" t="s">
        <v>197</v>
      </c>
      <c r="F1374" t="s">
        <v>1235</v>
      </c>
      <c r="G1374" s="28"/>
      <c r="N1374" s="28"/>
      <c r="O1374" s="28"/>
      <c r="X1374" s="40"/>
      <c r="Y1374" s="40"/>
    </row>
    <row r="1375" spans="5:25" x14ac:dyDescent="0.35">
      <c r="E1375" t="s">
        <v>197</v>
      </c>
      <c r="F1375" t="s">
        <v>1236</v>
      </c>
      <c r="G1375" s="28"/>
      <c r="N1375" s="28"/>
      <c r="O1375" s="28"/>
      <c r="X1375" s="40"/>
      <c r="Y1375" s="40"/>
    </row>
    <row r="1376" spans="5:25" x14ac:dyDescent="0.35">
      <c r="E1376" t="s">
        <v>197</v>
      </c>
      <c r="F1376" t="s">
        <v>1237</v>
      </c>
      <c r="G1376" s="28"/>
      <c r="N1376" s="28"/>
      <c r="O1376" s="28"/>
      <c r="X1376" s="40"/>
      <c r="Y1376" s="40"/>
    </row>
    <row r="1377" spans="5:25" x14ac:dyDescent="0.35">
      <c r="E1377" t="s">
        <v>197</v>
      </c>
      <c r="F1377" t="s">
        <v>1238</v>
      </c>
      <c r="G1377" s="28"/>
      <c r="N1377" s="28"/>
      <c r="O1377" s="28"/>
      <c r="X1377" s="40"/>
      <c r="Y1377" s="40"/>
    </row>
    <row r="1378" spans="5:25" x14ac:dyDescent="0.35">
      <c r="E1378" t="s">
        <v>197</v>
      </c>
      <c r="F1378" t="s">
        <v>1239</v>
      </c>
      <c r="G1378" s="28"/>
      <c r="N1378" s="28"/>
      <c r="O1378" s="28"/>
      <c r="X1378" s="40"/>
      <c r="Y1378" s="40"/>
    </row>
    <row r="1379" spans="5:25" x14ac:dyDescent="0.35">
      <c r="E1379" t="s">
        <v>197</v>
      </c>
      <c r="F1379" t="s">
        <v>437</v>
      </c>
      <c r="G1379" s="28"/>
      <c r="N1379" s="28"/>
      <c r="O1379" s="28"/>
      <c r="X1379" s="40"/>
      <c r="Y1379" s="40"/>
    </row>
    <row r="1380" spans="5:25" x14ac:dyDescent="0.35">
      <c r="E1380" t="s">
        <v>197</v>
      </c>
      <c r="F1380" t="s">
        <v>438</v>
      </c>
      <c r="G1380" s="28"/>
      <c r="N1380" s="28"/>
      <c r="O1380" s="28"/>
      <c r="X1380" s="40"/>
      <c r="Y1380" s="40"/>
    </row>
    <row r="1381" spans="5:25" x14ac:dyDescent="0.35">
      <c r="E1381" t="s">
        <v>197</v>
      </c>
      <c r="F1381" t="s">
        <v>1240</v>
      </c>
      <c r="G1381" s="28"/>
      <c r="N1381" s="28"/>
      <c r="O1381" s="28"/>
      <c r="X1381" s="40"/>
      <c r="Y1381" s="40"/>
    </row>
    <row r="1382" spans="5:25" x14ac:dyDescent="0.35">
      <c r="E1382" t="s">
        <v>197</v>
      </c>
      <c r="F1382" t="s">
        <v>1241</v>
      </c>
      <c r="G1382" s="28"/>
      <c r="N1382" s="28"/>
      <c r="O1382" s="28"/>
      <c r="X1382" s="40"/>
      <c r="Y1382" s="40"/>
    </row>
    <row r="1383" spans="5:25" x14ac:dyDescent="0.35">
      <c r="E1383" t="s">
        <v>197</v>
      </c>
      <c r="F1383" t="s">
        <v>1242</v>
      </c>
      <c r="G1383" s="28"/>
      <c r="N1383" s="28"/>
      <c r="O1383" s="28"/>
      <c r="X1383" s="40"/>
      <c r="Y1383" s="40"/>
    </row>
    <row r="1384" spans="5:25" x14ac:dyDescent="0.35">
      <c r="E1384" t="s">
        <v>197</v>
      </c>
      <c r="F1384" t="s">
        <v>1243</v>
      </c>
      <c r="G1384" s="28"/>
      <c r="N1384" s="28"/>
      <c r="O1384" s="28"/>
      <c r="X1384" s="40"/>
      <c r="Y1384" s="40"/>
    </row>
    <row r="1385" spans="5:25" x14ac:dyDescent="0.35">
      <c r="E1385" t="s">
        <v>197</v>
      </c>
      <c r="F1385" t="s">
        <v>978</v>
      </c>
      <c r="G1385" s="28"/>
      <c r="N1385" s="28"/>
      <c r="O1385" s="28"/>
      <c r="X1385" s="40"/>
      <c r="Y1385" s="40"/>
    </row>
    <row r="1386" spans="5:25" x14ac:dyDescent="0.35">
      <c r="E1386" t="s">
        <v>197</v>
      </c>
      <c r="F1386" t="s">
        <v>1244</v>
      </c>
      <c r="G1386" s="28"/>
      <c r="N1386" s="28"/>
      <c r="O1386" s="28"/>
      <c r="X1386" s="40"/>
      <c r="Y1386" s="40"/>
    </row>
    <row r="1387" spans="5:25" x14ac:dyDescent="0.35">
      <c r="E1387" t="s">
        <v>197</v>
      </c>
      <c r="F1387" t="s">
        <v>1245</v>
      </c>
      <c r="G1387" s="28"/>
      <c r="N1387" s="28"/>
      <c r="O1387" s="28"/>
      <c r="X1387" s="40"/>
      <c r="Y1387" s="40"/>
    </row>
    <row r="1388" spans="5:25" x14ac:dyDescent="0.35">
      <c r="E1388" t="s">
        <v>197</v>
      </c>
      <c r="F1388" t="s">
        <v>1246</v>
      </c>
      <c r="G1388" s="28"/>
      <c r="N1388" s="28"/>
      <c r="O1388" s="28"/>
      <c r="X1388" s="40"/>
      <c r="Y1388" s="40"/>
    </row>
    <row r="1389" spans="5:25" x14ac:dyDescent="0.35">
      <c r="E1389" t="s">
        <v>197</v>
      </c>
      <c r="F1389" t="s">
        <v>443</v>
      </c>
      <c r="G1389" s="28"/>
      <c r="N1389" s="28"/>
      <c r="O1389" s="28"/>
      <c r="X1389" s="40"/>
      <c r="Y1389" s="40"/>
    </row>
    <row r="1390" spans="5:25" x14ac:dyDescent="0.35">
      <c r="E1390" t="s">
        <v>197</v>
      </c>
      <c r="F1390" t="s">
        <v>1247</v>
      </c>
      <c r="G1390" s="28"/>
      <c r="N1390" s="28"/>
      <c r="O1390" s="28"/>
      <c r="X1390" s="40"/>
      <c r="Y1390" s="40"/>
    </row>
    <row r="1391" spans="5:25" x14ac:dyDescent="0.35">
      <c r="E1391" t="s">
        <v>197</v>
      </c>
      <c r="F1391" t="s">
        <v>1248</v>
      </c>
      <c r="G1391" s="28"/>
      <c r="N1391" s="28"/>
      <c r="O1391" s="28"/>
      <c r="X1391" s="40"/>
      <c r="Y1391" s="40"/>
    </row>
    <row r="1392" spans="5:25" x14ac:dyDescent="0.35">
      <c r="E1392" t="s">
        <v>197</v>
      </c>
      <c r="F1392" t="s">
        <v>1249</v>
      </c>
      <c r="G1392" s="28"/>
      <c r="N1392" s="28"/>
      <c r="O1392" s="28"/>
      <c r="X1392" s="40"/>
      <c r="Y1392" s="40"/>
    </row>
    <row r="1393" spans="5:25" x14ac:dyDescent="0.35">
      <c r="E1393" t="s">
        <v>197</v>
      </c>
      <c r="F1393" t="s">
        <v>1250</v>
      </c>
      <c r="G1393" s="28"/>
      <c r="N1393" s="28"/>
      <c r="O1393" s="28"/>
      <c r="X1393" s="40"/>
      <c r="Y1393" s="40"/>
    </row>
    <row r="1394" spans="5:25" x14ac:dyDescent="0.35">
      <c r="E1394" t="s">
        <v>197</v>
      </c>
      <c r="F1394" t="s">
        <v>988</v>
      </c>
      <c r="G1394" s="28"/>
      <c r="N1394" s="28"/>
      <c r="O1394" s="28"/>
      <c r="X1394" s="40"/>
      <c r="Y1394" s="40"/>
    </row>
    <row r="1395" spans="5:25" x14ac:dyDescent="0.35">
      <c r="E1395" t="s">
        <v>197</v>
      </c>
      <c r="F1395" t="s">
        <v>1251</v>
      </c>
      <c r="G1395" s="28"/>
      <c r="N1395" s="28"/>
      <c r="O1395" s="28"/>
      <c r="X1395" s="40"/>
      <c r="Y1395" s="40"/>
    </row>
    <row r="1396" spans="5:25" x14ac:dyDescent="0.35">
      <c r="E1396" t="s">
        <v>197</v>
      </c>
      <c r="F1396" t="s">
        <v>1048</v>
      </c>
      <c r="G1396" s="28"/>
      <c r="N1396" s="28"/>
      <c r="O1396" s="28"/>
      <c r="X1396" s="40"/>
      <c r="Y1396" s="40"/>
    </row>
    <row r="1397" spans="5:25" x14ac:dyDescent="0.35">
      <c r="E1397" t="s">
        <v>197</v>
      </c>
      <c r="F1397" t="s">
        <v>1252</v>
      </c>
      <c r="G1397" s="28"/>
      <c r="N1397" s="28"/>
      <c r="O1397" s="28"/>
      <c r="X1397" s="40"/>
      <c r="Y1397" s="40"/>
    </row>
    <row r="1398" spans="5:25" x14ac:dyDescent="0.35">
      <c r="E1398" t="s">
        <v>197</v>
      </c>
      <c r="F1398" t="s">
        <v>1253</v>
      </c>
      <c r="G1398" s="28"/>
      <c r="N1398" s="28"/>
      <c r="O1398" s="28"/>
      <c r="X1398" s="40"/>
      <c r="Y1398" s="40"/>
    </row>
    <row r="1399" spans="5:25" x14ac:dyDescent="0.35">
      <c r="E1399" t="s">
        <v>197</v>
      </c>
      <c r="F1399" t="s">
        <v>1254</v>
      </c>
      <c r="G1399" s="28"/>
      <c r="N1399" s="28"/>
      <c r="O1399" s="28"/>
      <c r="X1399" s="40"/>
      <c r="Y1399" s="40"/>
    </row>
    <row r="1400" spans="5:25" x14ac:dyDescent="0.35">
      <c r="E1400" t="s">
        <v>197</v>
      </c>
      <c r="F1400" t="s">
        <v>1255</v>
      </c>
      <c r="G1400" s="28"/>
      <c r="N1400" s="28"/>
      <c r="O1400" s="28"/>
      <c r="X1400" s="40"/>
      <c r="Y1400" s="40"/>
    </row>
    <row r="1401" spans="5:25" x14ac:dyDescent="0.35">
      <c r="E1401" t="s">
        <v>197</v>
      </c>
      <c r="F1401" t="s">
        <v>394</v>
      </c>
      <c r="G1401" s="28"/>
      <c r="N1401" s="28"/>
      <c r="O1401" s="28"/>
      <c r="X1401" s="40"/>
      <c r="Y1401" s="40"/>
    </row>
    <row r="1402" spans="5:25" x14ac:dyDescent="0.35">
      <c r="E1402" t="s">
        <v>197</v>
      </c>
      <c r="F1402" t="s">
        <v>1256</v>
      </c>
      <c r="G1402" s="28"/>
      <c r="N1402" s="28"/>
      <c r="O1402" s="28"/>
      <c r="X1402" s="40"/>
      <c r="Y1402" s="40"/>
    </row>
    <row r="1403" spans="5:25" x14ac:dyDescent="0.35">
      <c r="E1403" t="s">
        <v>197</v>
      </c>
      <c r="F1403" t="s">
        <v>1257</v>
      </c>
      <c r="G1403" s="28"/>
      <c r="N1403" s="28"/>
      <c r="O1403" s="28"/>
      <c r="X1403" s="40"/>
      <c r="Y1403" s="40"/>
    </row>
    <row r="1404" spans="5:25" x14ac:dyDescent="0.35">
      <c r="E1404" t="s">
        <v>197</v>
      </c>
      <c r="F1404" t="s">
        <v>1258</v>
      </c>
      <c r="G1404" s="28"/>
      <c r="N1404" s="28"/>
      <c r="O1404" s="28"/>
      <c r="X1404" s="40"/>
      <c r="Y1404" s="40"/>
    </row>
    <row r="1405" spans="5:25" x14ac:dyDescent="0.35">
      <c r="E1405" t="s">
        <v>197</v>
      </c>
      <c r="F1405" t="s">
        <v>808</v>
      </c>
      <c r="G1405" s="28"/>
      <c r="N1405" s="28"/>
      <c r="O1405" s="28"/>
      <c r="X1405" s="40"/>
      <c r="Y1405" s="40"/>
    </row>
    <row r="1406" spans="5:25" x14ac:dyDescent="0.35">
      <c r="E1406" t="s">
        <v>197</v>
      </c>
      <c r="F1406" t="s">
        <v>1259</v>
      </c>
      <c r="G1406" s="28"/>
      <c r="N1406" s="28"/>
      <c r="O1406" s="28"/>
      <c r="X1406" s="40"/>
      <c r="Y1406" s="40"/>
    </row>
    <row r="1407" spans="5:25" x14ac:dyDescent="0.35">
      <c r="E1407" t="s">
        <v>198</v>
      </c>
      <c r="F1407" t="s">
        <v>757</v>
      </c>
      <c r="G1407" s="28"/>
      <c r="N1407" s="28"/>
      <c r="O1407" s="28"/>
      <c r="X1407" s="40"/>
      <c r="Y1407" s="40"/>
    </row>
    <row r="1408" spans="5:25" x14ac:dyDescent="0.35">
      <c r="E1408" t="s">
        <v>198</v>
      </c>
      <c r="F1408" t="s">
        <v>1260</v>
      </c>
      <c r="G1408" s="28"/>
      <c r="N1408" s="28"/>
      <c r="O1408" s="28"/>
      <c r="X1408" s="40"/>
      <c r="Y1408" s="40"/>
    </row>
    <row r="1409" spans="5:25" x14ac:dyDescent="0.35">
      <c r="E1409" t="s">
        <v>198</v>
      </c>
      <c r="F1409" t="s">
        <v>931</v>
      </c>
      <c r="G1409" s="28"/>
      <c r="N1409" s="28"/>
      <c r="O1409" s="28"/>
      <c r="X1409" s="40"/>
      <c r="Y1409" s="40"/>
    </row>
    <row r="1410" spans="5:25" x14ac:dyDescent="0.35">
      <c r="E1410" t="s">
        <v>198</v>
      </c>
      <c r="F1410" t="s">
        <v>1261</v>
      </c>
      <c r="G1410" s="28"/>
      <c r="N1410" s="28"/>
      <c r="O1410" s="28"/>
      <c r="X1410" s="40"/>
      <c r="Y1410" s="40"/>
    </row>
    <row r="1411" spans="5:25" x14ac:dyDescent="0.35">
      <c r="E1411" t="s">
        <v>198</v>
      </c>
      <c r="F1411" t="s">
        <v>1143</v>
      </c>
      <c r="G1411" s="28"/>
      <c r="N1411" s="28"/>
      <c r="O1411" s="28"/>
      <c r="X1411" s="40"/>
      <c r="Y1411" s="40"/>
    </row>
    <row r="1412" spans="5:25" x14ac:dyDescent="0.35">
      <c r="E1412" t="s">
        <v>198</v>
      </c>
      <c r="F1412" t="s">
        <v>933</v>
      </c>
      <c r="G1412" s="28"/>
      <c r="N1412" s="28"/>
      <c r="O1412" s="28"/>
      <c r="X1412" s="40"/>
      <c r="Y1412" s="40"/>
    </row>
    <row r="1413" spans="5:25" x14ac:dyDescent="0.35">
      <c r="E1413" t="s">
        <v>198</v>
      </c>
      <c r="F1413" t="s">
        <v>1262</v>
      </c>
      <c r="G1413" s="28"/>
      <c r="N1413" s="28"/>
      <c r="O1413" s="28"/>
      <c r="X1413" s="40"/>
      <c r="Y1413" s="40"/>
    </row>
    <row r="1414" spans="5:25" x14ac:dyDescent="0.35">
      <c r="E1414" t="s">
        <v>198</v>
      </c>
      <c r="F1414" t="s">
        <v>400</v>
      </c>
      <c r="G1414" s="28"/>
      <c r="N1414" s="28"/>
      <c r="O1414" s="28"/>
      <c r="X1414" s="40"/>
      <c r="Y1414" s="40"/>
    </row>
    <row r="1415" spans="5:25" x14ac:dyDescent="0.35">
      <c r="E1415" t="s">
        <v>198</v>
      </c>
      <c r="F1415" t="s">
        <v>1263</v>
      </c>
      <c r="G1415" s="28"/>
      <c r="N1415" s="28"/>
      <c r="O1415" s="28"/>
      <c r="X1415" s="40"/>
      <c r="Y1415" s="40"/>
    </row>
    <row r="1416" spans="5:25" x14ac:dyDescent="0.35">
      <c r="E1416" t="s">
        <v>198</v>
      </c>
      <c r="F1416" t="s">
        <v>401</v>
      </c>
      <c r="G1416" s="28"/>
      <c r="N1416" s="28"/>
      <c r="O1416" s="28"/>
      <c r="X1416" s="40"/>
      <c r="Y1416" s="40"/>
    </row>
    <row r="1417" spans="5:25" x14ac:dyDescent="0.35">
      <c r="E1417" t="s">
        <v>198</v>
      </c>
      <c r="F1417" t="s">
        <v>763</v>
      </c>
      <c r="G1417" s="28"/>
      <c r="N1417" s="28"/>
      <c r="O1417" s="28"/>
      <c r="X1417" s="40"/>
      <c r="Y1417" s="40"/>
    </row>
    <row r="1418" spans="5:25" x14ac:dyDescent="0.35">
      <c r="E1418" t="s">
        <v>198</v>
      </c>
      <c r="F1418" t="s">
        <v>336</v>
      </c>
      <c r="G1418" s="28"/>
      <c r="N1418" s="28"/>
      <c r="O1418" s="28"/>
      <c r="X1418" s="40"/>
      <c r="Y1418" s="40"/>
    </row>
    <row r="1419" spans="5:25" x14ac:dyDescent="0.35">
      <c r="E1419" t="s">
        <v>198</v>
      </c>
      <c r="F1419" t="s">
        <v>1007</v>
      </c>
      <c r="G1419" s="28"/>
      <c r="N1419" s="28"/>
      <c r="O1419" s="28"/>
      <c r="X1419" s="40"/>
      <c r="Y1419" s="40"/>
    </row>
    <row r="1420" spans="5:25" x14ac:dyDescent="0.35">
      <c r="E1420" t="s">
        <v>198</v>
      </c>
      <c r="F1420" t="s">
        <v>1264</v>
      </c>
      <c r="G1420" s="28"/>
      <c r="N1420" s="28"/>
      <c r="O1420" s="28"/>
      <c r="X1420" s="40"/>
      <c r="Y1420" s="40"/>
    </row>
    <row r="1421" spans="5:25" x14ac:dyDescent="0.35">
      <c r="E1421" t="s">
        <v>198</v>
      </c>
      <c r="F1421" t="s">
        <v>658</v>
      </c>
      <c r="G1421" s="28"/>
      <c r="N1421" s="28"/>
      <c r="O1421" s="28"/>
      <c r="X1421" s="40"/>
      <c r="Y1421" s="40"/>
    </row>
    <row r="1422" spans="5:25" x14ac:dyDescent="0.35">
      <c r="E1422" t="s">
        <v>198</v>
      </c>
      <c r="F1422" t="s">
        <v>1265</v>
      </c>
      <c r="G1422" s="28"/>
      <c r="N1422" s="28"/>
      <c r="O1422" s="28"/>
      <c r="X1422" s="40"/>
      <c r="Y1422" s="40"/>
    </row>
    <row r="1423" spans="5:25" x14ac:dyDescent="0.35">
      <c r="E1423" t="s">
        <v>198</v>
      </c>
      <c r="F1423" t="s">
        <v>403</v>
      </c>
      <c r="G1423" s="28"/>
      <c r="N1423" s="28"/>
      <c r="O1423" s="28"/>
      <c r="X1423" s="40"/>
      <c r="Y1423" s="40"/>
    </row>
    <row r="1424" spans="5:25" x14ac:dyDescent="0.35">
      <c r="E1424" t="s">
        <v>198</v>
      </c>
      <c r="F1424" t="s">
        <v>1011</v>
      </c>
      <c r="G1424" s="28"/>
      <c r="N1424" s="28"/>
      <c r="O1424" s="28"/>
      <c r="X1424" s="40"/>
      <c r="Y1424" s="40"/>
    </row>
    <row r="1425" spans="5:25" x14ac:dyDescent="0.35">
      <c r="E1425" t="s">
        <v>198</v>
      </c>
      <c r="F1425" t="s">
        <v>765</v>
      </c>
      <c r="G1425" s="28"/>
      <c r="N1425" s="28"/>
      <c r="O1425" s="28"/>
      <c r="X1425" s="40"/>
      <c r="Y1425" s="40"/>
    </row>
    <row r="1426" spans="5:25" x14ac:dyDescent="0.35">
      <c r="E1426" t="s">
        <v>198</v>
      </c>
      <c r="F1426" t="s">
        <v>766</v>
      </c>
      <c r="G1426" s="28"/>
      <c r="N1426" s="28"/>
      <c r="O1426" s="28"/>
      <c r="X1426" s="40"/>
      <c r="Y1426" s="40"/>
    </row>
    <row r="1427" spans="5:25" x14ac:dyDescent="0.35">
      <c r="E1427" t="s">
        <v>198</v>
      </c>
      <c r="F1427" t="s">
        <v>1266</v>
      </c>
      <c r="G1427" s="28"/>
      <c r="N1427" s="28"/>
      <c r="O1427" s="28"/>
      <c r="X1427" s="40"/>
      <c r="Y1427" s="40"/>
    </row>
    <row r="1428" spans="5:25" x14ac:dyDescent="0.35">
      <c r="E1428" t="s">
        <v>198</v>
      </c>
      <c r="F1428" t="s">
        <v>847</v>
      </c>
      <c r="G1428" s="28"/>
      <c r="N1428" s="28"/>
      <c r="O1428" s="28"/>
      <c r="X1428" s="40"/>
      <c r="Y1428" s="40"/>
    </row>
    <row r="1429" spans="5:25" x14ac:dyDescent="0.35">
      <c r="E1429" t="s">
        <v>198</v>
      </c>
      <c r="F1429" t="s">
        <v>405</v>
      </c>
      <c r="G1429" s="28"/>
      <c r="N1429" s="28"/>
      <c r="O1429" s="28"/>
      <c r="X1429" s="40"/>
      <c r="Y1429" s="40"/>
    </row>
    <row r="1430" spans="5:25" x14ac:dyDescent="0.35">
      <c r="E1430" t="s">
        <v>198</v>
      </c>
      <c r="F1430" t="s">
        <v>343</v>
      </c>
      <c r="G1430" s="28"/>
      <c r="N1430" s="28"/>
      <c r="O1430" s="28"/>
      <c r="X1430" s="40"/>
      <c r="Y1430" s="40"/>
    </row>
    <row r="1431" spans="5:25" x14ac:dyDescent="0.35">
      <c r="E1431" t="s">
        <v>198</v>
      </c>
      <c r="F1431" t="s">
        <v>769</v>
      </c>
      <c r="G1431" s="28"/>
      <c r="N1431" s="28"/>
      <c r="O1431" s="28"/>
      <c r="X1431" s="40"/>
      <c r="Y1431" s="40"/>
    </row>
    <row r="1432" spans="5:25" x14ac:dyDescent="0.35">
      <c r="E1432" t="s">
        <v>198</v>
      </c>
      <c r="F1432" t="s">
        <v>1267</v>
      </c>
      <c r="G1432" s="28"/>
      <c r="N1432" s="28"/>
      <c r="O1432" s="28"/>
      <c r="X1432" s="40"/>
      <c r="Y1432" s="40"/>
    </row>
    <row r="1433" spans="5:25" x14ac:dyDescent="0.35">
      <c r="E1433" t="s">
        <v>198</v>
      </c>
      <c r="F1433" t="s">
        <v>1268</v>
      </c>
      <c r="G1433" s="28"/>
      <c r="N1433" s="28"/>
      <c r="O1433" s="28"/>
      <c r="X1433" s="40"/>
      <c r="Y1433" s="40"/>
    </row>
    <row r="1434" spans="5:25" x14ac:dyDescent="0.35">
      <c r="E1434" t="s">
        <v>198</v>
      </c>
      <c r="F1434" t="s">
        <v>410</v>
      </c>
      <c r="G1434" s="28"/>
      <c r="N1434" s="28"/>
      <c r="O1434" s="28"/>
      <c r="X1434" s="40"/>
      <c r="Y1434" s="40"/>
    </row>
    <row r="1435" spans="5:25" x14ac:dyDescent="0.35">
      <c r="E1435" t="s">
        <v>198</v>
      </c>
      <c r="F1435" t="s">
        <v>672</v>
      </c>
      <c r="G1435" s="28"/>
      <c r="N1435" s="28"/>
      <c r="O1435" s="28"/>
      <c r="X1435" s="40"/>
      <c r="Y1435" s="40"/>
    </row>
    <row r="1436" spans="5:25" x14ac:dyDescent="0.35">
      <c r="E1436" t="s">
        <v>198</v>
      </c>
      <c r="F1436" t="s">
        <v>353</v>
      </c>
      <c r="G1436" s="28"/>
      <c r="N1436" s="28"/>
      <c r="O1436" s="28"/>
      <c r="X1436" s="40"/>
      <c r="Y1436" s="40"/>
    </row>
    <row r="1437" spans="5:25" x14ac:dyDescent="0.35">
      <c r="E1437" t="s">
        <v>198</v>
      </c>
      <c r="F1437" t="s">
        <v>894</v>
      </c>
      <c r="G1437" s="28"/>
      <c r="N1437" s="28"/>
      <c r="O1437" s="28"/>
      <c r="X1437" s="40"/>
      <c r="Y1437" s="40"/>
    </row>
    <row r="1438" spans="5:25" x14ac:dyDescent="0.35">
      <c r="E1438" t="s">
        <v>198</v>
      </c>
      <c r="F1438" t="s">
        <v>675</v>
      </c>
      <c r="G1438" s="28"/>
      <c r="N1438" s="28"/>
      <c r="O1438" s="28"/>
      <c r="X1438" s="40"/>
      <c r="Y1438" s="40"/>
    </row>
    <row r="1439" spans="5:25" x14ac:dyDescent="0.35">
      <c r="E1439" t="s">
        <v>198</v>
      </c>
      <c r="F1439" t="s">
        <v>1269</v>
      </c>
      <c r="G1439" s="28"/>
      <c r="N1439" s="28"/>
      <c r="O1439" s="28"/>
      <c r="X1439" s="40"/>
      <c r="Y1439" s="40"/>
    </row>
    <row r="1440" spans="5:25" x14ac:dyDescent="0.35">
      <c r="E1440" t="s">
        <v>198</v>
      </c>
      <c r="F1440" t="s">
        <v>544</v>
      </c>
      <c r="G1440" s="28"/>
      <c r="N1440" s="28"/>
      <c r="O1440" s="28"/>
      <c r="X1440" s="40"/>
      <c r="Y1440" s="40"/>
    </row>
    <row r="1441" spans="5:25" x14ac:dyDescent="0.35">
      <c r="E1441" t="s">
        <v>198</v>
      </c>
      <c r="F1441" t="s">
        <v>1270</v>
      </c>
      <c r="G1441" s="28"/>
      <c r="N1441" s="28"/>
      <c r="O1441" s="28"/>
      <c r="X1441" s="40"/>
      <c r="Y1441" s="40"/>
    </row>
    <row r="1442" spans="5:25" x14ac:dyDescent="0.35">
      <c r="E1442" t="s">
        <v>198</v>
      </c>
      <c r="F1442" t="s">
        <v>359</v>
      </c>
      <c r="G1442" s="28"/>
      <c r="N1442" s="28"/>
      <c r="O1442" s="28"/>
      <c r="X1442" s="40"/>
      <c r="Y1442" s="40"/>
    </row>
    <row r="1443" spans="5:25" x14ac:dyDescent="0.35">
      <c r="E1443" t="s">
        <v>198</v>
      </c>
      <c r="F1443" t="s">
        <v>1271</v>
      </c>
      <c r="G1443" s="28"/>
      <c r="N1443" s="28"/>
      <c r="O1443" s="28"/>
      <c r="X1443" s="40"/>
      <c r="Y1443" s="40"/>
    </row>
    <row r="1444" spans="5:25" x14ac:dyDescent="0.35">
      <c r="E1444" t="s">
        <v>198</v>
      </c>
      <c r="F1444" t="s">
        <v>1272</v>
      </c>
      <c r="G1444" s="28"/>
      <c r="N1444" s="28"/>
      <c r="O1444" s="28"/>
      <c r="X1444" s="40"/>
      <c r="Y1444" s="40"/>
    </row>
    <row r="1445" spans="5:25" x14ac:dyDescent="0.35">
      <c r="E1445" t="s">
        <v>198</v>
      </c>
      <c r="F1445" t="s">
        <v>361</v>
      </c>
      <c r="G1445" s="28"/>
      <c r="N1445" s="28"/>
      <c r="O1445" s="28"/>
      <c r="X1445" s="40"/>
      <c r="Y1445" s="40"/>
    </row>
    <row r="1446" spans="5:25" x14ac:dyDescent="0.35">
      <c r="E1446" t="s">
        <v>198</v>
      </c>
      <c r="F1446" t="s">
        <v>776</v>
      </c>
      <c r="G1446" s="28"/>
      <c r="N1446" s="28"/>
      <c r="O1446" s="28"/>
      <c r="X1446" s="40"/>
      <c r="Y1446" s="40"/>
    </row>
    <row r="1447" spans="5:25" x14ac:dyDescent="0.35">
      <c r="E1447" t="s">
        <v>198</v>
      </c>
      <c r="F1447" t="s">
        <v>779</v>
      </c>
      <c r="G1447" s="28"/>
      <c r="N1447" s="28"/>
      <c r="O1447" s="28"/>
      <c r="X1447" s="40"/>
      <c r="Y1447" s="40"/>
    </row>
    <row r="1448" spans="5:25" x14ac:dyDescent="0.35">
      <c r="E1448" t="s">
        <v>198</v>
      </c>
      <c r="F1448" t="s">
        <v>363</v>
      </c>
      <c r="G1448" s="28"/>
      <c r="N1448" s="28"/>
      <c r="O1448" s="28"/>
      <c r="X1448" s="40"/>
      <c r="Y1448" s="40"/>
    </row>
    <row r="1449" spans="5:25" x14ac:dyDescent="0.35">
      <c r="E1449" t="s">
        <v>198</v>
      </c>
      <c r="F1449" t="s">
        <v>1273</v>
      </c>
      <c r="G1449" s="28"/>
      <c r="N1449" s="28"/>
      <c r="O1449" s="28"/>
      <c r="X1449" s="40"/>
      <c r="Y1449" s="40"/>
    </row>
    <row r="1450" spans="5:25" x14ac:dyDescent="0.35">
      <c r="E1450" t="s">
        <v>198</v>
      </c>
      <c r="F1450" t="s">
        <v>1274</v>
      </c>
      <c r="G1450" s="28"/>
      <c r="N1450" s="28"/>
      <c r="O1450" s="28"/>
      <c r="X1450" s="40"/>
      <c r="Y1450" s="40"/>
    </row>
    <row r="1451" spans="5:25" x14ac:dyDescent="0.35">
      <c r="E1451" t="s">
        <v>198</v>
      </c>
      <c r="F1451" t="s">
        <v>421</v>
      </c>
      <c r="G1451" s="28"/>
      <c r="N1451" s="28"/>
      <c r="O1451" s="28"/>
      <c r="X1451" s="40"/>
      <c r="Y1451" s="40"/>
    </row>
    <row r="1452" spans="5:25" x14ac:dyDescent="0.35">
      <c r="E1452" t="s">
        <v>198</v>
      </c>
      <c r="F1452" t="s">
        <v>1275</v>
      </c>
      <c r="G1452" s="28"/>
      <c r="N1452" s="28"/>
      <c r="O1452" s="28"/>
      <c r="X1452" s="40"/>
      <c r="Y1452" s="40"/>
    </row>
    <row r="1453" spans="5:25" x14ac:dyDescent="0.35">
      <c r="E1453" t="s">
        <v>198</v>
      </c>
      <c r="F1453" t="s">
        <v>1162</v>
      </c>
      <c r="G1453" s="28"/>
      <c r="N1453" s="28"/>
      <c r="O1453" s="28"/>
      <c r="X1453" s="40"/>
      <c r="Y1453" s="40"/>
    </row>
    <row r="1454" spans="5:25" x14ac:dyDescent="0.35">
      <c r="E1454" t="s">
        <v>198</v>
      </c>
      <c r="F1454" t="s">
        <v>365</v>
      </c>
      <c r="G1454" s="28"/>
      <c r="N1454" s="28"/>
      <c r="O1454" s="28"/>
      <c r="X1454" s="40"/>
      <c r="Y1454" s="40"/>
    </row>
    <row r="1455" spans="5:25" x14ac:dyDescent="0.35">
      <c r="E1455" t="s">
        <v>198</v>
      </c>
      <c r="F1455" t="s">
        <v>701</v>
      </c>
      <c r="G1455" s="28"/>
      <c r="N1455" s="28"/>
      <c r="O1455" s="28"/>
      <c r="X1455" s="40"/>
      <c r="Y1455" s="40"/>
    </row>
    <row r="1456" spans="5:25" x14ac:dyDescent="0.35">
      <c r="E1456" t="s">
        <v>198</v>
      </c>
      <c r="F1456" t="s">
        <v>366</v>
      </c>
      <c r="G1456" s="28"/>
      <c r="N1456" s="28"/>
      <c r="O1456" s="28"/>
      <c r="X1456" s="40"/>
      <c r="Y1456" s="40"/>
    </row>
    <row r="1457" spans="5:25" x14ac:dyDescent="0.35">
      <c r="E1457" t="s">
        <v>198</v>
      </c>
      <c r="F1457" t="s">
        <v>424</v>
      </c>
      <c r="G1457" s="28"/>
      <c r="N1457" s="28"/>
      <c r="O1457" s="28"/>
      <c r="X1457" s="40"/>
      <c r="Y1457" s="40"/>
    </row>
    <row r="1458" spans="5:25" x14ac:dyDescent="0.35">
      <c r="E1458" t="s">
        <v>198</v>
      </c>
      <c r="F1458" t="s">
        <v>863</v>
      </c>
      <c r="G1458" s="28"/>
      <c r="N1458" s="28"/>
      <c r="O1458" s="28"/>
      <c r="X1458" s="40"/>
      <c r="Y1458" s="40"/>
    </row>
    <row r="1459" spans="5:25" x14ac:dyDescent="0.35">
      <c r="E1459" t="s">
        <v>198</v>
      </c>
      <c r="F1459" t="s">
        <v>1276</v>
      </c>
      <c r="G1459" s="28"/>
      <c r="N1459" s="28"/>
      <c r="O1459" s="28"/>
      <c r="X1459" s="40"/>
      <c r="Y1459" s="40"/>
    </row>
    <row r="1460" spans="5:25" x14ac:dyDescent="0.35">
      <c r="E1460" t="s">
        <v>198</v>
      </c>
      <c r="F1460" t="s">
        <v>425</v>
      </c>
      <c r="G1460" s="28"/>
      <c r="N1460" s="28"/>
      <c r="O1460" s="28"/>
      <c r="X1460" s="40"/>
      <c r="Y1460" s="40"/>
    </row>
    <row r="1461" spans="5:25" x14ac:dyDescent="0.35">
      <c r="E1461" t="s">
        <v>198</v>
      </c>
      <c r="F1461" t="s">
        <v>369</v>
      </c>
      <c r="G1461" s="28"/>
      <c r="N1461" s="28"/>
      <c r="O1461" s="28"/>
      <c r="X1461" s="40"/>
      <c r="Y1461" s="40"/>
    </row>
    <row r="1462" spans="5:25" x14ac:dyDescent="0.35">
      <c r="E1462" t="s">
        <v>198</v>
      </c>
      <c r="F1462" t="s">
        <v>831</v>
      </c>
      <c r="G1462" s="28"/>
      <c r="N1462" s="28"/>
      <c r="O1462" s="28"/>
      <c r="X1462" s="40"/>
      <c r="Y1462" s="40"/>
    </row>
    <row r="1463" spans="5:25" x14ac:dyDescent="0.35">
      <c r="E1463" t="s">
        <v>198</v>
      </c>
      <c r="F1463" t="s">
        <v>426</v>
      </c>
      <c r="G1463" s="28"/>
      <c r="N1463" s="28"/>
      <c r="O1463" s="28"/>
      <c r="X1463" s="40"/>
      <c r="Y1463" s="40"/>
    </row>
    <row r="1464" spans="5:25" x14ac:dyDescent="0.35">
      <c r="E1464" t="s">
        <v>198</v>
      </c>
      <c r="F1464" t="s">
        <v>784</v>
      </c>
      <c r="G1464" s="28"/>
      <c r="N1464" s="28"/>
      <c r="O1464" s="28"/>
      <c r="X1464" s="40"/>
      <c r="Y1464" s="40"/>
    </row>
    <row r="1465" spans="5:25" x14ac:dyDescent="0.35">
      <c r="E1465" t="s">
        <v>198</v>
      </c>
      <c r="F1465" t="s">
        <v>865</v>
      </c>
      <c r="G1465" s="28"/>
      <c r="N1465" s="28"/>
      <c r="O1465" s="28"/>
      <c r="X1465" s="40"/>
      <c r="Y1465" s="40"/>
    </row>
    <row r="1466" spans="5:25" x14ac:dyDescent="0.35">
      <c r="E1466" t="s">
        <v>198</v>
      </c>
      <c r="F1466" t="s">
        <v>373</v>
      </c>
      <c r="G1466" s="28"/>
      <c r="N1466" s="28"/>
      <c r="O1466" s="28"/>
      <c r="X1466" s="40"/>
      <c r="Y1466" s="40"/>
    </row>
    <row r="1467" spans="5:25" x14ac:dyDescent="0.35">
      <c r="E1467" t="s">
        <v>198</v>
      </c>
      <c r="F1467" t="s">
        <v>374</v>
      </c>
      <c r="G1467" s="28"/>
      <c r="N1467" s="28"/>
      <c r="O1467" s="28"/>
      <c r="X1467" s="40"/>
      <c r="Y1467" s="40"/>
    </row>
    <row r="1468" spans="5:25" x14ac:dyDescent="0.35">
      <c r="E1468" t="s">
        <v>198</v>
      </c>
      <c r="F1468" t="s">
        <v>1277</v>
      </c>
      <c r="G1468" s="28"/>
      <c r="N1468" s="28"/>
      <c r="O1468" s="28"/>
      <c r="X1468" s="40"/>
      <c r="Y1468" s="40"/>
    </row>
    <row r="1469" spans="5:25" x14ac:dyDescent="0.35">
      <c r="E1469" t="s">
        <v>198</v>
      </c>
      <c r="F1469" t="s">
        <v>376</v>
      </c>
      <c r="G1469" s="28"/>
      <c r="N1469" s="28"/>
      <c r="O1469" s="28"/>
      <c r="X1469" s="40"/>
      <c r="Y1469" s="40"/>
    </row>
    <row r="1470" spans="5:25" x14ac:dyDescent="0.35">
      <c r="E1470" t="s">
        <v>198</v>
      </c>
      <c r="F1470" t="s">
        <v>1278</v>
      </c>
      <c r="G1470" s="28"/>
      <c r="N1470" s="28"/>
      <c r="O1470" s="28"/>
      <c r="X1470" s="40"/>
      <c r="Y1470" s="40"/>
    </row>
    <row r="1471" spans="5:25" x14ac:dyDescent="0.35">
      <c r="E1471" t="s">
        <v>198</v>
      </c>
      <c r="F1471" t="s">
        <v>873</v>
      </c>
      <c r="G1471" s="28"/>
      <c r="N1471" s="28"/>
      <c r="O1471" s="28"/>
      <c r="X1471" s="40"/>
      <c r="Y1471" s="40"/>
    </row>
    <row r="1472" spans="5:25" x14ac:dyDescent="0.35">
      <c r="E1472" t="s">
        <v>198</v>
      </c>
      <c r="F1472" t="s">
        <v>430</v>
      </c>
      <c r="G1472" s="28"/>
      <c r="N1472" s="28"/>
      <c r="O1472" s="28"/>
      <c r="X1472" s="40"/>
      <c r="Y1472" s="40"/>
    </row>
    <row r="1473" spans="5:25" x14ac:dyDescent="0.35">
      <c r="E1473" t="s">
        <v>198</v>
      </c>
      <c r="F1473" t="s">
        <v>431</v>
      </c>
      <c r="G1473" s="28"/>
      <c r="N1473" s="28"/>
      <c r="O1473" s="28"/>
      <c r="X1473" s="40"/>
      <c r="Y1473" s="40"/>
    </row>
    <row r="1474" spans="5:25" x14ac:dyDescent="0.35">
      <c r="E1474" t="s">
        <v>198</v>
      </c>
      <c r="F1474" t="s">
        <v>1279</v>
      </c>
      <c r="G1474" s="28"/>
      <c r="N1474" s="28"/>
      <c r="O1474" s="28"/>
      <c r="X1474" s="40"/>
      <c r="Y1474" s="40"/>
    </row>
    <row r="1475" spans="5:25" x14ac:dyDescent="0.35">
      <c r="E1475" t="s">
        <v>198</v>
      </c>
      <c r="F1475" t="s">
        <v>379</v>
      </c>
      <c r="G1475" s="28"/>
      <c r="N1475" s="28"/>
      <c r="O1475" s="28"/>
      <c r="X1475" s="40"/>
      <c r="Y1475" s="40"/>
    </row>
    <row r="1476" spans="5:25" x14ac:dyDescent="0.35">
      <c r="E1476" t="s">
        <v>198</v>
      </c>
      <c r="F1476" t="s">
        <v>380</v>
      </c>
      <c r="G1476" s="28"/>
      <c r="N1476" s="28"/>
      <c r="O1476" s="28"/>
      <c r="X1476" s="40"/>
      <c r="Y1476" s="40"/>
    </row>
    <row r="1477" spans="5:25" x14ac:dyDescent="0.35">
      <c r="E1477" t="s">
        <v>198</v>
      </c>
      <c r="F1477" t="s">
        <v>381</v>
      </c>
      <c r="G1477" s="28"/>
      <c r="N1477" s="28"/>
      <c r="O1477" s="28"/>
      <c r="X1477" s="40"/>
      <c r="Y1477" s="40"/>
    </row>
    <row r="1478" spans="5:25" x14ac:dyDescent="0.35">
      <c r="E1478" t="s">
        <v>198</v>
      </c>
      <c r="F1478" t="s">
        <v>1280</v>
      </c>
      <c r="G1478" s="28"/>
      <c r="N1478" s="28"/>
      <c r="O1478" s="28"/>
      <c r="X1478" s="40"/>
      <c r="Y1478" s="40"/>
    </row>
    <row r="1479" spans="5:25" x14ac:dyDescent="0.35">
      <c r="E1479" t="s">
        <v>198</v>
      </c>
      <c r="F1479" t="s">
        <v>433</v>
      </c>
      <c r="G1479" s="28"/>
      <c r="N1479" s="28"/>
      <c r="O1479" s="28"/>
      <c r="X1479" s="40"/>
      <c r="Y1479" s="40"/>
    </row>
    <row r="1480" spans="5:25" x14ac:dyDescent="0.35">
      <c r="E1480" t="s">
        <v>198</v>
      </c>
      <c r="F1480" t="s">
        <v>1281</v>
      </c>
      <c r="G1480" s="28"/>
      <c r="N1480" s="28"/>
      <c r="O1480" s="28"/>
      <c r="X1480" s="40"/>
      <c r="Y1480" s="40"/>
    </row>
    <row r="1481" spans="5:25" x14ac:dyDescent="0.35">
      <c r="E1481" t="s">
        <v>198</v>
      </c>
      <c r="F1481" t="s">
        <v>1282</v>
      </c>
      <c r="G1481" s="28"/>
      <c r="N1481" s="28"/>
      <c r="O1481" s="28"/>
      <c r="X1481" s="40"/>
      <c r="Y1481" s="40"/>
    </row>
    <row r="1482" spans="5:25" x14ac:dyDescent="0.35">
      <c r="E1482" t="s">
        <v>198</v>
      </c>
      <c r="F1482" t="s">
        <v>969</v>
      </c>
      <c r="G1482" s="28"/>
      <c r="N1482" s="28"/>
      <c r="O1482" s="28"/>
      <c r="X1482" s="40"/>
      <c r="Y1482" s="40"/>
    </row>
    <row r="1483" spans="5:25" x14ac:dyDescent="0.35">
      <c r="E1483" t="s">
        <v>198</v>
      </c>
      <c r="F1483" t="s">
        <v>1283</v>
      </c>
      <c r="G1483" s="28"/>
      <c r="N1483" s="28"/>
      <c r="O1483" s="28"/>
      <c r="X1483" s="40"/>
      <c r="Y1483" s="40"/>
    </row>
    <row r="1484" spans="5:25" x14ac:dyDescent="0.35">
      <c r="E1484" t="s">
        <v>198</v>
      </c>
      <c r="F1484" t="s">
        <v>1284</v>
      </c>
      <c r="G1484" s="28"/>
      <c r="N1484" s="28"/>
      <c r="O1484" s="28"/>
      <c r="X1484" s="40"/>
      <c r="Y1484" s="40"/>
    </row>
    <row r="1485" spans="5:25" x14ac:dyDescent="0.35">
      <c r="E1485" t="s">
        <v>198</v>
      </c>
      <c r="F1485" t="s">
        <v>382</v>
      </c>
      <c r="G1485" s="28"/>
      <c r="N1485" s="28"/>
      <c r="O1485" s="28"/>
      <c r="X1485" s="40"/>
      <c r="Y1485" s="40"/>
    </row>
    <row r="1486" spans="5:25" x14ac:dyDescent="0.35">
      <c r="E1486" t="s">
        <v>198</v>
      </c>
      <c r="F1486" t="s">
        <v>1285</v>
      </c>
      <c r="G1486" s="28"/>
      <c r="N1486" s="28"/>
      <c r="O1486" s="28"/>
      <c r="X1486" s="40"/>
      <c r="Y1486" s="40"/>
    </row>
    <row r="1487" spans="5:25" x14ac:dyDescent="0.35">
      <c r="E1487" t="s">
        <v>198</v>
      </c>
      <c r="F1487" t="s">
        <v>1286</v>
      </c>
      <c r="G1487" s="28"/>
      <c r="N1487" s="28"/>
      <c r="O1487" s="28"/>
      <c r="X1487" s="40"/>
      <c r="Y1487" s="40"/>
    </row>
    <row r="1488" spans="5:25" x14ac:dyDescent="0.35">
      <c r="E1488" t="s">
        <v>198</v>
      </c>
      <c r="F1488" t="s">
        <v>384</v>
      </c>
      <c r="G1488" s="28"/>
      <c r="N1488" s="28"/>
      <c r="O1488" s="28"/>
      <c r="X1488" s="40"/>
      <c r="Y1488" s="40"/>
    </row>
    <row r="1489" spans="5:25" x14ac:dyDescent="0.35">
      <c r="E1489" t="s">
        <v>198</v>
      </c>
      <c r="F1489" t="s">
        <v>1287</v>
      </c>
      <c r="G1489" s="28"/>
      <c r="N1489" s="28"/>
      <c r="O1489" s="28"/>
      <c r="X1489" s="40"/>
      <c r="Y1489" s="40"/>
    </row>
    <row r="1490" spans="5:25" x14ac:dyDescent="0.35">
      <c r="E1490" t="s">
        <v>198</v>
      </c>
      <c r="F1490" t="s">
        <v>437</v>
      </c>
      <c r="G1490" s="28"/>
      <c r="N1490" s="28"/>
      <c r="O1490" s="28"/>
      <c r="X1490" s="40"/>
      <c r="Y1490" s="40"/>
    </row>
    <row r="1491" spans="5:25" x14ac:dyDescent="0.35">
      <c r="E1491" t="s">
        <v>198</v>
      </c>
      <c r="F1491" t="s">
        <v>440</v>
      </c>
      <c r="G1491" s="28"/>
      <c r="N1491" s="28"/>
      <c r="O1491" s="28"/>
      <c r="X1491" s="40"/>
      <c r="Y1491" s="40"/>
    </row>
    <row r="1492" spans="5:25" x14ac:dyDescent="0.35">
      <c r="E1492" t="s">
        <v>198</v>
      </c>
      <c r="F1492" t="s">
        <v>631</v>
      </c>
      <c r="G1492" s="28"/>
      <c r="N1492" s="28"/>
      <c r="O1492" s="28"/>
      <c r="X1492" s="40"/>
      <c r="Y1492" s="40"/>
    </row>
    <row r="1493" spans="5:25" x14ac:dyDescent="0.35">
      <c r="E1493" t="s">
        <v>198</v>
      </c>
      <c r="F1493" t="s">
        <v>1288</v>
      </c>
      <c r="G1493" s="28"/>
      <c r="N1493" s="28"/>
      <c r="O1493" s="28"/>
      <c r="X1493" s="40"/>
      <c r="Y1493" s="40"/>
    </row>
    <row r="1494" spans="5:25" x14ac:dyDescent="0.35">
      <c r="E1494" t="s">
        <v>198</v>
      </c>
      <c r="F1494" t="s">
        <v>385</v>
      </c>
      <c r="G1494" s="28"/>
      <c r="N1494" s="28"/>
      <c r="O1494" s="28"/>
      <c r="X1494" s="40"/>
      <c r="Y1494" s="40"/>
    </row>
    <row r="1495" spans="5:25" x14ac:dyDescent="0.35">
      <c r="E1495" t="s">
        <v>198</v>
      </c>
      <c r="F1495" t="s">
        <v>1289</v>
      </c>
      <c r="G1495" s="28"/>
      <c r="N1495" s="28"/>
      <c r="O1495" s="28"/>
      <c r="X1495" s="40"/>
      <c r="Y1495" s="40"/>
    </row>
    <row r="1496" spans="5:25" x14ac:dyDescent="0.35">
      <c r="E1496" t="s">
        <v>198</v>
      </c>
      <c r="F1496" t="s">
        <v>1290</v>
      </c>
      <c r="G1496" s="28"/>
      <c r="N1496" s="28"/>
      <c r="O1496" s="28"/>
      <c r="X1496" s="40"/>
      <c r="Y1496" s="40"/>
    </row>
    <row r="1497" spans="5:25" x14ac:dyDescent="0.35">
      <c r="E1497" t="s">
        <v>198</v>
      </c>
      <c r="F1497" t="s">
        <v>914</v>
      </c>
      <c r="G1497" s="28"/>
      <c r="N1497" s="28"/>
      <c r="O1497" s="28"/>
      <c r="X1497" s="40"/>
      <c r="Y1497" s="40"/>
    </row>
    <row r="1498" spans="5:25" x14ac:dyDescent="0.35">
      <c r="E1498" t="s">
        <v>198</v>
      </c>
      <c r="F1498" t="s">
        <v>1082</v>
      </c>
      <c r="G1498" s="28"/>
      <c r="N1498" s="28"/>
      <c r="O1498" s="28"/>
      <c r="X1498" s="40"/>
      <c r="Y1498" s="40"/>
    </row>
    <row r="1499" spans="5:25" x14ac:dyDescent="0.35">
      <c r="E1499" t="s">
        <v>198</v>
      </c>
      <c r="F1499" t="s">
        <v>387</v>
      </c>
      <c r="G1499" s="28"/>
      <c r="N1499" s="28"/>
      <c r="O1499" s="28"/>
      <c r="X1499" s="40"/>
      <c r="Y1499" s="40"/>
    </row>
    <row r="1500" spans="5:25" x14ac:dyDescent="0.35">
      <c r="E1500" t="s">
        <v>198</v>
      </c>
      <c r="F1500" t="s">
        <v>1291</v>
      </c>
      <c r="G1500" s="28"/>
      <c r="N1500" s="28"/>
      <c r="O1500" s="28"/>
      <c r="X1500" s="40"/>
      <c r="Y1500" s="40"/>
    </row>
    <row r="1501" spans="5:25" x14ac:dyDescent="0.35">
      <c r="E1501" t="s">
        <v>198</v>
      </c>
      <c r="F1501" t="s">
        <v>1246</v>
      </c>
      <c r="G1501" s="28"/>
      <c r="N1501" s="28"/>
      <c r="O1501" s="28"/>
      <c r="X1501" s="40"/>
      <c r="Y1501" s="40"/>
    </row>
    <row r="1502" spans="5:25" x14ac:dyDescent="0.35">
      <c r="E1502" t="s">
        <v>198</v>
      </c>
      <c r="F1502" t="s">
        <v>1292</v>
      </c>
      <c r="G1502" s="28"/>
      <c r="N1502" s="28"/>
      <c r="O1502" s="28"/>
      <c r="X1502" s="40"/>
      <c r="Y1502" s="40"/>
    </row>
    <row r="1503" spans="5:25" x14ac:dyDescent="0.35">
      <c r="E1503" t="s">
        <v>198</v>
      </c>
      <c r="F1503" t="s">
        <v>1293</v>
      </c>
      <c r="G1503" s="28"/>
      <c r="N1503" s="28"/>
      <c r="O1503" s="28"/>
      <c r="X1503" s="40"/>
      <c r="Y1503" s="40"/>
    </row>
    <row r="1504" spans="5:25" x14ac:dyDescent="0.35">
      <c r="E1504" t="s">
        <v>198</v>
      </c>
      <c r="F1504" t="s">
        <v>442</v>
      </c>
      <c r="G1504" s="28"/>
      <c r="N1504" s="28"/>
      <c r="O1504" s="28"/>
      <c r="X1504" s="40"/>
      <c r="Y1504" s="40"/>
    </row>
    <row r="1505" spans="5:25" x14ac:dyDescent="0.35">
      <c r="E1505" t="s">
        <v>198</v>
      </c>
      <c r="F1505" t="s">
        <v>881</v>
      </c>
      <c r="G1505" s="28"/>
      <c r="N1505" s="28"/>
      <c r="O1505" s="28"/>
      <c r="X1505" s="40"/>
      <c r="Y1505" s="40"/>
    </row>
    <row r="1506" spans="5:25" x14ac:dyDescent="0.35">
      <c r="E1506" t="s">
        <v>198</v>
      </c>
      <c r="F1506" t="s">
        <v>1294</v>
      </c>
      <c r="G1506" s="28"/>
      <c r="N1506" s="28"/>
      <c r="O1506" s="28"/>
      <c r="X1506" s="40"/>
      <c r="Y1506" s="40"/>
    </row>
    <row r="1507" spans="5:25" x14ac:dyDescent="0.35">
      <c r="E1507" t="s">
        <v>198</v>
      </c>
      <c r="F1507" t="s">
        <v>443</v>
      </c>
      <c r="G1507" s="28"/>
      <c r="N1507" s="28"/>
      <c r="O1507" s="28"/>
      <c r="X1507" s="40"/>
      <c r="Y1507" s="40"/>
    </row>
    <row r="1508" spans="5:25" x14ac:dyDescent="0.35">
      <c r="E1508" t="s">
        <v>198</v>
      </c>
      <c r="F1508" t="s">
        <v>1295</v>
      </c>
      <c r="G1508" s="28"/>
      <c r="N1508" s="28"/>
      <c r="O1508" s="28"/>
      <c r="X1508" s="40"/>
      <c r="Y1508" s="40"/>
    </row>
    <row r="1509" spans="5:25" x14ac:dyDescent="0.35">
      <c r="E1509" t="s">
        <v>198</v>
      </c>
      <c r="F1509" t="s">
        <v>388</v>
      </c>
      <c r="G1509" s="28"/>
      <c r="N1509" s="28"/>
      <c r="O1509" s="28"/>
      <c r="X1509" s="40"/>
      <c r="Y1509" s="40"/>
    </row>
    <row r="1510" spans="5:25" x14ac:dyDescent="0.35">
      <c r="E1510" t="s">
        <v>198</v>
      </c>
      <c r="F1510" t="s">
        <v>1296</v>
      </c>
      <c r="G1510" s="28"/>
      <c r="N1510" s="28"/>
      <c r="O1510" s="28"/>
      <c r="X1510" s="40"/>
      <c r="Y1510" s="40"/>
    </row>
    <row r="1511" spans="5:25" x14ac:dyDescent="0.35">
      <c r="E1511" t="s">
        <v>198</v>
      </c>
      <c r="F1511" t="s">
        <v>448</v>
      </c>
      <c r="G1511" s="28"/>
      <c r="N1511" s="28"/>
      <c r="O1511" s="28"/>
      <c r="X1511" s="40"/>
      <c r="Y1511" s="40"/>
    </row>
    <row r="1512" spans="5:25" x14ac:dyDescent="0.35">
      <c r="E1512" t="s">
        <v>198</v>
      </c>
      <c r="F1512" t="s">
        <v>920</v>
      </c>
      <c r="G1512" s="28"/>
      <c r="N1512" s="28"/>
      <c r="O1512" s="28"/>
      <c r="X1512" s="40"/>
      <c r="Y1512" s="40"/>
    </row>
    <row r="1513" spans="5:25" x14ac:dyDescent="0.35">
      <c r="E1513" t="s">
        <v>198</v>
      </c>
      <c r="F1513" t="s">
        <v>1297</v>
      </c>
      <c r="G1513" s="28"/>
      <c r="N1513" s="28"/>
      <c r="O1513" s="28"/>
      <c r="X1513" s="40"/>
      <c r="Y1513" s="40"/>
    </row>
    <row r="1514" spans="5:25" x14ac:dyDescent="0.35">
      <c r="E1514" t="s">
        <v>198</v>
      </c>
      <c r="F1514" t="s">
        <v>1298</v>
      </c>
      <c r="G1514" s="28"/>
      <c r="N1514" s="28"/>
      <c r="O1514" s="28"/>
      <c r="X1514" s="40"/>
      <c r="Y1514" s="40"/>
    </row>
    <row r="1515" spans="5:25" x14ac:dyDescent="0.35">
      <c r="E1515" t="s">
        <v>198</v>
      </c>
      <c r="F1515" t="s">
        <v>1093</v>
      </c>
      <c r="G1515" s="28"/>
      <c r="N1515" s="28"/>
      <c r="O1515" s="28"/>
      <c r="X1515" s="40"/>
      <c r="Y1515" s="40"/>
    </row>
    <row r="1516" spans="5:25" x14ac:dyDescent="0.35">
      <c r="E1516" t="s">
        <v>198</v>
      </c>
      <c r="F1516" t="s">
        <v>744</v>
      </c>
      <c r="G1516" s="28"/>
      <c r="N1516" s="28"/>
      <c r="O1516" s="28"/>
      <c r="X1516" s="40"/>
      <c r="Y1516" s="40"/>
    </row>
    <row r="1517" spans="5:25" x14ac:dyDescent="0.35">
      <c r="E1517" t="s">
        <v>198</v>
      </c>
      <c r="F1517" t="s">
        <v>394</v>
      </c>
      <c r="G1517" s="28"/>
      <c r="N1517" s="28"/>
      <c r="O1517" s="28"/>
      <c r="X1517" s="40"/>
      <c r="Y1517" s="40"/>
    </row>
    <row r="1518" spans="5:25" x14ac:dyDescent="0.35">
      <c r="E1518" t="s">
        <v>198</v>
      </c>
      <c r="F1518" t="s">
        <v>745</v>
      </c>
      <c r="G1518" s="28"/>
      <c r="N1518" s="28"/>
      <c r="O1518" s="28"/>
      <c r="X1518" s="40"/>
      <c r="Y1518" s="40"/>
    </row>
    <row r="1519" spans="5:25" x14ac:dyDescent="0.35">
      <c r="E1519" t="s">
        <v>198</v>
      </c>
      <c r="F1519" t="s">
        <v>746</v>
      </c>
      <c r="G1519" s="28"/>
      <c r="N1519" s="28"/>
      <c r="O1519" s="28"/>
      <c r="X1519" s="40"/>
      <c r="Y1519" s="40"/>
    </row>
    <row r="1520" spans="5:25" x14ac:dyDescent="0.35">
      <c r="E1520" t="s">
        <v>198</v>
      </c>
      <c r="F1520" t="s">
        <v>751</v>
      </c>
      <c r="G1520" s="28"/>
      <c r="N1520" s="28"/>
      <c r="O1520" s="28"/>
      <c r="X1520" s="40"/>
      <c r="Y1520" s="40"/>
    </row>
    <row r="1521" spans="5:25" x14ac:dyDescent="0.35">
      <c r="E1521" t="s">
        <v>198</v>
      </c>
      <c r="F1521" t="s">
        <v>808</v>
      </c>
      <c r="G1521" s="28"/>
      <c r="N1521" s="28"/>
      <c r="O1521" s="28"/>
      <c r="X1521" s="40"/>
      <c r="Y1521" s="40"/>
    </row>
    <row r="1522" spans="5:25" x14ac:dyDescent="0.35">
      <c r="E1522" t="s">
        <v>297</v>
      </c>
      <c r="F1522" t="s">
        <v>1299</v>
      </c>
      <c r="G1522" s="28"/>
      <c r="N1522" s="28"/>
      <c r="O1522" s="28"/>
      <c r="X1522" s="40"/>
      <c r="Y1522" s="40"/>
    </row>
    <row r="1523" spans="5:25" x14ac:dyDescent="0.35">
      <c r="E1523" t="s">
        <v>199</v>
      </c>
      <c r="F1523" t="s">
        <v>526</v>
      </c>
      <c r="G1523" s="28"/>
      <c r="N1523" s="28"/>
      <c r="O1523" s="28"/>
      <c r="X1523" s="40"/>
      <c r="Y1523" s="40"/>
    </row>
    <row r="1524" spans="5:25" x14ac:dyDescent="0.35">
      <c r="E1524" t="s">
        <v>199</v>
      </c>
      <c r="F1524" t="s">
        <v>1300</v>
      </c>
      <c r="G1524" s="28"/>
      <c r="N1524" s="28"/>
      <c r="O1524" s="28"/>
      <c r="X1524" s="40"/>
      <c r="Y1524" s="40"/>
    </row>
    <row r="1525" spans="5:25" x14ac:dyDescent="0.35">
      <c r="E1525" t="s">
        <v>199</v>
      </c>
      <c r="F1525" t="s">
        <v>1301</v>
      </c>
      <c r="G1525" s="28"/>
      <c r="N1525" s="28"/>
      <c r="O1525" s="28"/>
      <c r="X1525" s="40"/>
      <c r="Y1525" s="40"/>
    </row>
    <row r="1526" spans="5:25" x14ac:dyDescent="0.35">
      <c r="E1526" t="s">
        <v>199</v>
      </c>
      <c r="F1526" t="s">
        <v>1302</v>
      </c>
      <c r="G1526" s="28"/>
      <c r="N1526" s="28"/>
      <c r="O1526" s="28"/>
      <c r="X1526" s="40"/>
      <c r="Y1526" s="40"/>
    </row>
    <row r="1527" spans="5:25" x14ac:dyDescent="0.35">
      <c r="E1527" t="s">
        <v>199</v>
      </c>
      <c r="F1527" t="s">
        <v>400</v>
      </c>
      <c r="G1527" s="28"/>
      <c r="N1527" s="28"/>
      <c r="O1527" s="28"/>
      <c r="X1527" s="40"/>
      <c r="Y1527" s="40"/>
    </row>
    <row r="1528" spans="5:25" x14ac:dyDescent="0.35">
      <c r="E1528" t="s">
        <v>199</v>
      </c>
      <c r="F1528" t="s">
        <v>1303</v>
      </c>
      <c r="G1528" s="28"/>
      <c r="N1528" s="28"/>
      <c r="O1528" s="28"/>
      <c r="X1528" s="40"/>
      <c r="Y1528" s="40"/>
    </row>
    <row r="1529" spans="5:25" x14ac:dyDescent="0.35">
      <c r="E1529" t="s">
        <v>199</v>
      </c>
      <c r="F1529" t="s">
        <v>337</v>
      </c>
      <c r="G1529" s="28"/>
      <c r="N1529" s="28"/>
      <c r="O1529" s="28"/>
      <c r="X1529" s="40"/>
      <c r="Y1529" s="40"/>
    </row>
    <row r="1530" spans="5:25" x14ac:dyDescent="0.35">
      <c r="E1530" t="s">
        <v>199</v>
      </c>
      <c r="F1530" t="s">
        <v>403</v>
      </c>
      <c r="G1530" s="28"/>
      <c r="N1530" s="28"/>
      <c r="O1530" s="28"/>
      <c r="X1530" s="40"/>
      <c r="Y1530" s="40"/>
    </row>
    <row r="1531" spans="5:25" x14ac:dyDescent="0.35">
      <c r="E1531" t="s">
        <v>199</v>
      </c>
      <c r="F1531" t="s">
        <v>768</v>
      </c>
      <c r="G1531" s="28"/>
      <c r="N1531" s="28"/>
      <c r="O1531" s="28"/>
      <c r="X1531" s="40"/>
      <c r="Y1531" s="40"/>
    </row>
    <row r="1532" spans="5:25" x14ac:dyDescent="0.35">
      <c r="E1532" t="s">
        <v>199</v>
      </c>
      <c r="F1532" t="s">
        <v>341</v>
      </c>
      <c r="G1532" s="28"/>
      <c r="N1532" s="28"/>
      <c r="O1532" s="28"/>
      <c r="X1532" s="40"/>
      <c r="Y1532" s="40"/>
    </row>
    <row r="1533" spans="5:25" x14ac:dyDescent="0.35">
      <c r="E1533" t="s">
        <v>199</v>
      </c>
      <c r="F1533" t="s">
        <v>1063</v>
      </c>
      <c r="G1533" s="28"/>
      <c r="N1533" s="28"/>
      <c r="O1533" s="28"/>
      <c r="X1533" s="40"/>
      <c r="Y1533" s="40"/>
    </row>
    <row r="1534" spans="5:25" x14ac:dyDescent="0.35">
      <c r="E1534" t="s">
        <v>199</v>
      </c>
      <c r="F1534" t="s">
        <v>342</v>
      </c>
      <c r="G1534" s="28"/>
      <c r="N1534" s="28"/>
      <c r="O1534" s="28"/>
      <c r="X1534" s="40"/>
      <c r="Y1534" s="40"/>
    </row>
    <row r="1535" spans="5:25" x14ac:dyDescent="0.35">
      <c r="E1535" t="s">
        <v>199</v>
      </c>
      <c r="F1535" t="s">
        <v>343</v>
      </c>
      <c r="G1535" s="28"/>
      <c r="N1535" s="28"/>
      <c r="O1535" s="28"/>
      <c r="X1535" s="40"/>
      <c r="Y1535" s="40"/>
    </row>
    <row r="1536" spans="5:25" x14ac:dyDescent="0.35">
      <c r="E1536" t="s">
        <v>199</v>
      </c>
      <c r="F1536" t="s">
        <v>1304</v>
      </c>
      <c r="G1536" s="28"/>
      <c r="N1536" s="28"/>
      <c r="O1536" s="28"/>
      <c r="X1536" s="40"/>
      <c r="Y1536" s="40"/>
    </row>
    <row r="1537" spans="5:25" x14ac:dyDescent="0.35">
      <c r="E1537" t="s">
        <v>199</v>
      </c>
      <c r="F1537" t="s">
        <v>1305</v>
      </c>
      <c r="G1537" s="28"/>
      <c r="N1537" s="28"/>
      <c r="O1537" s="28"/>
      <c r="X1537" s="40"/>
      <c r="Y1537" s="40"/>
    </row>
    <row r="1538" spans="5:25" x14ac:dyDescent="0.35">
      <c r="E1538" t="s">
        <v>199</v>
      </c>
      <c r="F1538" t="s">
        <v>349</v>
      </c>
      <c r="G1538" s="28"/>
      <c r="N1538" s="28"/>
      <c r="O1538" s="28"/>
      <c r="X1538" s="40"/>
      <c r="Y1538" s="40"/>
    </row>
    <row r="1539" spans="5:25" x14ac:dyDescent="0.35">
      <c r="E1539" t="s">
        <v>199</v>
      </c>
      <c r="F1539" t="s">
        <v>1306</v>
      </c>
      <c r="G1539" s="28"/>
      <c r="N1539" s="28"/>
      <c r="O1539" s="28"/>
      <c r="X1539" s="40"/>
      <c r="Y1539" s="40"/>
    </row>
    <row r="1540" spans="5:25" x14ac:dyDescent="0.35">
      <c r="E1540" t="s">
        <v>199</v>
      </c>
      <c r="F1540" t="s">
        <v>1307</v>
      </c>
      <c r="G1540" s="28"/>
      <c r="N1540" s="28"/>
      <c r="O1540" s="28"/>
      <c r="X1540" s="40"/>
      <c r="Y1540" s="40"/>
    </row>
    <row r="1541" spans="5:25" x14ac:dyDescent="0.35">
      <c r="E1541" t="s">
        <v>199</v>
      </c>
      <c r="F1541" t="s">
        <v>359</v>
      </c>
      <c r="G1541" s="28"/>
      <c r="N1541" s="28"/>
      <c r="O1541" s="28"/>
      <c r="X1541" s="40"/>
      <c r="Y1541" s="40"/>
    </row>
    <row r="1542" spans="5:25" x14ac:dyDescent="0.35">
      <c r="E1542" t="s">
        <v>199</v>
      </c>
      <c r="F1542" t="s">
        <v>1308</v>
      </c>
      <c r="G1542" s="28"/>
      <c r="N1542" s="28"/>
      <c r="O1542" s="28"/>
      <c r="X1542" s="40"/>
      <c r="Y1542" s="40"/>
    </row>
    <row r="1543" spans="5:25" x14ac:dyDescent="0.35">
      <c r="E1543" t="s">
        <v>199</v>
      </c>
      <c r="F1543" t="s">
        <v>361</v>
      </c>
      <c r="G1543" s="28"/>
      <c r="N1543" s="28"/>
      <c r="O1543" s="28"/>
      <c r="X1543" s="40"/>
      <c r="Y1543" s="40"/>
    </row>
    <row r="1544" spans="5:25" x14ac:dyDescent="0.35">
      <c r="E1544" t="s">
        <v>199</v>
      </c>
      <c r="F1544" t="s">
        <v>1309</v>
      </c>
      <c r="G1544" s="28"/>
      <c r="N1544" s="28"/>
      <c r="O1544" s="28"/>
      <c r="X1544" s="40"/>
      <c r="Y1544" s="40"/>
    </row>
    <row r="1545" spans="5:25" x14ac:dyDescent="0.35">
      <c r="E1545" t="s">
        <v>199</v>
      </c>
      <c r="F1545" t="s">
        <v>695</v>
      </c>
      <c r="G1545" s="28"/>
      <c r="N1545" s="28"/>
      <c r="O1545" s="28"/>
      <c r="X1545" s="40"/>
      <c r="Y1545" s="40"/>
    </row>
    <row r="1546" spans="5:25" x14ac:dyDescent="0.35">
      <c r="E1546" t="s">
        <v>199</v>
      </c>
      <c r="F1546" t="s">
        <v>779</v>
      </c>
      <c r="G1546" s="28"/>
      <c r="N1546" s="28"/>
      <c r="O1546" s="28"/>
      <c r="X1546" s="40"/>
      <c r="Y1546" s="40"/>
    </row>
    <row r="1547" spans="5:25" x14ac:dyDescent="0.35">
      <c r="E1547" t="s">
        <v>199</v>
      </c>
      <c r="F1547" t="s">
        <v>1310</v>
      </c>
      <c r="G1547" s="28"/>
      <c r="N1547" s="28"/>
      <c r="O1547" s="28"/>
      <c r="X1547" s="40"/>
      <c r="Y1547" s="40"/>
    </row>
    <row r="1548" spans="5:25" x14ac:dyDescent="0.35">
      <c r="E1548" t="s">
        <v>199</v>
      </c>
      <c r="F1548" t="s">
        <v>616</v>
      </c>
      <c r="G1548" s="28"/>
      <c r="N1548" s="28"/>
      <c r="O1548" s="28"/>
      <c r="X1548" s="40"/>
      <c r="Y1548" s="40"/>
    </row>
    <row r="1549" spans="5:25" x14ac:dyDescent="0.35">
      <c r="E1549" t="s">
        <v>199</v>
      </c>
      <c r="F1549" t="s">
        <v>1311</v>
      </c>
      <c r="G1549" s="28"/>
      <c r="N1549" s="28"/>
      <c r="O1549" s="28"/>
      <c r="X1549" s="40"/>
      <c r="Y1549" s="40"/>
    </row>
    <row r="1550" spans="5:25" x14ac:dyDescent="0.35">
      <c r="E1550" t="s">
        <v>199</v>
      </c>
      <c r="F1550" t="s">
        <v>1312</v>
      </c>
      <c r="G1550" s="28"/>
      <c r="N1550" s="28"/>
      <c r="O1550" s="28"/>
      <c r="X1550" s="40"/>
      <c r="Y1550" s="40"/>
    </row>
    <row r="1551" spans="5:25" x14ac:dyDescent="0.35">
      <c r="E1551" t="s">
        <v>199</v>
      </c>
      <c r="F1551" t="s">
        <v>1313</v>
      </c>
      <c r="G1551" s="28"/>
      <c r="N1551" s="28"/>
      <c r="O1551" s="28"/>
      <c r="X1551" s="40"/>
      <c r="Y1551" s="40"/>
    </row>
    <row r="1552" spans="5:25" x14ac:dyDescent="0.35">
      <c r="E1552" t="s">
        <v>199</v>
      </c>
      <c r="F1552" t="s">
        <v>365</v>
      </c>
      <c r="G1552" s="28"/>
      <c r="N1552" s="28"/>
      <c r="O1552" s="28"/>
      <c r="X1552" s="40"/>
      <c r="Y1552" s="40"/>
    </row>
    <row r="1553" spans="5:25" x14ac:dyDescent="0.35">
      <c r="E1553" t="s">
        <v>199</v>
      </c>
      <c r="F1553" t="s">
        <v>701</v>
      </c>
      <c r="G1553" s="28"/>
      <c r="N1553" s="28"/>
      <c r="O1553" s="28"/>
      <c r="X1553" s="40"/>
      <c r="Y1553" s="40"/>
    </row>
    <row r="1554" spans="5:25" x14ac:dyDescent="0.35">
      <c r="E1554" t="s">
        <v>199</v>
      </c>
      <c r="F1554" t="s">
        <v>366</v>
      </c>
      <c r="G1554" s="28"/>
      <c r="N1554" s="28"/>
      <c r="O1554" s="28"/>
      <c r="X1554" s="40"/>
      <c r="Y1554" s="40"/>
    </row>
    <row r="1555" spans="5:25" x14ac:dyDescent="0.35">
      <c r="E1555" t="s">
        <v>199</v>
      </c>
      <c r="F1555" t="s">
        <v>1071</v>
      </c>
      <c r="G1555" s="28"/>
      <c r="N1555" s="28"/>
      <c r="O1555" s="28"/>
      <c r="X1555" s="40"/>
      <c r="Y1555" s="40"/>
    </row>
    <row r="1556" spans="5:25" x14ac:dyDescent="0.35">
      <c r="E1556" t="s">
        <v>199</v>
      </c>
      <c r="F1556" t="s">
        <v>704</v>
      </c>
      <c r="G1556" s="28"/>
      <c r="N1556" s="28"/>
      <c r="O1556" s="28"/>
      <c r="X1556" s="40"/>
      <c r="Y1556" s="40"/>
    </row>
    <row r="1557" spans="5:25" x14ac:dyDescent="0.35">
      <c r="E1557" t="s">
        <v>199</v>
      </c>
      <c r="F1557" t="s">
        <v>1314</v>
      </c>
      <c r="G1557" s="28"/>
      <c r="N1557" s="28"/>
      <c r="O1557" s="28"/>
      <c r="X1557" s="40"/>
      <c r="Y1557" s="40"/>
    </row>
    <row r="1558" spans="5:25" x14ac:dyDescent="0.35">
      <c r="E1558" t="s">
        <v>199</v>
      </c>
      <c r="F1558" t="s">
        <v>425</v>
      </c>
      <c r="G1558" s="28"/>
      <c r="N1558" s="28"/>
      <c r="O1558" s="28"/>
      <c r="X1558" s="40"/>
      <c r="Y1558" s="40"/>
    </row>
    <row r="1559" spans="5:25" x14ac:dyDescent="0.35">
      <c r="E1559" t="s">
        <v>199</v>
      </c>
      <c r="F1559" t="s">
        <v>367</v>
      </c>
      <c r="G1559" s="28"/>
      <c r="N1559" s="28"/>
      <c r="O1559" s="28"/>
      <c r="X1559" s="40"/>
      <c r="Y1559" s="40"/>
    </row>
    <row r="1560" spans="5:25" x14ac:dyDescent="0.35">
      <c r="E1560" t="s">
        <v>199</v>
      </c>
      <c r="F1560" t="s">
        <v>368</v>
      </c>
      <c r="G1560" s="28"/>
      <c r="N1560" s="28"/>
      <c r="O1560" s="28"/>
      <c r="X1560" s="40"/>
      <c r="Y1560" s="40"/>
    </row>
    <row r="1561" spans="5:25" x14ac:dyDescent="0.35">
      <c r="E1561" t="s">
        <v>199</v>
      </c>
      <c r="F1561" t="s">
        <v>369</v>
      </c>
      <c r="G1561" s="28"/>
      <c r="N1561" s="28"/>
      <c r="O1561" s="28"/>
      <c r="X1561" s="40"/>
      <c r="Y1561" s="40"/>
    </row>
    <row r="1562" spans="5:25" x14ac:dyDescent="0.35">
      <c r="E1562" t="s">
        <v>199</v>
      </c>
      <c r="F1562" t="s">
        <v>1315</v>
      </c>
      <c r="G1562" s="28"/>
      <c r="N1562" s="28"/>
      <c r="O1562" s="28"/>
      <c r="X1562" s="40"/>
      <c r="Y1562" s="40"/>
    </row>
    <row r="1563" spans="5:25" x14ac:dyDescent="0.35">
      <c r="E1563" t="s">
        <v>199</v>
      </c>
      <c r="F1563" t="s">
        <v>370</v>
      </c>
      <c r="G1563" s="28"/>
      <c r="N1563" s="28"/>
      <c r="O1563" s="28"/>
      <c r="X1563" s="40"/>
      <c r="Y1563" s="40"/>
    </row>
    <row r="1564" spans="5:25" x14ac:dyDescent="0.35">
      <c r="E1564" t="s">
        <v>199</v>
      </c>
      <c r="F1564" t="s">
        <v>1316</v>
      </c>
      <c r="G1564" s="28"/>
      <c r="N1564" s="28"/>
      <c r="O1564" s="28"/>
      <c r="X1564" s="40"/>
      <c r="Y1564" s="40"/>
    </row>
    <row r="1565" spans="5:25" x14ac:dyDescent="0.35">
      <c r="E1565" t="s">
        <v>199</v>
      </c>
      <c r="F1565" t="s">
        <v>426</v>
      </c>
      <c r="G1565" s="28"/>
      <c r="N1565" s="28"/>
      <c r="O1565" s="28"/>
      <c r="X1565" s="40"/>
      <c r="Y1565" s="40"/>
    </row>
    <row r="1566" spans="5:25" x14ac:dyDescent="0.35">
      <c r="E1566" t="s">
        <v>199</v>
      </c>
      <c r="F1566" t="s">
        <v>372</v>
      </c>
      <c r="G1566" s="28"/>
      <c r="N1566" s="28"/>
      <c r="O1566" s="28"/>
      <c r="X1566" s="40"/>
      <c r="Y1566" s="40"/>
    </row>
    <row r="1567" spans="5:25" x14ac:dyDescent="0.35">
      <c r="E1567" t="s">
        <v>199</v>
      </c>
      <c r="F1567" t="s">
        <v>374</v>
      </c>
      <c r="G1567" s="28"/>
      <c r="N1567" s="28"/>
      <c r="O1567" s="28"/>
      <c r="X1567" s="40"/>
      <c r="Y1567" s="40"/>
    </row>
    <row r="1568" spans="5:25" x14ac:dyDescent="0.35">
      <c r="E1568" t="s">
        <v>199</v>
      </c>
      <c r="F1568" t="s">
        <v>376</v>
      </c>
      <c r="G1568" s="28"/>
      <c r="N1568" s="28"/>
      <c r="O1568" s="28"/>
      <c r="X1568" s="40"/>
      <c r="Y1568" s="40"/>
    </row>
    <row r="1569" spans="5:25" x14ac:dyDescent="0.35">
      <c r="E1569" t="s">
        <v>199</v>
      </c>
      <c r="F1569" t="s">
        <v>377</v>
      </c>
      <c r="G1569" s="28"/>
      <c r="N1569" s="28"/>
      <c r="O1569" s="28"/>
      <c r="X1569" s="40"/>
      <c r="Y1569" s="40"/>
    </row>
    <row r="1570" spans="5:25" x14ac:dyDescent="0.35">
      <c r="E1570" t="s">
        <v>199</v>
      </c>
      <c r="F1570" t="s">
        <v>379</v>
      </c>
      <c r="G1570" s="28"/>
      <c r="N1570" s="28"/>
      <c r="O1570" s="28"/>
      <c r="X1570" s="40"/>
      <c r="Y1570" s="40"/>
    </row>
    <row r="1571" spans="5:25" x14ac:dyDescent="0.35">
      <c r="E1571" t="s">
        <v>199</v>
      </c>
      <c r="F1571" t="s">
        <v>380</v>
      </c>
      <c r="G1571" s="28"/>
      <c r="N1571" s="28"/>
      <c r="O1571" s="28"/>
      <c r="X1571" s="40"/>
      <c r="Y1571" s="40"/>
    </row>
    <row r="1572" spans="5:25" x14ac:dyDescent="0.35">
      <c r="E1572" t="s">
        <v>199</v>
      </c>
      <c r="F1572" t="s">
        <v>1317</v>
      </c>
      <c r="G1572" s="28"/>
      <c r="N1572" s="28"/>
      <c r="O1572" s="28"/>
      <c r="X1572" s="40"/>
      <c r="Y1572" s="40"/>
    </row>
    <row r="1573" spans="5:25" x14ac:dyDescent="0.35">
      <c r="E1573" t="s">
        <v>199</v>
      </c>
      <c r="F1573" t="s">
        <v>433</v>
      </c>
      <c r="G1573" s="28"/>
      <c r="N1573" s="28"/>
      <c r="O1573" s="28"/>
      <c r="X1573" s="40"/>
      <c r="Y1573" s="40"/>
    </row>
    <row r="1574" spans="5:25" x14ac:dyDescent="0.35">
      <c r="E1574" t="s">
        <v>199</v>
      </c>
      <c r="F1574" t="s">
        <v>1318</v>
      </c>
      <c r="G1574" s="28"/>
      <c r="N1574" s="28"/>
      <c r="O1574" s="28"/>
      <c r="X1574" s="40"/>
      <c r="Y1574" s="40"/>
    </row>
    <row r="1575" spans="5:25" x14ac:dyDescent="0.35">
      <c r="E1575" t="s">
        <v>199</v>
      </c>
      <c r="F1575" t="s">
        <v>1319</v>
      </c>
      <c r="G1575" s="28"/>
      <c r="N1575" s="28"/>
      <c r="O1575" s="28"/>
      <c r="X1575" s="40"/>
      <c r="Y1575" s="40"/>
    </row>
    <row r="1576" spans="5:25" x14ac:dyDescent="0.35">
      <c r="E1576" t="s">
        <v>199</v>
      </c>
      <c r="F1576" t="s">
        <v>1320</v>
      </c>
      <c r="G1576" s="28"/>
      <c r="N1576" s="28"/>
      <c r="O1576" s="28"/>
      <c r="X1576" s="40"/>
      <c r="Y1576" s="40"/>
    </row>
    <row r="1577" spans="5:25" x14ac:dyDescent="0.35">
      <c r="E1577" t="s">
        <v>199</v>
      </c>
      <c r="F1577" t="s">
        <v>1321</v>
      </c>
      <c r="G1577" s="28"/>
      <c r="N1577" s="28"/>
      <c r="O1577" s="28"/>
      <c r="X1577" s="40"/>
      <c r="Y1577" s="40"/>
    </row>
    <row r="1578" spans="5:25" x14ac:dyDescent="0.35">
      <c r="E1578" t="s">
        <v>199</v>
      </c>
      <c r="F1578" t="s">
        <v>382</v>
      </c>
      <c r="G1578" s="28"/>
      <c r="N1578" s="28"/>
      <c r="O1578" s="28"/>
      <c r="X1578" s="40"/>
      <c r="Y1578" s="40"/>
    </row>
    <row r="1579" spans="5:25" x14ac:dyDescent="0.35">
      <c r="E1579" t="s">
        <v>199</v>
      </c>
      <c r="F1579" t="s">
        <v>384</v>
      </c>
      <c r="G1579" s="28"/>
      <c r="N1579" s="28"/>
      <c r="O1579" s="28"/>
      <c r="X1579" s="40"/>
      <c r="Y1579" s="40"/>
    </row>
    <row r="1580" spans="5:25" x14ac:dyDescent="0.35">
      <c r="E1580" t="s">
        <v>199</v>
      </c>
      <c r="F1580" t="s">
        <v>1322</v>
      </c>
      <c r="G1580" s="28"/>
      <c r="N1580" s="28"/>
      <c r="O1580" s="28"/>
      <c r="X1580" s="40"/>
      <c r="Y1580" s="40"/>
    </row>
    <row r="1581" spans="5:25" x14ac:dyDescent="0.35">
      <c r="E1581" t="s">
        <v>199</v>
      </c>
      <c r="F1581" t="s">
        <v>1323</v>
      </c>
      <c r="G1581" s="28"/>
      <c r="N1581" s="28"/>
      <c r="O1581" s="28"/>
      <c r="X1581" s="40"/>
      <c r="Y1581" s="40"/>
    </row>
    <row r="1582" spans="5:25" x14ac:dyDescent="0.35">
      <c r="E1582" t="s">
        <v>199</v>
      </c>
      <c r="F1582" t="s">
        <v>720</v>
      </c>
      <c r="G1582" s="28"/>
      <c r="N1582" s="28"/>
      <c r="O1582" s="28"/>
      <c r="X1582" s="40"/>
      <c r="Y1582" s="40"/>
    </row>
    <row r="1583" spans="5:25" x14ac:dyDescent="0.35">
      <c r="E1583" t="s">
        <v>199</v>
      </c>
      <c r="F1583" t="s">
        <v>1324</v>
      </c>
      <c r="G1583" s="28"/>
      <c r="N1583" s="28"/>
      <c r="O1583" s="28"/>
      <c r="X1583" s="40"/>
      <c r="Y1583" s="40"/>
    </row>
    <row r="1584" spans="5:25" x14ac:dyDescent="0.35">
      <c r="E1584" t="s">
        <v>199</v>
      </c>
      <c r="F1584" t="s">
        <v>443</v>
      </c>
      <c r="G1584" s="28"/>
      <c r="N1584" s="28"/>
      <c r="O1584" s="28"/>
      <c r="X1584" s="40"/>
      <c r="Y1584" s="40"/>
    </row>
    <row r="1585" spans="5:25" x14ac:dyDescent="0.35">
      <c r="E1585" t="s">
        <v>199</v>
      </c>
      <c r="F1585" t="s">
        <v>1325</v>
      </c>
      <c r="G1585" s="28"/>
      <c r="N1585" s="28"/>
      <c r="O1585" s="28"/>
      <c r="X1585" s="40"/>
      <c r="Y1585" s="40"/>
    </row>
    <row r="1586" spans="5:25" x14ac:dyDescent="0.35">
      <c r="E1586" t="s">
        <v>199</v>
      </c>
      <c r="F1586" t="s">
        <v>1047</v>
      </c>
      <c r="G1586" s="28"/>
      <c r="N1586" s="28"/>
      <c r="O1586" s="28"/>
      <c r="X1586" s="40"/>
      <c r="Y1586" s="40"/>
    </row>
    <row r="1587" spans="5:25" x14ac:dyDescent="0.35">
      <c r="E1587" t="s">
        <v>199</v>
      </c>
      <c r="F1587" t="s">
        <v>985</v>
      </c>
      <c r="G1587" s="28"/>
      <c r="N1587" s="28"/>
      <c r="O1587" s="28"/>
      <c r="X1587" s="40"/>
      <c r="Y1587" s="40"/>
    </row>
    <row r="1588" spans="5:25" x14ac:dyDescent="0.35">
      <c r="E1588" t="s">
        <v>199</v>
      </c>
      <c r="F1588" t="s">
        <v>448</v>
      </c>
      <c r="G1588" s="28"/>
      <c r="N1588" s="28"/>
      <c r="O1588" s="28"/>
      <c r="X1588" s="40"/>
      <c r="Y1588" s="40"/>
    </row>
    <row r="1589" spans="5:25" x14ac:dyDescent="0.35">
      <c r="E1589" t="s">
        <v>199</v>
      </c>
      <c r="F1589" t="s">
        <v>1326</v>
      </c>
      <c r="G1589" s="28"/>
      <c r="N1589" s="28"/>
      <c r="O1589" s="28"/>
      <c r="X1589" s="40"/>
      <c r="Y1589" s="40"/>
    </row>
    <row r="1590" spans="5:25" x14ac:dyDescent="0.35">
      <c r="E1590" t="s">
        <v>199</v>
      </c>
      <c r="F1590" t="s">
        <v>1327</v>
      </c>
      <c r="G1590" s="28"/>
      <c r="N1590" s="28"/>
      <c r="O1590" s="28"/>
      <c r="X1590" s="40"/>
      <c r="Y1590" s="40"/>
    </row>
    <row r="1591" spans="5:25" x14ac:dyDescent="0.35">
      <c r="E1591" t="s">
        <v>199</v>
      </c>
      <c r="F1591" t="s">
        <v>1328</v>
      </c>
      <c r="G1591" s="28"/>
      <c r="N1591" s="28"/>
      <c r="O1591" s="28"/>
      <c r="X1591" s="40"/>
      <c r="Y1591" s="40"/>
    </row>
    <row r="1592" spans="5:25" x14ac:dyDescent="0.35">
      <c r="E1592" t="s">
        <v>199</v>
      </c>
      <c r="F1592" t="s">
        <v>1329</v>
      </c>
      <c r="G1592" s="28"/>
      <c r="N1592" s="28"/>
      <c r="O1592" s="28"/>
      <c r="X1592" s="40"/>
      <c r="Y1592" s="40"/>
    </row>
    <row r="1593" spans="5:25" x14ac:dyDescent="0.35">
      <c r="E1593" t="s">
        <v>199</v>
      </c>
      <c r="F1593" t="s">
        <v>1330</v>
      </c>
      <c r="G1593" s="28"/>
      <c r="N1593" s="28"/>
      <c r="O1593" s="28"/>
      <c r="X1593" s="40"/>
      <c r="Y1593" s="40"/>
    </row>
    <row r="1594" spans="5:25" x14ac:dyDescent="0.35">
      <c r="E1594" t="s">
        <v>199</v>
      </c>
      <c r="F1594" t="s">
        <v>1331</v>
      </c>
      <c r="G1594" s="28"/>
      <c r="N1594" s="28"/>
      <c r="O1594" s="28"/>
      <c r="X1594" s="40"/>
      <c r="Y1594" s="40"/>
    </row>
    <row r="1595" spans="5:25" x14ac:dyDescent="0.35">
      <c r="E1595" t="s">
        <v>199</v>
      </c>
      <c r="F1595" t="s">
        <v>449</v>
      </c>
      <c r="G1595" s="28"/>
      <c r="N1595" s="28"/>
      <c r="O1595" s="28"/>
      <c r="X1595" s="40"/>
      <c r="Y1595" s="40"/>
    </row>
    <row r="1596" spans="5:25" x14ac:dyDescent="0.35">
      <c r="E1596" t="s">
        <v>199</v>
      </c>
      <c r="F1596" t="s">
        <v>1332</v>
      </c>
      <c r="G1596" s="28"/>
      <c r="N1596" s="28"/>
      <c r="O1596" s="28"/>
      <c r="X1596" s="40"/>
      <c r="Y1596" s="40"/>
    </row>
    <row r="1597" spans="5:25" x14ac:dyDescent="0.35">
      <c r="E1597" t="s">
        <v>199</v>
      </c>
      <c r="F1597" t="s">
        <v>744</v>
      </c>
      <c r="G1597" s="28"/>
      <c r="N1597" s="28"/>
      <c r="O1597" s="28"/>
      <c r="X1597" s="40"/>
      <c r="Y1597" s="40"/>
    </row>
    <row r="1598" spans="5:25" x14ac:dyDescent="0.35">
      <c r="E1598" t="s">
        <v>199</v>
      </c>
      <c r="F1598" t="s">
        <v>394</v>
      </c>
      <c r="G1598" s="28"/>
      <c r="N1598" s="28"/>
      <c r="O1598" s="28"/>
      <c r="X1598" s="40"/>
      <c r="Y1598" s="40"/>
    </row>
    <row r="1599" spans="5:25" x14ac:dyDescent="0.35">
      <c r="E1599" t="s">
        <v>199</v>
      </c>
      <c r="F1599" t="s">
        <v>745</v>
      </c>
      <c r="G1599" s="28"/>
      <c r="N1599" s="28"/>
      <c r="O1599" s="28"/>
      <c r="X1599" s="40"/>
      <c r="Y1599" s="40"/>
    </row>
    <row r="1600" spans="5:25" x14ac:dyDescent="0.35">
      <c r="E1600" t="s">
        <v>199</v>
      </c>
      <c r="F1600" t="s">
        <v>746</v>
      </c>
      <c r="G1600" s="28"/>
      <c r="N1600" s="28"/>
      <c r="O1600" s="28"/>
      <c r="X1600" s="40"/>
      <c r="Y1600" s="40"/>
    </row>
    <row r="1601" spans="5:25" x14ac:dyDescent="0.35">
      <c r="E1601" t="s">
        <v>199</v>
      </c>
      <c r="F1601" t="s">
        <v>750</v>
      </c>
      <c r="G1601" s="28"/>
      <c r="N1601" s="28"/>
      <c r="O1601" s="28"/>
      <c r="X1601" s="40"/>
      <c r="Y1601" s="40"/>
    </row>
    <row r="1602" spans="5:25" x14ac:dyDescent="0.35">
      <c r="E1602" t="s">
        <v>199</v>
      </c>
      <c r="F1602" t="s">
        <v>396</v>
      </c>
      <c r="G1602" s="28"/>
      <c r="N1602" s="28"/>
      <c r="O1602" s="28"/>
      <c r="X1602" s="40"/>
      <c r="Y1602" s="40"/>
    </row>
    <row r="1603" spans="5:25" x14ac:dyDescent="0.35">
      <c r="E1603" t="s">
        <v>199</v>
      </c>
      <c r="F1603" t="s">
        <v>1333</v>
      </c>
      <c r="G1603" s="28"/>
      <c r="N1603" s="28"/>
      <c r="O1603" s="28"/>
      <c r="X1603" s="40"/>
      <c r="Y1603" s="40"/>
    </row>
    <row r="1604" spans="5:25" x14ac:dyDescent="0.35">
      <c r="E1604" t="s">
        <v>199</v>
      </c>
      <c r="F1604" t="s">
        <v>1334</v>
      </c>
      <c r="G1604" s="28"/>
      <c r="N1604" s="28"/>
      <c r="O1604" s="28"/>
      <c r="X1604" s="40"/>
      <c r="Y1604" s="40"/>
    </row>
    <row r="1605" spans="5:25" x14ac:dyDescent="0.35">
      <c r="E1605" t="s">
        <v>200</v>
      </c>
      <c r="F1605" t="s">
        <v>1335</v>
      </c>
      <c r="G1605" s="28"/>
      <c r="N1605" s="28"/>
      <c r="O1605" s="28"/>
      <c r="X1605" s="40"/>
      <c r="Y1605" s="40"/>
    </row>
    <row r="1606" spans="5:25" x14ac:dyDescent="0.35">
      <c r="E1606" t="s">
        <v>200</v>
      </c>
      <c r="F1606" t="s">
        <v>1336</v>
      </c>
      <c r="G1606" s="28"/>
      <c r="N1606" s="28"/>
      <c r="O1606" s="28"/>
      <c r="X1606" s="40"/>
      <c r="Y1606" s="40"/>
    </row>
    <row r="1607" spans="5:25" x14ac:dyDescent="0.35">
      <c r="E1607" t="s">
        <v>200</v>
      </c>
      <c r="F1607" t="s">
        <v>814</v>
      </c>
      <c r="G1607" s="28"/>
      <c r="N1607" s="28"/>
      <c r="O1607" s="28"/>
      <c r="X1607" s="40"/>
      <c r="Y1607" s="40"/>
    </row>
    <row r="1608" spans="5:25" x14ac:dyDescent="0.35">
      <c r="E1608" t="s">
        <v>200</v>
      </c>
      <c r="F1608" t="s">
        <v>1337</v>
      </c>
      <c r="G1608" s="28"/>
      <c r="N1608" s="28"/>
      <c r="O1608" s="28"/>
      <c r="X1608" s="40"/>
      <c r="Y1608" s="40"/>
    </row>
    <row r="1609" spans="5:25" x14ac:dyDescent="0.35">
      <c r="E1609" t="s">
        <v>200</v>
      </c>
      <c r="F1609" t="s">
        <v>1338</v>
      </c>
      <c r="G1609" s="28"/>
      <c r="N1609" s="28"/>
      <c r="O1609" s="28"/>
      <c r="X1609" s="40"/>
      <c r="Y1609" s="40"/>
    </row>
    <row r="1610" spans="5:25" x14ac:dyDescent="0.35">
      <c r="E1610" t="s">
        <v>200</v>
      </c>
      <c r="F1610" t="s">
        <v>1011</v>
      </c>
      <c r="G1610" s="28"/>
      <c r="N1610" s="28"/>
      <c r="O1610" s="28"/>
      <c r="X1610" s="40"/>
      <c r="Y1610" s="40"/>
    </row>
    <row r="1611" spans="5:25" x14ac:dyDescent="0.35">
      <c r="E1611" t="s">
        <v>200</v>
      </c>
      <c r="F1611" t="s">
        <v>1339</v>
      </c>
      <c r="G1611" s="28"/>
      <c r="N1611" s="28"/>
      <c r="O1611" s="28"/>
      <c r="X1611" s="40"/>
      <c r="Y1611" s="40"/>
    </row>
    <row r="1612" spans="5:25" x14ac:dyDescent="0.35">
      <c r="E1612" t="s">
        <v>200</v>
      </c>
      <c r="F1612" t="s">
        <v>1340</v>
      </c>
      <c r="G1612" s="28"/>
      <c r="N1612" s="28"/>
      <c r="O1612" s="28"/>
      <c r="X1612" s="40"/>
      <c r="Y1612" s="40"/>
    </row>
    <row r="1613" spans="5:25" x14ac:dyDescent="0.35">
      <c r="E1613" t="s">
        <v>200</v>
      </c>
      <c r="F1613" t="s">
        <v>540</v>
      </c>
      <c r="G1613" s="28"/>
      <c r="N1613" s="28"/>
      <c r="O1613" s="28"/>
      <c r="X1613" s="40"/>
      <c r="Y1613" s="40"/>
    </row>
    <row r="1614" spans="5:25" x14ac:dyDescent="0.35">
      <c r="E1614" t="s">
        <v>200</v>
      </c>
      <c r="F1614" t="s">
        <v>1341</v>
      </c>
      <c r="G1614" s="28"/>
      <c r="N1614" s="28"/>
      <c r="O1614" s="28"/>
      <c r="X1614" s="40"/>
      <c r="Y1614" s="40"/>
    </row>
    <row r="1615" spans="5:25" x14ac:dyDescent="0.35">
      <c r="E1615" t="s">
        <v>200</v>
      </c>
      <c r="F1615" t="s">
        <v>673</v>
      </c>
      <c r="G1615" s="28"/>
      <c r="N1615" s="28"/>
      <c r="O1615" s="28"/>
      <c r="X1615" s="40"/>
      <c r="Y1615" s="40"/>
    </row>
    <row r="1616" spans="5:25" x14ac:dyDescent="0.35">
      <c r="E1616" t="s">
        <v>200</v>
      </c>
      <c r="F1616" t="s">
        <v>1342</v>
      </c>
      <c r="G1616" s="28"/>
      <c r="N1616" s="28"/>
      <c r="O1616" s="28"/>
      <c r="X1616" s="40"/>
      <c r="Y1616" s="40"/>
    </row>
    <row r="1617" spans="5:25" x14ac:dyDescent="0.35">
      <c r="E1617" t="s">
        <v>200</v>
      </c>
      <c r="F1617" t="s">
        <v>1343</v>
      </c>
      <c r="G1617" s="28"/>
      <c r="N1617" s="28"/>
      <c r="O1617" s="28"/>
      <c r="X1617" s="40"/>
      <c r="Y1617" s="40"/>
    </row>
    <row r="1618" spans="5:25" x14ac:dyDescent="0.35">
      <c r="E1618" t="s">
        <v>200</v>
      </c>
      <c r="F1618" t="s">
        <v>1344</v>
      </c>
      <c r="G1618" s="28"/>
      <c r="N1618" s="28"/>
      <c r="O1618" s="28"/>
      <c r="X1618" s="40"/>
      <c r="Y1618" s="40"/>
    </row>
    <row r="1619" spans="5:25" x14ac:dyDescent="0.35">
      <c r="E1619" t="s">
        <v>200</v>
      </c>
      <c r="F1619" t="s">
        <v>1345</v>
      </c>
      <c r="G1619" s="28"/>
      <c r="N1619" s="28"/>
      <c r="O1619" s="28"/>
      <c r="X1619" s="40"/>
      <c r="Y1619" s="40"/>
    </row>
    <row r="1620" spans="5:25" x14ac:dyDescent="0.35">
      <c r="E1620" t="s">
        <v>200</v>
      </c>
      <c r="F1620" t="s">
        <v>855</v>
      </c>
      <c r="G1620" s="28"/>
      <c r="N1620" s="28"/>
      <c r="O1620" s="28"/>
      <c r="X1620" s="40"/>
      <c r="Y1620" s="40"/>
    </row>
    <row r="1621" spans="5:25" x14ac:dyDescent="0.35">
      <c r="E1621" t="s">
        <v>200</v>
      </c>
      <c r="F1621" t="s">
        <v>549</v>
      </c>
      <c r="G1621" s="28"/>
      <c r="N1621" s="28"/>
      <c r="O1621" s="28"/>
      <c r="X1621" s="40"/>
      <c r="Y1621" s="40"/>
    </row>
    <row r="1622" spans="5:25" x14ac:dyDescent="0.35">
      <c r="E1622" t="s">
        <v>200</v>
      </c>
      <c r="F1622" t="s">
        <v>1346</v>
      </c>
      <c r="G1622" s="28"/>
      <c r="N1622" s="28"/>
      <c r="O1622" s="28"/>
      <c r="X1622" s="40"/>
      <c r="Y1622" s="40"/>
    </row>
    <row r="1623" spans="5:25" x14ac:dyDescent="0.35">
      <c r="E1623" t="s">
        <v>200</v>
      </c>
      <c r="F1623" t="s">
        <v>1347</v>
      </c>
      <c r="G1623" s="28"/>
      <c r="N1623" s="28"/>
      <c r="O1623" s="28"/>
      <c r="X1623" s="40"/>
      <c r="Y1623" s="40"/>
    </row>
    <row r="1624" spans="5:25" x14ac:dyDescent="0.35">
      <c r="E1624" t="s">
        <v>200</v>
      </c>
      <c r="F1624" t="s">
        <v>1348</v>
      </c>
      <c r="G1624" s="28"/>
      <c r="N1624" s="28"/>
      <c r="O1624" s="28"/>
      <c r="X1624" s="40"/>
      <c r="Y1624" s="40"/>
    </row>
    <row r="1625" spans="5:25" x14ac:dyDescent="0.35">
      <c r="E1625" t="s">
        <v>200</v>
      </c>
      <c r="F1625" t="s">
        <v>1349</v>
      </c>
      <c r="G1625" s="28"/>
      <c r="N1625" s="28"/>
      <c r="O1625" s="28"/>
      <c r="X1625" s="40"/>
      <c r="Y1625" s="40"/>
    </row>
    <row r="1626" spans="5:25" x14ac:dyDescent="0.35">
      <c r="E1626" t="s">
        <v>200</v>
      </c>
      <c r="F1626" t="s">
        <v>366</v>
      </c>
      <c r="G1626" s="28"/>
      <c r="N1626" s="28"/>
      <c r="O1626" s="28"/>
      <c r="X1626" s="40"/>
      <c r="Y1626" s="40"/>
    </row>
    <row r="1627" spans="5:25" x14ac:dyDescent="0.35">
      <c r="E1627" t="s">
        <v>200</v>
      </c>
      <c r="F1627" t="s">
        <v>1350</v>
      </c>
      <c r="G1627" s="28"/>
      <c r="N1627" s="28"/>
      <c r="O1627" s="28"/>
      <c r="X1627" s="40"/>
      <c r="Y1627" s="40"/>
    </row>
    <row r="1628" spans="5:25" x14ac:dyDescent="0.35">
      <c r="E1628" t="s">
        <v>200</v>
      </c>
      <c r="F1628" t="s">
        <v>486</v>
      </c>
      <c r="G1628" s="28"/>
      <c r="N1628" s="28"/>
      <c r="O1628" s="28"/>
      <c r="X1628" s="40"/>
      <c r="Y1628" s="40"/>
    </row>
    <row r="1629" spans="5:25" x14ac:dyDescent="0.35">
      <c r="E1629" t="s">
        <v>200</v>
      </c>
      <c r="F1629" t="s">
        <v>1351</v>
      </c>
      <c r="G1629" s="28"/>
      <c r="N1629" s="28"/>
      <c r="O1629" s="28"/>
      <c r="X1629" s="40"/>
      <c r="Y1629" s="40"/>
    </row>
    <row r="1630" spans="5:25" x14ac:dyDescent="0.35">
      <c r="E1630" t="s">
        <v>200</v>
      </c>
      <c r="F1630" t="s">
        <v>620</v>
      </c>
      <c r="G1630" s="28"/>
      <c r="N1630" s="28"/>
      <c r="O1630" s="28"/>
      <c r="X1630" s="40"/>
      <c r="Y1630" s="40"/>
    </row>
    <row r="1631" spans="5:25" x14ac:dyDescent="0.35">
      <c r="E1631" t="s">
        <v>200</v>
      </c>
      <c r="F1631" t="s">
        <v>426</v>
      </c>
      <c r="G1631" s="28"/>
      <c r="N1631" s="28"/>
      <c r="O1631" s="28"/>
      <c r="X1631" s="40"/>
      <c r="Y1631" s="40"/>
    </row>
    <row r="1632" spans="5:25" x14ac:dyDescent="0.35">
      <c r="E1632" t="s">
        <v>200</v>
      </c>
      <c r="F1632" t="s">
        <v>374</v>
      </c>
      <c r="G1632" s="28"/>
      <c r="N1632" s="28"/>
      <c r="O1632" s="28"/>
      <c r="X1632" s="40"/>
      <c r="Y1632" s="40"/>
    </row>
    <row r="1633" spans="5:25" x14ac:dyDescent="0.35">
      <c r="E1633" t="s">
        <v>200</v>
      </c>
      <c r="F1633" t="s">
        <v>1352</v>
      </c>
      <c r="G1633" s="28"/>
      <c r="N1633" s="28"/>
      <c r="O1633" s="28"/>
      <c r="X1633" s="40"/>
      <c r="Y1633" s="40"/>
    </row>
    <row r="1634" spans="5:25" x14ac:dyDescent="0.35">
      <c r="E1634" t="s">
        <v>200</v>
      </c>
      <c r="F1634" t="s">
        <v>1353</v>
      </c>
      <c r="G1634" s="28"/>
      <c r="N1634" s="28"/>
      <c r="O1634" s="28"/>
      <c r="X1634" s="40"/>
      <c r="Y1634" s="40"/>
    </row>
    <row r="1635" spans="5:25" x14ac:dyDescent="0.35">
      <c r="E1635" t="s">
        <v>200</v>
      </c>
      <c r="F1635" t="s">
        <v>561</v>
      </c>
      <c r="G1635" s="28"/>
      <c r="N1635" s="28"/>
      <c r="O1635" s="28"/>
      <c r="X1635" s="40"/>
      <c r="Y1635" s="40"/>
    </row>
    <row r="1636" spans="5:25" x14ac:dyDescent="0.35">
      <c r="E1636" t="s">
        <v>200</v>
      </c>
      <c r="F1636" t="s">
        <v>1354</v>
      </c>
      <c r="G1636" s="28"/>
      <c r="N1636" s="28"/>
      <c r="O1636" s="28"/>
      <c r="X1636" s="40"/>
      <c r="Y1636" s="40"/>
    </row>
    <row r="1637" spans="5:25" x14ac:dyDescent="0.35">
      <c r="E1637" t="s">
        <v>200</v>
      </c>
      <c r="F1637" t="s">
        <v>1355</v>
      </c>
      <c r="G1637" s="28"/>
      <c r="N1637" s="28"/>
      <c r="O1637" s="28"/>
      <c r="X1637" s="40"/>
      <c r="Y1637" s="40"/>
    </row>
    <row r="1638" spans="5:25" x14ac:dyDescent="0.35">
      <c r="E1638" t="s">
        <v>200</v>
      </c>
      <c r="F1638" t="s">
        <v>567</v>
      </c>
      <c r="G1638" s="28"/>
      <c r="N1638" s="28"/>
      <c r="O1638" s="28"/>
      <c r="X1638" s="40"/>
      <c r="Y1638" s="40"/>
    </row>
    <row r="1639" spans="5:25" x14ac:dyDescent="0.35">
      <c r="E1639" t="s">
        <v>200</v>
      </c>
      <c r="F1639" t="s">
        <v>1356</v>
      </c>
      <c r="G1639" s="28"/>
      <c r="N1639" s="28"/>
      <c r="O1639" s="28"/>
      <c r="X1639" s="40"/>
      <c r="Y1639" s="40"/>
    </row>
    <row r="1640" spans="5:25" x14ac:dyDescent="0.35">
      <c r="E1640" t="s">
        <v>200</v>
      </c>
      <c r="F1640" t="s">
        <v>435</v>
      </c>
      <c r="G1640" s="28"/>
      <c r="N1640" s="28"/>
      <c r="O1640" s="28"/>
      <c r="X1640" s="40"/>
      <c r="Y1640" s="40"/>
    </row>
    <row r="1641" spans="5:25" x14ac:dyDescent="0.35">
      <c r="E1641" t="s">
        <v>200</v>
      </c>
      <c r="F1641" t="s">
        <v>1357</v>
      </c>
      <c r="G1641" s="28"/>
      <c r="N1641" s="28"/>
      <c r="O1641" s="28"/>
      <c r="X1641" s="40"/>
      <c r="Y1641" s="40"/>
    </row>
    <row r="1642" spans="5:25" x14ac:dyDescent="0.35">
      <c r="E1642" t="s">
        <v>200</v>
      </c>
      <c r="F1642" t="s">
        <v>1358</v>
      </c>
      <c r="G1642" s="28"/>
      <c r="N1642" s="28"/>
      <c r="O1642" s="28"/>
      <c r="X1642" s="40"/>
      <c r="Y1642" s="40"/>
    </row>
    <row r="1643" spans="5:25" x14ac:dyDescent="0.35">
      <c r="E1643" t="s">
        <v>200</v>
      </c>
      <c r="F1643" t="s">
        <v>1043</v>
      </c>
      <c r="G1643" s="28"/>
      <c r="N1643" s="28"/>
      <c r="O1643" s="28"/>
      <c r="X1643" s="40"/>
      <c r="Y1643" s="40"/>
    </row>
    <row r="1644" spans="5:25" x14ac:dyDescent="0.35">
      <c r="E1644" t="s">
        <v>200</v>
      </c>
      <c r="F1644" t="s">
        <v>439</v>
      </c>
      <c r="G1644" s="28"/>
      <c r="N1644" s="28"/>
      <c r="O1644" s="28"/>
      <c r="X1644" s="40"/>
      <c r="Y1644" s="40"/>
    </row>
    <row r="1645" spans="5:25" x14ac:dyDescent="0.35">
      <c r="E1645" t="s">
        <v>200</v>
      </c>
      <c r="F1645" t="s">
        <v>1359</v>
      </c>
      <c r="G1645" s="28"/>
      <c r="N1645" s="28"/>
      <c r="O1645" s="28"/>
      <c r="X1645" s="40"/>
      <c r="Y1645" s="40"/>
    </row>
    <row r="1646" spans="5:25" x14ac:dyDescent="0.35">
      <c r="E1646" t="s">
        <v>200</v>
      </c>
      <c r="F1646" t="s">
        <v>878</v>
      </c>
      <c r="G1646" s="28"/>
      <c r="N1646" s="28"/>
      <c r="O1646" s="28"/>
      <c r="X1646" s="40"/>
      <c r="Y1646" s="40"/>
    </row>
    <row r="1647" spans="5:25" x14ac:dyDescent="0.35">
      <c r="E1647" t="s">
        <v>200</v>
      </c>
      <c r="F1647" t="s">
        <v>1360</v>
      </c>
      <c r="G1647" s="28"/>
      <c r="N1647" s="28"/>
      <c r="O1647" s="28"/>
      <c r="X1647" s="40"/>
      <c r="Y1647" s="40"/>
    </row>
    <row r="1648" spans="5:25" x14ac:dyDescent="0.35">
      <c r="E1648" t="s">
        <v>200</v>
      </c>
      <c r="F1648" t="s">
        <v>1361</v>
      </c>
      <c r="G1648" s="28"/>
      <c r="N1648" s="28"/>
      <c r="O1648" s="28"/>
      <c r="X1648" s="40"/>
      <c r="Y1648" s="40"/>
    </row>
    <row r="1649" spans="5:25" x14ac:dyDescent="0.35">
      <c r="E1649" t="s">
        <v>200</v>
      </c>
      <c r="F1649" t="s">
        <v>1362</v>
      </c>
      <c r="G1649" s="28"/>
      <c r="N1649" s="28"/>
      <c r="O1649" s="28"/>
      <c r="X1649" s="40"/>
      <c r="Y1649" s="40"/>
    </row>
    <row r="1650" spans="5:25" x14ac:dyDescent="0.35">
      <c r="E1650" t="s">
        <v>200</v>
      </c>
      <c r="F1650" t="s">
        <v>983</v>
      </c>
      <c r="G1650" s="28"/>
      <c r="N1650" s="28"/>
      <c r="O1650" s="28"/>
      <c r="X1650" s="40"/>
      <c r="Y1650" s="40"/>
    </row>
    <row r="1651" spans="5:25" x14ac:dyDescent="0.35">
      <c r="E1651" t="s">
        <v>200</v>
      </c>
      <c r="F1651" t="s">
        <v>1363</v>
      </c>
      <c r="G1651" s="28"/>
      <c r="N1651" s="28"/>
      <c r="O1651" s="28"/>
      <c r="X1651" s="40"/>
      <c r="Y1651" s="40"/>
    </row>
    <row r="1652" spans="5:25" x14ac:dyDescent="0.35">
      <c r="E1652" t="s">
        <v>200</v>
      </c>
      <c r="F1652" t="s">
        <v>1364</v>
      </c>
      <c r="G1652" s="28"/>
      <c r="N1652" s="28"/>
      <c r="O1652" s="28"/>
      <c r="X1652" s="40"/>
      <c r="Y1652" s="40"/>
    </row>
    <row r="1653" spans="5:25" x14ac:dyDescent="0.35">
      <c r="E1653" t="s">
        <v>200</v>
      </c>
      <c r="F1653" t="s">
        <v>1365</v>
      </c>
      <c r="G1653" s="28"/>
      <c r="N1653" s="28"/>
      <c r="O1653" s="28"/>
      <c r="X1653" s="40"/>
      <c r="Y1653" s="40"/>
    </row>
    <row r="1654" spans="5:25" x14ac:dyDescent="0.35">
      <c r="E1654" t="s">
        <v>200</v>
      </c>
      <c r="F1654" t="s">
        <v>839</v>
      </c>
      <c r="G1654" s="28"/>
      <c r="N1654" s="28"/>
      <c r="O1654" s="28"/>
      <c r="X1654" s="40"/>
      <c r="Y1654" s="40"/>
    </row>
    <row r="1655" spans="5:25" x14ac:dyDescent="0.35">
      <c r="E1655" t="s">
        <v>200</v>
      </c>
      <c r="F1655" t="s">
        <v>1366</v>
      </c>
      <c r="G1655" s="28"/>
      <c r="N1655" s="28"/>
      <c r="O1655" s="28"/>
      <c r="X1655" s="40"/>
      <c r="Y1655" s="40"/>
    </row>
    <row r="1656" spans="5:25" x14ac:dyDescent="0.35">
      <c r="E1656" t="s">
        <v>200</v>
      </c>
      <c r="F1656" t="s">
        <v>1367</v>
      </c>
      <c r="G1656" s="28"/>
      <c r="N1656" s="28"/>
      <c r="O1656" s="28"/>
      <c r="X1656" s="40"/>
      <c r="Y1656" s="40"/>
    </row>
    <row r="1657" spans="5:25" x14ac:dyDescent="0.35">
      <c r="E1657" t="s">
        <v>200</v>
      </c>
      <c r="F1657" t="s">
        <v>841</v>
      </c>
      <c r="G1657" s="28"/>
      <c r="N1657" s="28"/>
      <c r="O1657" s="28"/>
      <c r="X1657" s="40"/>
      <c r="Y1657" s="40"/>
    </row>
    <row r="1658" spans="5:25" x14ac:dyDescent="0.35">
      <c r="E1658" t="s">
        <v>200</v>
      </c>
      <c r="F1658" t="s">
        <v>1368</v>
      </c>
      <c r="G1658" s="28"/>
      <c r="N1658" s="28"/>
      <c r="O1658" s="28"/>
      <c r="X1658" s="40"/>
      <c r="Y1658" s="40"/>
    </row>
    <row r="1659" spans="5:25" x14ac:dyDescent="0.35">
      <c r="E1659" t="s">
        <v>200</v>
      </c>
      <c r="F1659" t="s">
        <v>1369</v>
      </c>
      <c r="G1659" s="28"/>
      <c r="N1659" s="28"/>
      <c r="O1659" s="28"/>
      <c r="X1659" s="40"/>
      <c r="Y1659" s="40"/>
    </row>
    <row r="1660" spans="5:25" x14ac:dyDescent="0.35">
      <c r="E1660" t="s">
        <v>200</v>
      </c>
      <c r="F1660" t="s">
        <v>1370</v>
      </c>
      <c r="G1660" s="28"/>
      <c r="N1660" s="28"/>
      <c r="O1660" s="28"/>
      <c r="X1660" s="40"/>
      <c r="Y1660" s="40"/>
    </row>
    <row r="1661" spans="5:25" x14ac:dyDescent="0.35">
      <c r="E1661" t="s">
        <v>201</v>
      </c>
      <c r="F1661" t="s">
        <v>1371</v>
      </c>
      <c r="G1661" s="28"/>
      <c r="N1661" s="28"/>
      <c r="O1661" s="28"/>
      <c r="X1661" s="40"/>
      <c r="Y1661" s="40"/>
    </row>
    <row r="1662" spans="5:25" x14ac:dyDescent="0.35">
      <c r="E1662" t="s">
        <v>201</v>
      </c>
      <c r="F1662" t="s">
        <v>842</v>
      </c>
      <c r="G1662" s="28"/>
      <c r="N1662" s="28"/>
      <c r="O1662" s="28"/>
      <c r="X1662" s="40"/>
      <c r="Y1662" s="40"/>
    </row>
    <row r="1663" spans="5:25" x14ac:dyDescent="0.35">
      <c r="E1663" t="s">
        <v>201</v>
      </c>
      <c r="F1663" t="s">
        <v>1372</v>
      </c>
      <c r="G1663" s="28"/>
      <c r="N1663" s="28"/>
      <c r="O1663" s="28"/>
      <c r="X1663" s="40"/>
      <c r="Y1663" s="40"/>
    </row>
    <row r="1664" spans="5:25" x14ac:dyDescent="0.35">
      <c r="E1664" t="s">
        <v>201</v>
      </c>
      <c r="F1664" t="s">
        <v>1373</v>
      </c>
      <c r="G1664" s="28"/>
      <c r="N1664" s="28"/>
      <c r="O1664" s="28"/>
      <c r="X1664" s="40"/>
      <c r="Y1664" s="40"/>
    </row>
    <row r="1665" spans="5:25" x14ac:dyDescent="0.35">
      <c r="E1665" t="s">
        <v>201</v>
      </c>
      <c r="F1665" t="s">
        <v>1374</v>
      </c>
      <c r="G1665" s="28"/>
      <c r="N1665" s="28"/>
      <c r="O1665" s="28"/>
      <c r="X1665" s="40"/>
      <c r="Y1665" s="40"/>
    </row>
    <row r="1666" spans="5:25" x14ac:dyDescent="0.35">
      <c r="E1666" t="s">
        <v>201</v>
      </c>
      <c r="F1666" t="s">
        <v>1375</v>
      </c>
      <c r="G1666" s="28"/>
      <c r="N1666" s="28"/>
      <c r="O1666" s="28"/>
      <c r="X1666" s="40"/>
      <c r="Y1666" s="40"/>
    </row>
    <row r="1667" spans="5:25" x14ac:dyDescent="0.35">
      <c r="E1667" t="s">
        <v>201</v>
      </c>
      <c r="F1667" t="s">
        <v>1376</v>
      </c>
      <c r="G1667" s="28"/>
      <c r="N1667" s="28"/>
      <c r="O1667" s="28"/>
      <c r="X1667" s="40"/>
      <c r="Y1667" s="40"/>
    </row>
    <row r="1668" spans="5:25" x14ac:dyDescent="0.35">
      <c r="E1668" t="s">
        <v>201</v>
      </c>
      <c r="F1668" t="s">
        <v>1377</v>
      </c>
      <c r="G1668" s="28"/>
      <c r="N1668" s="28"/>
      <c r="O1668" s="28"/>
      <c r="X1668" s="40"/>
      <c r="Y1668" s="40"/>
    </row>
    <row r="1669" spans="5:25" x14ac:dyDescent="0.35">
      <c r="E1669" t="s">
        <v>201</v>
      </c>
      <c r="F1669" t="s">
        <v>1378</v>
      </c>
      <c r="G1669" s="28"/>
      <c r="N1669" s="28"/>
      <c r="O1669" s="28"/>
      <c r="X1669" s="40"/>
      <c r="Y1669" s="40"/>
    </row>
    <row r="1670" spans="5:25" x14ac:dyDescent="0.35">
      <c r="E1670" t="s">
        <v>201</v>
      </c>
      <c r="F1670" t="s">
        <v>1379</v>
      </c>
      <c r="G1670" s="28"/>
      <c r="N1670" s="28"/>
      <c r="O1670" s="28"/>
      <c r="X1670" s="40"/>
      <c r="Y1670" s="40"/>
    </row>
    <row r="1671" spans="5:25" x14ac:dyDescent="0.35">
      <c r="E1671" t="s">
        <v>201</v>
      </c>
      <c r="F1671" t="s">
        <v>1380</v>
      </c>
      <c r="G1671" s="28"/>
      <c r="N1671" s="28"/>
      <c r="O1671" s="28"/>
      <c r="X1671" s="40"/>
      <c r="Y1671" s="40"/>
    </row>
    <row r="1672" spans="5:25" x14ac:dyDescent="0.35">
      <c r="E1672" t="s">
        <v>201</v>
      </c>
      <c r="F1672" t="s">
        <v>656</v>
      </c>
      <c r="G1672" s="28"/>
      <c r="N1672" s="28"/>
      <c r="O1672" s="28"/>
      <c r="X1672" s="40"/>
      <c r="Y1672" s="40"/>
    </row>
    <row r="1673" spans="5:25" x14ac:dyDescent="0.35">
      <c r="E1673" t="s">
        <v>201</v>
      </c>
      <c r="F1673" t="s">
        <v>1381</v>
      </c>
      <c r="G1673" s="28"/>
      <c r="N1673" s="28"/>
      <c r="O1673" s="28"/>
      <c r="X1673" s="40"/>
      <c r="Y1673" s="40"/>
    </row>
    <row r="1674" spans="5:25" x14ac:dyDescent="0.35">
      <c r="E1674" t="s">
        <v>201</v>
      </c>
      <c r="F1674" t="s">
        <v>1007</v>
      </c>
      <c r="G1674" s="28"/>
      <c r="N1674" s="28"/>
      <c r="O1674" s="28"/>
      <c r="X1674" s="40"/>
      <c r="Y1674" s="40"/>
    </row>
    <row r="1675" spans="5:25" x14ac:dyDescent="0.35">
      <c r="E1675" t="s">
        <v>201</v>
      </c>
      <c r="F1675" t="s">
        <v>658</v>
      </c>
      <c r="G1675" s="28"/>
      <c r="N1675" s="28"/>
      <c r="O1675" s="28"/>
      <c r="X1675" s="40"/>
      <c r="Y1675" s="40"/>
    </row>
    <row r="1676" spans="5:25" x14ac:dyDescent="0.35">
      <c r="E1676" t="s">
        <v>201</v>
      </c>
      <c r="F1676" t="s">
        <v>1382</v>
      </c>
      <c r="G1676" s="28"/>
      <c r="N1676" s="28"/>
      <c r="O1676" s="28"/>
      <c r="X1676" s="40"/>
      <c r="Y1676" s="40"/>
    </row>
    <row r="1677" spans="5:25" x14ac:dyDescent="0.35">
      <c r="E1677" t="s">
        <v>201</v>
      </c>
      <c r="F1677" t="s">
        <v>1383</v>
      </c>
      <c r="G1677" s="28"/>
      <c r="N1677" s="28"/>
      <c r="O1677" s="28"/>
      <c r="X1677" s="40"/>
      <c r="Y1677" s="40"/>
    </row>
    <row r="1678" spans="5:25" x14ac:dyDescent="0.35">
      <c r="E1678" t="s">
        <v>201</v>
      </c>
      <c r="F1678" t="s">
        <v>1384</v>
      </c>
      <c r="G1678" s="28"/>
      <c r="N1678" s="28"/>
      <c r="O1678" s="28"/>
      <c r="X1678" s="40"/>
      <c r="Y1678" s="40"/>
    </row>
    <row r="1679" spans="5:25" x14ac:dyDescent="0.35">
      <c r="E1679" t="s">
        <v>201</v>
      </c>
      <c r="F1679" t="s">
        <v>662</v>
      </c>
      <c r="G1679" s="28"/>
      <c r="N1679" s="28"/>
      <c r="O1679" s="28"/>
      <c r="X1679" s="40"/>
      <c r="Y1679" s="40"/>
    </row>
    <row r="1680" spans="5:25" x14ac:dyDescent="0.35">
      <c r="E1680" t="s">
        <v>201</v>
      </c>
      <c r="F1680" t="s">
        <v>339</v>
      </c>
      <c r="G1680" s="28"/>
      <c r="N1680" s="28"/>
      <c r="O1680" s="28"/>
      <c r="X1680" s="40"/>
      <c r="Y1680" s="40"/>
    </row>
    <row r="1681" spans="5:25" x14ac:dyDescent="0.35">
      <c r="E1681" t="s">
        <v>201</v>
      </c>
      <c r="F1681" t="s">
        <v>1385</v>
      </c>
      <c r="G1681" s="28"/>
      <c r="N1681" s="28"/>
      <c r="O1681" s="28"/>
      <c r="X1681" s="40"/>
      <c r="Y1681" s="40"/>
    </row>
    <row r="1682" spans="5:25" x14ac:dyDescent="0.35">
      <c r="E1682" t="s">
        <v>201</v>
      </c>
      <c r="F1682" t="s">
        <v>343</v>
      </c>
      <c r="G1682" s="28"/>
      <c r="N1682" s="28"/>
      <c r="O1682" s="28"/>
      <c r="X1682" s="40"/>
      <c r="Y1682" s="40"/>
    </row>
    <row r="1683" spans="5:25" x14ac:dyDescent="0.35">
      <c r="E1683" t="s">
        <v>201</v>
      </c>
      <c r="F1683" t="s">
        <v>406</v>
      </c>
      <c r="G1683" s="28"/>
      <c r="N1683" s="28"/>
      <c r="O1683" s="28"/>
      <c r="X1683" s="40"/>
      <c r="Y1683" s="40"/>
    </row>
    <row r="1684" spans="5:25" x14ac:dyDescent="0.35">
      <c r="E1684" t="s">
        <v>201</v>
      </c>
      <c r="F1684" t="s">
        <v>1386</v>
      </c>
      <c r="G1684" s="28"/>
      <c r="N1684" s="28"/>
      <c r="O1684" s="28"/>
      <c r="X1684" s="40"/>
      <c r="Y1684" s="40"/>
    </row>
    <row r="1685" spans="5:25" x14ac:dyDescent="0.35">
      <c r="E1685" t="s">
        <v>201</v>
      </c>
      <c r="F1685" t="s">
        <v>1387</v>
      </c>
      <c r="G1685" s="28"/>
      <c r="N1685" s="28"/>
      <c r="O1685" s="28"/>
      <c r="X1685" s="40"/>
      <c r="Y1685" s="40"/>
    </row>
    <row r="1686" spans="5:25" x14ac:dyDescent="0.35">
      <c r="E1686" t="s">
        <v>201</v>
      </c>
      <c r="F1686" t="s">
        <v>849</v>
      </c>
      <c r="G1686" s="28"/>
      <c r="N1686" s="28"/>
      <c r="O1686" s="28"/>
      <c r="X1686" s="40"/>
      <c r="Y1686" s="40"/>
    </row>
    <row r="1687" spans="5:25" x14ac:dyDescent="0.35">
      <c r="E1687" t="s">
        <v>201</v>
      </c>
      <c r="F1687" t="s">
        <v>1388</v>
      </c>
      <c r="G1687" s="28"/>
      <c r="N1687" s="28"/>
      <c r="O1687" s="28"/>
      <c r="X1687" s="40"/>
      <c r="Y1687" s="40"/>
    </row>
    <row r="1688" spans="5:25" x14ac:dyDescent="0.35">
      <c r="E1688" t="s">
        <v>201</v>
      </c>
      <c r="F1688" t="s">
        <v>1389</v>
      </c>
      <c r="G1688" s="28"/>
      <c r="N1688" s="28"/>
      <c r="O1688" s="28"/>
      <c r="X1688" s="40"/>
      <c r="Y1688" s="40"/>
    </row>
    <row r="1689" spans="5:25" x14ac:dyDescent="0.35">
      <c r="E1689" t="s">
        <v>201</v>
      </c>
      <c r="F1689" t="s">
        <v>1390</v>
      </c>
      <c r="G1689" s="28"/>
      <c r="N1689" s="28"/>
      <c r="O1689" s="28"/>
      <c r="X1689" s="40"/>
      <c r="Y1689" s="40"/>
    </row>
    <row r="1690" spans="5:25" x14ac:dyDescent="0.35">
      <c r="E1690" t="s">
        <v>201</v>
      </c>
      <c r="F1690" t="s">
        <v>1391</v>
      </c>
      <c r="G1690" s="28"/>
      <c r="N1690" s="28"/>
      <c r="O1690" s="28"/>
      <c r="X1690" s="40"/>
      <c r="Y1690" s="40"/>
    </row>
    <row r="1691" spans="5:25" x14ac:dyDescent="0.35">
      <c r="E1691" t="s">
        <v>201</v>
      </c>
      <c r="F1691" t="s">
        <v>1392</v>
      </c>
      <c r="G1691" s="28"/>
      <c r="N1691" s="28"/>
      <c r="O1691" s="28"/>
      <c r="X1691" s="40"/>
      <c r="Y1691" s="40"/>
    </row>
    <row r="1692" spans="5:25" x14ac:dyDescent="0.35">
      <c r="E1692" t="s">
        <v>201</v>
      </c>
      <c r="F1692" t="s">
        <v>1393</v>
      </c>
      <c r="G1692" s="28"/>
      <c r="N1692" s="28"/>
      <c r="O1692" s="28"/>
      <c r="X1692" s="40"/>
      <c r="Y1692" s="40"/>
    </row>
    <row r="1693" spans="5:25" x14ac:dyDescent="0.35">
      <c r="E1693" t="s">
        <v>201</v>
      </c>
      <c r="F1693" t="s">
        <v>1394</v>
      </c>
      <c r="G1693" s="28"/>
      <c r="N1693" s="28"/>
      <c r="O1693" s="28"/>
      <c r="X1693" s="40"/>
      <c r="Y1693" s="40"/>
    </row>
    <row r="1694" spans="5:25" x14ac:dyDescent="0.35">
      <c r="E1694" t="s">
        <v>201</v>
      </c>
      <c r="F1694" t="s">
        <v>686</v>
      </c>
      <c r="G1694" s="28"/>
      <c r="N1694" s="28"/>
      <c r="O1694" s="28"/>
      <c r="X1694" s="40"/>
      <c r="Y1694" s="40"/>
    </row>
    <row r="1695" spans="5:25" x14ac:dyDescent="0.35">
      <c r="E1695" t="s">
        <v>201</v>
      </c>
      <c r="F1695" t="s">
        <v>359</v>
      </c>
      <c r="G1695" s="28"/>
      <c r="N1695" s="28"/>
      <c r="O1695" s="28"/>
      <c r="X1695" s="40"/>
      <c r="Y1695" s="40"/>
    </row>
    <row r="1696" spans="5:25" x14ac:dyDescent="0.35">
      <c r="E1696" t="s">
        <v>201</v>
      </c>
      <c r="F1696" t="s">
        <v>1395</v>
      </c>
      <c r="G1696" s="28"/>
      <c r="N1696" s="28"/>
      <c r="O1696" s="28"/>
      <c r="X1696" s="40"/>
      <c r="Y1696" s="40"/>
    </row>
    <row r="1697" spans="5:25" x14ac:dyDescent="0.35">
      <c r="E1697" t="s">
        <v>201</v>
      </c>
      <c r="F1697" t="s">
        <v>1396</v>
      </c>
      <c r="G1697" s="28"/>
      <c r="N1697" s="28"/>
      <c r="O1697" s="28"/>
      <c r="X1697" s="40"/>
      <c r="Y1697" s="40"/>
    </row>
    <row r="1698" spans="5:25" x14ac:dyDescent="0.35">
      <c r="E1698" t="s">
        <v>201</v>
      </c>
      <c r="F1698" t="s">
        <v>459</v>
      </c>
      <c r="G1698" s="28"/>
      <c r="N1698" s="28"/>
      <c r="O1698" s="28"/>
      <c r="X1698" s="40"/>
      <c r="Y1698" s="40"/>
    </row>
    <row r="1699" spans="5:25" x14ac:dyDescent="0.35">
      <c r="E1699" t="s">
        <v>201</v>
      </c>
      <c r="F1699" t="s">
        <v>1397</v>
      </c>
      <c r="G1699" s="28"/>
      <c r="N1699" s="28"/>
      <c r="O1699" s="28"/>
      <c r="X1699" s="40"/>
      <c r="Y1699" s="40"/>
    </row>
    <row r="1700" spans="5:25" x14ac:dyDescent="0.35">
      <c r="E1700" t="s">
        <v>201</v>
      </c>
      <c r="F1700" t="s">
        <v>361</v>
      </c>
      <c r="G1700" s="28"/>
      <c r="N1700" s="28"/>
      <c r="O1700" s="28"/>
      <c r="X1700" s="40"/>
      <c r="Y1700" s="40"/>
    </row>
    <row r="1701" spans="5:25" x14ac:dyDescent="0.35">
      <c r="E1701" t="s">
        <v>201</v>
      </c>
      <c r="F1701" t="s">
        <v>1398</v>
      </c>
      <c r="G1701" s="28"/>
      <c r="N1701" s="28"/>
      <c r="O1701" s="28"/>
      <c r="X1701" s="40"/>
      <c r="Y1701" s="40"/>
    </row>
    <row r="1702" spans="5:25" x14ac:dyDescent="0.35">
      <c r="E1702" t="s">
        <v>201</v>
      </c>
      <c r="F1702" t="s">
        <v>1399</v>
      </c>
      <c r="G1702" s="28"/>
      <c r="N1702" s="28"/>
      <c r="O1702" s="28"/>
      <c r="X1702" s="40"/>
      <c r="Y1702" s="40"/>
    </row>
    <row r="1703" spans="5:25" x14ac:dyDescent="0.35">
      <c r="E1703" t="s">
        <v>201</v>
      </c>
      <c r="F1703" t="s">
        <v>1400</v>
      </c>
      <c r="G1703" s="28"/>
      <c r="N1703" s="28"/>
      <c r="O1703" s="28"/>
      <c r="X1703" s="40"/>
      <c r="Y1703" s="40"/>
    </row>
    <row r="1704" spans="5:25" x14ac:dyDescent="0.35">
      <c r="E1704" t="s">
        <v>201</v>
      </c>
      <c r="F1704" t="s">
        <v>1401</v>
      </c>
      <c r="G1704" s="28"/>
      <c r="N1704" s="28"/>
      <c r="O1704" s="28"/>
      <c r="X1704" s="40"/>
      <c r="Y1704" s="40"/>
    </row>
    <row r="1705" spans="5:25" x14ac:dyDescent="0.35">
      <c r="E1705" t="s">
        <v>201</v>
      </c>
      <c r="F1705" t="s">
        <v>856</v>
      </c>
      <c r="G1705" s="28"/>
      <c r="N1705" s="28"/>
      <c r="O1705" s="28"/>
      <c r="X1705" s="40"/>
      <c r="Y1705" s="40"/>
    </row>
    <row r="1706" spans="5:25" x14ac:dyDescent="0.35">
      <c r="E1706" t="s">
        <v>201</v>
      </c>
      <c r="F1706" t="s">
        <v>1402</v>
      </c>
      <c r="G1706" s="28"/>
      <c r="N1706" s="28"/>
      <c r="O1706" s="28"/>
      <c r="X1706" s="40"/>
      <c r="Y1706" s="40"/>
    </row>
    <row r="1707" spans="5:25" x14ac:dyDescent="0.35">
      <c r="E1707" t="s">
        <v>201</v>
      </c>
      <c r="F1707" t="s">
        <v>1403</v>
      </c>
      <c r="G1707" s="28"/>
      <c r="N1707" s="28"/>
      <c r="O1707" s="28"/>
      <c r="X1707" s="40"/>
      <c r="Y1707" s="40"/>
    </row>
    <row r="1708" spans="5:25" x14ac:dyDescent="0.35">
      <c r="E1708" t="s">
        <v>201</v>
      </c>
      <c r="F1708" t="s">
        <v>1404</v>
      </c>
      <c r="G1708" s="28"/>
      <c r="N1708" s="28"/>
      <c r="O1708" s="28"/>
      <c r="X1708" s="40"/>
      <c r="Y1708" s="40"/>
    </row>
    <row r="1709" spans="5:25" x14ac:dyDescent="0.35">
      <c r="E1709" t="s">
        <v>201</v>
      </c>
      <c r="F1709" t="s">
        <v>1405</v>
      </c>
      <c r="G1709" s="28"/>
      <c r="N1709" s="28"/>
      <c r="O1709" s="28"/>
      <c r="X1709" s="40"/>
      <c r="Y1709" s="40"/>
    </row>
    <row r="1710" spans="5:25" x14ac:dyDescent="0.35">
      <c r="E1710" t="s">
        <v>201</v>
      </c>
      <c r="F1710" t="s">
        <v>365</v>
      </c>
      <c r="G1710" s="28"/>
      <c r="N1710" s="28"/>
      <c r="O1710" s="28"/>
      <c r="X1710" s="40"/>
      <c r="Y1710" s="40"/>
    </row>
    <row r="1711" spans="5:25" x14ac:dyDescent="0.35">
      <c r="E1711" t="s">
        <v>201</v>
      </c>
      <c r="F1711" t="s">
        <v>1406</v>
      </c>
      <c r="G1711" s="28"/>
      <c r="N1711" s="28"/>
      <c r="O1711" s="28"/>
      <c r="X1711" s="40"/>
      <c r="Y1711" s="40"/>
    </row>
    <row r="1712" spans="5:25" x14ac:dyDescent="0.35">
      <c r="E1712" t="s">
        <v>201</v>
      </c>
      <c r="F1712" t="s">
        <v>704</v>
      </c>
      <c r="G1712" s="28"/>
      <c r="N1712" s="28"/>
      <c r="O1712" s="28"/>
      <c r="X1712" s="40"/>
      <c r="Y1712" s="40"/>
    </row>
    <row r="1713" spans="5:25" x14ac:dyDescent="0.35">
      <c r="E1713" t="s">
        <v>201</v>
      </c>
      <c r="F1713" t="s">
        <v>370</v>
      </c>
      <c r="G1713" s="28"/>
      <c r="N1713" s="28"/>
      <c r="O1713" s="28"/>
      <c r="X1713" s="40"/>
      <c r="Y1713" s="40"/>
    </row>
    <row r="1714" spans="5:25" x14ac:dyDescent="0.35">
      <c r="E1714" t="s">
        <v>201</v>
      </c>
      <c r="F1714" t="s">
        <v>1407</v>
      </c>
      <c r="G1714" s="28"/>
      <c r="N1714" s="28"/>
      <c r="O1714" s="28"/>
      <c r="X1714" s="40"/>
      <c r="Y1714" s="40"/>
    </row>
    <row r="1715" spans="5:25" x14ac:dyDescent="0.35">
      <c r="E1715" t="s">
        <v>201</v>
      </c>
      <c r="F1715" t="s">
        <v>426</v>
      </c>
      <c r="G1715" s="28"/>
      <c r="N1715" s="28"/>
      <c r="O1715" s="28"/>
      <c r="X1715" s="40"/>
      <c r="Y1715" s="40"/>
    </row>
    <row r="1716" spans="5:25" x14ac:dyDescent="0.35">
      <c r="E1716" t="s">
        <v>201</v>
      </c>
      <c r="F1716" t="s">
        <v>373</v>
      </c>
      <c r="G1716" s="28"/>
      <c r="N1716" s="28"/>
      <c r="O1716" s="28"/>
      <c r="X1716" s="40"/>
      <c r="Y1716" s="40"/>
    </row>
    <row r="1717" spans="5:25" x14ac:dyDescent="0.35">
      <c r="E1717" t="s">
        <v>201</v>
      </c>
      <c r="F1717" t="s">
        <v>374</v>
      </c>
      <c r="G1717" s="28"/>
      <c r="N1717" s="28"/>
      <c r="O1717" s="28"/>
      <c r="X1717" s="40"/>
      <c r="Y1717" s="40"/>
    </row>
    <row r="1718" spans="5:25" x14ac:dyDescent="0.35">
      <c r="E1718" t="s">
        <v>201</v>
      </c>
      <c r="F1718" t="s">
        <v>622</v>
      </c>
      <c r="G1718" s="28"/>
      <c r="N1718" s="28"/>
      <c r="O1718" s="28"/>
      <c r="X1718" s="40"/>
      <c r="Y1718" s="40"/>
    </row>
    <row r="1719" spans="5:25" x14ac:dyDescent="0.35">
      <c r="E1719" t="s">
        <v>201</v>
      </c>
      <c r="F1719" t="s">
        <v>1408</v>
      </c>
      <c r="G1719" s="28"/>
      <c r="N1719" s="28"/>
      <c r="O1719" s="28"/>
      <c r="X1719" s="40"/>
      <c r="Y1719" s="40"/>
    </row>
    <row r="1720" spans="5:25" x14ac:dyDescent="0.35">
      <c r="E1720" t="s">
        <v>201</v>
      </c>
      <c r="F1720" t="s">
        <v>1409</v>
      </c>
      <c r="G1720" s="28"/>
      <c r="N1720" s="28"/>
      <c r="O1720" s="28"/>
      <c r="X1720" s="40"/>
      <c r="Y1720" s="40"/>
    </row>
    <row r="1721" spans="5:25" x14ac:dyDescent="0.35">
      <c r="E1721" t="s">
        <v>201</v>
      </c>
      <c r="F1721" t="s">
        <v>712</v>
      </c>
      <c r="G1721" s="28"/>
      <c r="N1721" s="28"/>
      <c r="O1721" s="28"/>
      <c r="X1721" s="40"/>
      <c r="Y1721" s="40"/>
    </row>
    <row r="1722" spans="5:25" x14ac:dyDescent="0.35">
      <c r="E1722" t="s">
        <v>201</v>
      </c>
      <c r="F1722" t="s">
        <v>380</v>
      </c>
      <c r="G1722" s="28"/>
      <c r="N1722" s="28"/>
      <c r="O1722" s="28"/>
      <c r="X1722" s="40"/>
      <c r="Y1722" s="40"/>
    </row>
    <row r="1723" spans="5:25" x14ac:dyDescent="0.35">
      <c r="E1723" t="s">
        <v>201</v>
      </c>
      <c r="F1723" t="s">
        <v>1410</v>
      </c>
      <c r="G1723" s="28"/>
      <c r="N1723" s="28"/>
      <c r="O1723" s="28"/>
      <c r="X1723" s="40"/>
      <c r="Y1723" s="40"/>
    </row>
    <row r="1724" spans="5:25" x14ac:dyDescent="0.35">
      <c r="E1724" t="s">
        <v>201</v>
      </c>
      <c r="F1724" t="s">
        <v>1411</v>
      </c>
      <c r="G1724" s="28"/>
      <c r="N1724" s="28"/>
      <c r="O1724" s="28"/>
      <c r="X1724" s="40"/>
      <c r="Y1724" s="40"/>
    </row>
    <row r="1725" spans="5:25" x14ac:dyDescent="0.35">
      <c r="E1725" t="s">
        <v>201</v>
      </c>
      <c r="F1725" t="s">
        <v>1412</v>
      </c>
      <c r="G1725" s="28"/>
      <c r="N1725" s="28"/>
      <c r="O1725" s="28"/>
      <c r="X1725" s="40"/>
      <c r="Y1725" s="40"/>
    </row>
    <row r="1726" spans="5:25" x14ac:dyDescent="0.35">
      <c r="E1726" t="s">
        <v>201</v>
      </c>
      <c r="F1726" t="s">
        <v>1413</v>
      </c>
      <c r="G1726" s="28"/>
      <c r="N1726" s="28"/>
      <c r="O1726" s="28"/>
      <c r="X1726" s="40"/>
      <c r="Y1726" s="40"/>
    </row>
    <row r="1727" spans="5:25" x14ac:dyDescent="0.35">
      <c r="E1727" t="s">
        <v>201</v>
      </c>
      <c r="F1727" t="s">
        <v>1414</v>
      </c>
      <c r="G1727" s="28"/>
      <c r="N1727" s="28"/>
      <c r="O1727" s="28"/>
      <c r="X1727" s="40"/>
      <c r="Y1727" s="40"/>
    </row>
    <row r="1728" spans="5:25" x14ac:dyDescent="0.35">
      <c r="E1728" t="s">
        <v>201</v>
      </c>
      <c r="F1728" t="s">
        <v>498</v>
      </c>
      <c r="G1728" s="28"/>
      <c r="N1728" s="28"/>
      <c r="O1728" s="28"/>
      <c r="X1728" s="40"/>
      <c r="Y1728" s="40"/>
    </row>
    <row r="1729" spans="5:25" x14ac:dyDescent="0.35">
      <c r="E1729" t="s">
        <v>201</v>
      </c>
      <c r="F1729" t="s">
        <v>1415</v>
      </c>
      <c r="G1729" s="28"/>
      <c r="N1729" s="28"/>
      <c r="O1729" s="28"/>
      <c r="X1729" s="40"/>
      <c r="Y1729" s="40"/>
    </row>
    <row r="1730" spans="5:25" x14ac:dyDescent="0.35">
      <c r="E1730" t="s">
        <v>201</v>
      </c>
      <c r="F1730" t="s">
        <v>1416</v>
      </c>
      <c r="G1730" s="28"/>
      <c r="N1730" s="28"/>
      <c r="O1730" s="28"/>
      <c r="X1730" s="40"/>
      <c r="Y1730" s="40"/>
    </row>
    <row r="1731" spans="5:25" x14ac:dyDescent="0.35">
      <c r="E1731" t="s">
        <v>201</v>
      </c>
      <c r="F1731" t="s">
        <v>1417</v>
      </c>
      <c r="G1731" s="28"/>
      <c r="N1731" s="28"/>
      <c r="O1731" s="28"/>
      <c r="X1731" s="40"/>
      <c r="Y1731" s="40"/>
    </row>
    <row r="1732" spans="5:25" x14ac:dyDescent="0.35">
      <c r="E1732" t="s">
        <v>201</v>
      </c>
      <c r="F1732" t="s">
        <v>1418</v>
      </c>
      <c r="G1732" s="28"/>
      <c r="N1732" s="28"/>
      <c r="O1732" s="28"/>
      <c r="X1732" s="40"/>
      <c r="Y1732" s="40"/>
    </row>
    <row r="1733" spans="5:25" x14ac:dyDescent="0.35">
      <c r="E1733" t="s">
        <v>201</v>
      </c>
      <c r="F1733" t="s">
        <v>1419</v>
      </c>
      <c r="G1733" s="28"/>
      <c r="N1733" s="28"/>
      <c r="O1733" s="28"/>
      <c r="X1733" s="40"/>
      <c r="Y1733" s="40"/>
    </row>
    <row r="1734" spans="5:25" x14ac:dyDescent="0.35">
      <c r="E1734" t="s">
        <v>201</v>
      </c>
      <c r="F1734" t="s">
        <v>1420</v>
      </c>
      <c r="G1734" s="28"/>
      <c r="N1734" s="28"/>
      <c r="O1734" s="28"/>
      <c r="X1734" s="40"/>
      <c r="Y1734" s="40"/>
    </row>
    <row r="1735" spans="5:25" x14ac:dyDescent="0.35">
      <c r="E1735" t="s">
        <v>201</v>
      </c>
      <c r="F1735" t="s">
        <v>437</v>
      </c>
      <c r="G1735" s="28"/>
      <c r="N1735" s="28"/>
      <c r="O1735" s="28"/>
      <c r="X1735" s="40"/>
      <c r="Y1735" s="40"/>
    </row>
    <row r="1736" spans="5:25" x14ac:dyDescent="0.35">
      <c r="E1736" t="s">
        <v>201</v>
      </c>
      <c r="F1736" t="s">
        <v>385</v>
      </c>
      <c r="G1736" s="28"/>
      <c r="N1736" s="28"/>
      <c r="O1736" s="28"/>
      <c r="X1736" s="40"/>
      <c r="Y1736" s="40"/>
    </row>
    <row r="1737" spans="5:25" x14ac:dyDescent="0.35">
      <c r="E1737" t="s">
        <v>201</v>
      </c>
      <c r="F1737" t="s">
        <v>722</v>
      </c>
      <c r="G1737" s="28"/>
      <c r="N1737" s="28"/>
      <c r="O1737" s="28"/>
      <c r="X1737" s="40"/>
      <c r="Y1737" s="40"/>
    </row>
    <row r="1738" spans="5:25" x14ac:dyDescent="0.35">
      <c r="E1738" t="s">
        <v>201</v>
      </c>
      <c r="F1738" t="s">
        <v>1421</v>
      </c>
      <c r="G1738" s="28"/>
      <c r="N1738" s="28"/>
      <c r="O1738" s="28"/>
      <c r="X1738" s="40"/>
      <c r="Y1738" s="40"/>
    </row>
    <row r="1739" spans="5:25" x14ac:dyDescent="0.35">
      <c r="E1739" t="s">
        <v>201</v>
      </c>
      <c r="F1739" t="s">
        <v>1422</v>
      </c>
      <c r="G1739" s="28"/>
      <c r="N1739" s="28"/>
      <c r="O1739" s="28"/>
      <c r="X1739" s="40"/>
      <c r="Y1739" s="40"/>
    </row>
    <row r="1740" spans="5:25" x14ac:dyDescent="0.35">
      <c r="E1740" t="s">
        <v>201</v>
      </c>
      <c r="F1740" t="s">
        <v>1046</v>
      </c>
      <c r="G1740" s="28"/>
      <c r="N1740" s="28"/>
      <c r="O1740" s="28"/>
      <c r="X1740" s="40"/>
      <c r="Y1740" s="40"/>
    </row>
    <row r="1741" spans="5:25" x14ac:dyDescent="0.35">
      <c r="E1741" t="s">
        <v>201</v>
      </c>
      <c r="F1741" t="s">
        <v>1423</v>
      </c>
      <c r="G1741" s="28"/>
      <c r="N1741" s="28"/>
      <c r="O1741" s="28"/>
      <c r="X1741" s="40"/>
      <c r="Y1741" s="40"/>
    </row>
    <row r="1742" spans="5:25" x14ac:dyDescent="0.35">
      <c r="E1742" t="s">
        <v>201</v>
      </c>
      <c r="F1742" t="s">
        <v>1424</v>
      </c>
      <c r="G1742" s="28"/>
      <c r="N1742" s="28"/>
      <c r="O1742" s="28"/>
      <c r="X1742" s="40"/>
      <c r="Y1742" s="40"/>
    </row>
    <row r="1743" spans="5:25" x14ac:dyDescent="0.35">
      <c r="E1743" t="s">
        <v>201</v>
      </c>
      <c r="F1743" t="s">
        <v>1294</v>
      </c>
      <c r="G1743" s="28"/>
      <c r="N1743" s="28"/>
      <c r="O1743" s="28"/>
      <c r="X1743" s="40"/>
      <c r="Y1743" s="40"/>
    </row>
    <row r="1744" spans="5:25" x14ac:dyDescent="0.35">
      <c r="E1744" t="s">
        <v>201</v>
      </c>
      <c r="F1744" t="s">
        <v>1425</v>
      </c>
      <c r="G1744" s="28"/>
      <c r="N1744" s="28"/>
      <c r="O1744" s="28"/>
      <c r="X1744" s="40"/>
      <c r="Y1744" s="40"/>
    </row>
    <row r="1745" spans="5:25" x14ac:dyDescent="0.35">
      <c r="E1745" t="s">
        <v>201</v>
      </c>
      <c r="F1745" t="s">
        <v>1426</v>
      </c>
      <c r="G1745" s="28"/>
      <c r="N1745" s="28"/>
      <c r="O1745" s="28"/>
      <c r="X1745" s="40"/>
      <c r="Y1745" s="40"/>
    </row>
    <row r="1746" spans="5:25" x14ac:dyDescent="0.35">
      <c r="E1746" t="s">
        <v>201</v>
      </c>
      <c r="F1746" t="s">
        <v>1427</v>
      </c>
      <c r="G1746" s="28"/>
      <c r="N1746" s="28"/>
      <c r="O1746" s="28"/>
      <c r="X1746" s="40"/>
      <c r="Y1746" s="40"/>
    </row>
    <row r="1747" spans="5:25" x14ac:dyDescent="0.35">
      <c r="E1747" t="s">
        <v>201</v>
      </c>
      <c r="F1747" t="s">
        <v>1428</v>
      </c>
      <c r="G1747" s="28"/>
      <c r="N1747" s="28"/>
      <c r="O1747" s="28"/>
      <c r="X1747" s="40"/>
      <c r="Y1747" s="40"/>
    </row>
    <row r="1748" spans="5:25" x14ac:dyDescent="0.35">
      <c r="E1748" t="s">
        <v>201</v>
      </c>
      <c r="F1748" t="s">
        <v>1429</v>
      </c>
      <c r="G1748" s="28"/>
      <c r="N1748" s="28"/>
      <c r="O1748" s="28"/>
      <c r="X1748" s="40"/>
      <c r="Y1748" s="40"/>
    </row>
    <row r="1749" spans="5:25" x14ac:dyDescent="0.35">
      <c r="E1749" t="s">
        <v>201</v>
      </c>
      <c r="F1749" t="s">
        <v>1430</v>
      </c>
      <c r="G1749" s="28"/>
      <c r="N1749" s="28"/>
      <c r="O1749" s="28"/>
      <c r="X1749" s="40"/>
      <c r="Y1749" s="40"/>
    </row>
    <row r="1750" spans="5:25" x14ac:dyDescent="0.35">
      <c r="E1750" t="s">
        <v>201</v>
      </c>
      <c r="F1750" t="s">
        <v>449</v>
      </c>
      <c r="G1750" s="28"/>
      <c r="N1750" s="28"/>
      <c r="O1750" s="28"/>
      <c r="X1750" s="40"/>
      <c r="Y1750" s="40"/>
    </row>
    <row r="1751" spans="5:25" x14ac:dyDescent="0.35">
      <c r="E1751" t="s">
        <v>201</v>
      </c>
      <c r="F1751" t="s">
        <v>1431</v>
      </c>
      <c r="G1751" s="28"/>
      <c r="N1751" s="28"/>
      <c r="O1751" s="28"/>
      <c r="X1751" s="40"/>
      <c r="Y1751" s="40"/>
    </row>
    <row r="1752" spans="5:25" x14ac:dyDescent="0.35">
      <c r="E1752" t="s">
        <v>201</v>
      </c>
      <c r="F1752" t="s">
        <v>1432</v>
      </c>
      <c r="G1752" s="28"/>
      <c r="N1752" s="28"/>
      <c r="O1752" s="28"/>
      <c r="X1752" s="40"/>
      <c r="Y1752" s="40"/>
    </row>
    <row r="1753" spans="5:25" x14ac:dyDescent="0.35">
      <c r="E1753" t="s">
        <v>201</v>
      </c>
      <c r="F1753" t="s">
        <v>744</v>
      </c>
      <c r="G1753" s="28"/>
      <c r="N1753" s="28"/>
      <c r="O1753" s="28"/>
      <c r="X1753" s="40"/>
      <c r="Y1753" s="40"/>
    </row>
    <row r="1754" spans="5:25" x14ac:dyDescent="0.35">
      <c r="E1754" t="s">
        <v>201</v>
      </c>
      <c r="F1754" t="s">
        <v>394</v>
      </c>
      <c r="G1754" s="28"/>
      <c r="N1754" s="28"/>
      <c r="O1754" s="28"/>
      <c r="X1754" s="40"/>
      <c r="Y1754" s="40"/>
    </row>
    <row r="1755" spans="5:25" x14ac:dyDescent="0.35">
      <c r="E1755" t="s">
        <v>201</v>
      </c>
      <c r="F1755" t="s">
        <v>1433</v>
      </c>
      <c r="G1755" s="28"/>
      <c r="N1755" s="28"/>
      <c r="O1755" s="28"/>
      <c r="X1755" s="40"/>
      <c r="Y1755" s="40"/>
    </row>
    <row r="1756" spans="5:25" x14ac:dyDescent="0.35">
      <c r="E1756" t="s">
        <v>201</v>
      </c>
      <c r="F1756" t="s">
        <v>745</v>
      </c>
      <c r="G1756" s="28"/>
      <c r="N1756" s="28"/>
      <c r="O1756" s="28"/>
      <c r="X1756" s="40"/>
      <c r="Y1756" s="40"/>
    </row>
    <row r="1757" spans="5:25" x14ac:dyDescent="0.35">
      <c r="E1757" t="s">
        <v>201</v>
      </c>
      <c r="F1757" t="s">
        <v>749</v>
      </c>
      <c r="G1757" s="28"/>
      <c r="N1757" s="28"/>
      <c r="O1757" s="28"/>
      <c r="X1757" s="40"/>
      <c r="Y1757" s="40"/>
    </row>
    <row r="1758" spans="5:25" x14ac:dyDescent="0.35">
      <c r="E1758" t="s">
        <v>201</v>
      </c>
      <c r="F1758" t="s">
        <v>994</v>
      </c>
      <c r="G1758" s="28"/>
      <c r="N1758" s="28"/>
      <c r="O1758" s="28"/>
      <c r="X1758" s="40"/>
      <c r="Y1758" s="40"/>
    </row>
    <row r="1759" spans="5:25" x14ac:dyDescent="0.35">
      <c r="E1759" t="s">
        <v>201</v>
      </c>
      <c r="F1759" t="s">
        <v>1434</v>
      </c>
      <c r="G1759" s="28"/>
      <c r="N1759" s="28"/>
      <c r="O1759" s="28"/>
      <c r="X1759" s="40"/>
      <c r="Y1759" s="40"/>
    </row>
    <row r="1760" spans="5:25" x14ac:dyDescent="0.35">
      <c r="E1760" t="s">
        <v>201</v>
      </c>
      <c r="F1760" t="s">
        <v>1435</v>
      </c>
      <c r="G1760" s="28"/>
      <c r="N1760" s="28"/>
      <c r="O1760" s="28"/>
      <c r="X1760" s="40"/>
      <c r="Y1760" s="40"/>
    </row>
    <row r="1761" spans="5:25" x14ac:dyDescent="0.35">
      <c r="E1761" t="s">
        <v>202</v>
      </c>
      <c r="F1761" t="s">
        <v>526</v>
      </c>
      <c r="G1761" s="28"/>
      <c r="N1761" s="28"/>
      <c r="O1761" s="28"/>
      <c r="X1761" s="40"/>
      <c r="Y1761" s="40"/>
    </row>
    <row r="1762" spans="5:25" x14ac:dyDescent="0.35">
      <c r="E1762" t="s">
        <v>202</v>
      </c>
      <c r="F1762" t="s">
        <v>1436</v>
      </c>
      <c r="G1762" s="28"/>
      <c r="N1762" s="28"/>
      <c r="O1762" s="28"/>
      <c r="X1762" s="40"/>
      <c r="Y1762" s="40"/>
    </row>
    <row r="1763" spans="5:25" x14ac:dyDescent="0.35">
      <c r="E1763" t="s">
        <v>202</v>
      </c>
      <c r="F1763" t="s">
        <v>1437</v>
      </c>
      <c r="G1763" s="28"/>
      <c r="N1763" s="28"/>
      <c r="O1763" s="28"/>
      <c r="X1763" s="40"/>
      <c r="Y1763" s="40"/>
    </row>
    <row r="1764" spans="5:25" x14ac:dyDescent="0.35">
      <c r="E1764" t="s">
        <v>202</v>
      </c>
      <c r="F1764" t="s">
        <v>1438</v>
      </c>
      <c r="G1764" s="28"/>
      <c r="N1764" s="28"/>
      <c r="O1764" s="28"/>
      <c r="X1764" s="40"/>
      <c r="Y1764" s="40"/>
    </row>
    <row r="1765" spans="5:25" x14ac:dyDescent="0.35">
      <c r="E1765" t="s">
        <v>202</v>
      </c>
      <c r="F1765" t="s">
        <v>1439</v>
      </c>
      <c r="G1765" s="28"/>
      <c r="N1765" s="28"/>
      <c r="O1765" s="28"/>
      <c r="X1765" s="40"/>
      <c r="Y1765" s="40"/>
    </row>
    <row r="1766" spans="5:25" x14ac:dyDescent="0.35">
      <c r="E1766" t="s">
        <v>202</v>
      </c>
      <c r="F1766" t="s">
        <v>1440</v>
      </c>
      <c r="G1766" s="28"/>
      <c r="N1766" s="28"/>
      <c r="O1766" s="28"/>
      <c r="X1766" s="40"/>
      <c r="Y1766" s="40"/>
    </row>
    <row r="1767" spans="5:25" x14ac:dyDescent="0.35">
      <c r="E1767" t="s">
        <v>202</v>
      </c>
      <c r="F1767" t="s">
        <v>656</v>
      </c>
      <c r="G1767" s="28"/>
      <c r="N1767" s="28"/>
      <c r="O1767" s="28"/>
      <c r="X1767" s="40"/>
      <c r="Y1767" s="40"/>
    </row>
    <row r="1768" spans="5:25" x14ac:dyDescent="0.35">
      <c r="E1768" t="s">
        <v>202</v>
      </c>
      <c r="F1768" t="s">
        <v>1441</v>
      </c>
      <c r="G1768" s="28"/>
      <c r="N1768" s="28"/>
      <c r="O1768" s="28"/>
      <c r="X1768" s="40"/>
      <c r="Y1768" s="40"/>
    </row>
    <row r="1769" spans="5:25" x14ac:dyDescent="0.35">
      <c r="E1769" t="s">
        <v>202</v>
      </c>
      <c r="F1769" t="s">
        <v>765</v>
      </c>
      <c r="G1769" s="28"/>
      <c r="N1769" s="28"/>
      <c r="O1769" s="28"/>
      <c r="X1769" s="40"/>
      <c r="Y1769" s="40"/>
    </row>
    <row r="1770" spans="5:25" x14ac:dyDescent="0.35">
      <c r="E1770" t="s">
        <v>202</v>
      </c>
      <c r="F1770" t="s">
        <v>1442</v>
      </c>
      <c r="G1770" s="28"/>
      <c r="N1770" s="28"/>
      <c r="O1770" s="28"/>
      <c r="X1770" s="40"/>
      <c r="Y1770" s="40"/>
    </row>
    <row r="1771" spans="5:25" x14ac:dyDescent="0.35">
      <c r="E1771" t="s">
        <v>202</v>
      </c>
      <c r="F1771" t="s">
        <v>1443</v>
      </c>
      <c r="G1771" s="28"/>
      <c r="N1771" s="28"/>
      <c r="O1771" s="28"/>
      <c r="X1771" s="40"/>
      <c r="Y1771" s="40"/>
    </row>
    <row r="1772" spans="5:25" x14ac:dyDescent="0.35">
      <c r="E1772" t="s">
        <v>202</v>
      </c>
      <c r="F1772" t="s">
        <v>1444</v>
      </c>
      <c r="G1772" s="28"/>
      <c r="N1772" s="28"/>
      <c r="O1772" s="28"/>
      <c r="X1772" s="40"/>
      <c r="Y1772" s="40"/>
    </row>
    <row r="1773" spans="5:25" x14ac:dyDescent="0.35">
      <c r="E1773" t="s">
        <v>202</v>
      </c>
      <c r="F1773" t="s">
        <v>1445</v>
      </c>
      <c r="G1773" s="28"/>
      <c r="N1773" s="28"/>
      <c r="O1773" s="28"/>
      <c r="X1773" s="40"/>
      <c r="Y1773" s="40"/>
    </row>
    <row r="1774" spans="5:25" x14ac:dyDescent="0.35">
      <c r="E1774" t="s">
        <v>202</v>
      </c>
      <c r="F1774" t="s">
        <v>1446</v>
      </c>
      <c r="G1774" s="28"/>
      <c r="N1774" s="28"/>
      <c r="O1774" s="28"/>
      <c r="X1774" s="40"/>
      <c r="Y1774" s="40"/>
    </row>
    <row r="1775" spans="5:25" x14ac:dyDescent="0.35">
      <c r="E1775" t="s">
        <v>202</v>
      </c>
      <c r="F1775" t="s">
        <v>1447</v>
      </c>
      <c r="G1775" s="28"/>
      <c r="N1775" s="28"/>
      <c r="O1775" s="28"/>
      <c r="X1775" s="40"/>
      <c r="Y1775" s="40"/>
    </row>
    <row r="1776" spans="5:25" x14ac:dyDescent="0.35">
      <c r="E1776" t="s">
        <v>202</v>
      </c>
      <c r="F1776" t="s">
        <v>1448</v>
      </c>
      <c r="G1776" s="28"/>
      <c r="N1776" s="28"/>
      <c r="O1776" s="28"/>
      <c r="X1776" s="40"/>
      <c r="Y1776" s="40"/>
    </row>
    <row r="1777" spans="5:25" x14ac:dyDescent="0.35">
      <c r="E1777" t="s">
        <v>202</v>
      </c>
      <c r="F1777" t="s">
        <v>1347</v>
      </c>
      <c r="G1777" s="28"/>
      <c r="N1777" s="28"/>
      <c r="O1777" s="28"/>
      <c r="X1777" s="40"/>
      <c r="Y1777" s="40"/>
    </row>
    <row r="1778" spans="5:25" x14ac:dyDescent="0.35">
      <c r="E1778" t="s">
        <v>202</v>
      </c>
      <c r="F1778" t="s">
        <v>1449</v>
      </c>
      <c r="G1778" s="28"/>
      <c r="N1778" s="28"/>
      <c r="O1778" s="28"/>
      <c r="X1778" s="40"/>
      <c r="Y1778" s="40"/>
    </row>
    <row r="1779" spans="5:25" x14ac:dyDescent="0.35">
      <c r="E1779" t="s">
        <v>202</v>
      </c>
      <c r="F1779" t="s">
        <v>418</v>
      </c>
      <c r="G1779" s="28"/>
      <c r="N1779" s="28"/>
      <c r="O1779" s="28"/>
      <c r="X1779" s="40"/>
      <c r="Y1779" s="40"/>
    </row>
    <row r="1780" spans="5:25" x14ac:dyDescent="0.35">
      <c r="E1780" t="s">
        <v>202</v>
      </c>
      <c r="F1780" t="s">
        <v>1450</v>
      </c>
      <c r="G1780" s="28"/>
      <c r="N1780" s="28"/>
      <c r="O1780" s="28"/>
      <c r="X1780" s="40"/>
      <c r="Y1780" s="40"/>
    </row>
    <row r="1781" spans="5:25" x14ac:dyDescent="0.35">
      <c r="E1781" t="s">
        <v>202</v>
      </c>
      <c r="F1781" t="s">
        <v>1451</v>
      </c>
      <c r="G1781" s="28"/>
      <c r="N1781" s="28"/>
      <c r="O1781" s="28"/>
      <c r="X1781" s="40"/>
      <c r="Y1781" s="40"/>
    </row>
    <row r="1782" spans="5:25" x14ac:dyDescent="0.35">
      <c r="E1782" t="s">
        <v>202</v>
      </c>
      <c r="F1782" t="s">
        <v>1452</v>
      </c>
      <c r="G1782" s="28"/>
      <c r="N1782" s="28"/>
      <c r="O1782" s="28"/>
      <c r="X1782" s="40"/>
      <c r="Y1782" s="40"/>
    </row>
    <row r="1783" spans="5:25" x14ac:dyDescent="0.35">
      <c r="E1783" t="s">
        <v>202</v>
      </c>
      <c r="F1783" t="s">
        <v>1453</v>
      </c>
      <c r="G1783" s="28"/>
      <c r="N1783" s="28"/>
      <c r="O1783" s="28"/>
      <c r="X1783" s="40"/>
      <c r="Y1783" s="40"/>
    </row>
    <row r="1784" spans="5:25" x14ac:dyDescent="0.35">
      <c r="E1784" t="s">
        <v>202</v>
      </c>
      <c r="F1784" t="s">
        <v>428</v>
      </c>
      <c r="G1784" s="28"/>
      <c r="N1784" s="28"/>
      <c r="O1784" s="28"/>
      <c r="X1784" s="40"/>
      <c r="Y1784" s="40"/>
    </row>
    <row r="1785" spans="5:25" x14ac:dyDescent="0.35">
      <c r="E1785" t="s">
        <v>202</v>
      </c>
      <c r="F1785" t="s">
        <v>870</v>
      </c>
      <c r="G1785" s="28"/>
      <c r="N1785" s="28"/>
      <c r="O1785" s="28"/>
      <c r="X1785" s="40"/>
      <c r="Y1785" s="40"/>
    </row>
    <row r="1786" spans="5:25" x14ac:dyDescent="0.35">
      <c r="E1786" t="s">
        <v>202</v>
      </c>
      <c r="F1786" t="s">
        <v>710</v>
      </c>
      <c r="G1786" s="28"/>
      <c r="N1786" s="28"/>
      <c r="O1786" s="28"/>
      <c r="X1786" s="40"/>
      <c r="Y1786" s="40"/>
    </row>
    <row r="1787" spans="5:25" x14ac:dyDescent="0.35">
      <c r="E1787" t="s">
        <v>202</v>
      </c>
      <c r="F1787" t="s">
        <v>1454</v>
      </c>
      <c r="G1787" s="28"/>
      <c r="N1787" s="28"/>
      <c r="O1787" s="28"/>
      <c r="X1787" s="40"/>
      <c r="Y1787" s="40"/>
    </row>
    <row r="1788" spans="5:25" x14ac:dyDescent="0.35">
      <c r="E1788" t="s">
        <v>202</v>
      </c>
      <c r="F1788" t="s">
        <v>871</v>
      </c>
      <c r="G1788" s="28"/>
      <c r="N1788" s="28"/>
      <c r="O1788" s="28"/>
      <c r="X1788" s="40"/>
      <c r="Y1788" s="40"/>
    </row>
    <row r="1789" spans="5:25" x14ac:dyDescent="0.35">
      <c r="E1789" t="s">
        <v>202</v>
      </c>
      <c r="F1789" t="s">
        <v>873</v>
      </c>
      <c r="G1789" s="28"/>
      <c r="N1789" s="28"/>
      <c r="O1789" s="28"/>
      <c r="X1789" s="40"/>
      <c r="Y1789" s="40"/>
    </row>
    <row r="1790" spans="5:25" x14ac:dyDescent="0.35">
      <c r="E1790" t="s">
        <v>202</v>
      </c>
      <c r="F1790" t="s">
        <v>964</v>
      </c>
      <c r="G1790" s="28"/>
      <c r="N1790" s="28"/>
      <c r="O1790" s="28"/>
      <c r="X1790" s="40"/>
      <c r="Y1790" s="40"/>
    </row>
    <row r="1791" spans="5:25" x14ac:dyDescent="0.35">
      <c r="E1791" t="s">
        <v>202</v>
      </c>
      <c r="F1791" t="s">
        <v>1455</v>
      </c>
      <c r="G1791" s="28"/>
      <c r="N1791" s="28"/>
      <c r="O1791" s="28"/>
      <c r="X1791" s="40"/>
      <c r="Y1791" s="40"/>
    </row>
    <row r="1792" spans="5:25" x14ac:dyDescent="0.35">
      <c r="E1792" t="s">
        <v>202</v>
      </c>
      <c r="F1792" t="s">
        <v>1038</v>
      </c>
      <c r="G1792" s="28"/>
      <c r="N1792" s="28"/>
      <c r="O1792" s="28"/>
      <c r="X1792" s="40"/>
      <c r="Y1792" s="40"/>
    </row>
    <row r="1793" spans="5:25" x14ac:dyDescent="0.35">
      <c r="E1793" t="s">
        <v>202</v>
      </c>
      <c r="F1793" t="s">
        <v>1456</v>
      </c>
      <c r="G1793" s="28"/>
      <c r="N1793" s="28"/>
      <c r="O1793" s="28"/>
      <c r="X1793" s="40"/>
      <c r="Y1793" s="40"/>
    </row>
    <row r="1794" spans="5:25" x14ac:dyDescent="0.35">
      <c r="E1794" t="s">
        <v>202</v>
      </c>
      <c r="F1794" t="s">
        <v>1457</v>
      </c>
      <c r="G1794" s="28"/>
      <c r="N1794" s="28"/>
      <c r="O1794" s="28"/>
      <c r="X1794" s="40"/>
      <c r="Y1794" s="40"/>
    </row>
    <row r="1795" spans="5:25" x14ac:dyDescent="0.35">
      <c r="E1795" t="s">
        <v>202</v>
      </c>
      <c r="F1795" t="s">
        <v>719</v>
      </c>
      <c r="G1795" s="28"/>
      <c r="N1795" s="28"/>
      <c r="O1795" s="28"/>
      <c r="X1795" s="40"/>
      <c r="Y1795" s="40"/>
    </row>
    <row r="1796" spans="5:25" x14ac:dyDescent="0.35">
      <c r="E1796" t="s">
        <v>202</v>
      </c>
      <c r="F1796" t="s">
        <v>1240</v>
      </c>
      <c r="G1796" s="28"/>
      <c r="N1796" s="28"/>
      <c r="O1796" s="28"/>
      <c r="X1796" s="40"/>
      <c r="Y1796" s="40"/>
    </row>
    <row r="1797" spans="5:25" x14ac:dyDescent="0.35">
      <c r="E1797" t="s">
        <v>202</v>
      </c>
      <c r="F1797" t="s">
        <v>1458</v>
      </c>
      <c r="G1797" s="28"/>
      <c r="N1797" s="28"/>
      <c r="O1797" s="28"/>
      <c r="X1797" s="40"/>
      <c r="Y1797" s="40"/>
    </row>
    <row r="1798" spans="5:25" x14ac:dyDescent="0.35">
      <c r="E1798" t="s">
        <v>202</v>
      </c>
      <c r="F1798" t="s">
        <v>1243</v>
      </c>
      <c r="G1798" s="28"/>
      <c r="N1798" s="28"/>
      <c r="O1798" s="28"/>
      <c r="X1798" s="40"/>
      <c r="Y1798" s="40"/>
    </row>
    <row r="1799" spans="5:25" x14ac:dyDescent="0.35">
      <c r="E1799" t="s">
        <v>202</v>
      </c>
      <c r="F1799" t="s">
        <v>878</v>
      </c>
      <c r="G1799" s="28"/>
      <c r="N1799" s="28"/>
      <c r="O1799" s="28"/>
      <c r="X1799" s="40"/>
      <c r="Y1799" s="40"/>
    </row>
    <row r="1800" spans="5:25" x14ac:dyDescent="0.35">
      <c r="E1800" t="s">
        <v>202</v>
      </c>
      <c r="F1800" t="s">
        <v>1459</v>
      </c>
      <c r="G1800" s="28"/>
      <c r="N1800" s="28"/>
      <c r="O1800" s="28"/>
      <c r="X1800" s="40"/>
      <c r="Y1800" s="40"/>
    </row>
    <row r="1801" spans="5:25" x14ac:dyDescent="0.35">
      <c r="E1801" t="s">
        <v>202</v>
      </c>
      <c r="F1801" t="s">
        <v>1460</v>
      </c>
      <c r="G1801" s="28"/>
      <c r="N1801" s="28"/>
      <c r="O1801" s="28"/>
      <c r="X1801" s="40"/>
      <c r="Y1801" s="40"/>
    </row>
    <row r="1802" spans="5:25" x14ac:dyDescent="0.35">
      <c r="E1802" t="s">
        <v>202</v>
      </c>
      <c r="F1802" t="s">
        <v>983</v>
      </c>
      <c r="G1802" s="28"/>
      <c r="N1802" s="28"/>
      <c r="O1802" s="28"/>
      <c r="X1802" s="40"/>
      <c r="Y1802" s="40"/>
    </row>
    <row r="1803" spans="5:25" x14ac:dyDescent="0.35">
      <c r="E1803" t="s">
        <v>202</v>
      </c>
      <c r="F1803" t="s">
        <v>801</v>
      </c>
      <c r="G1803" s="28"/>
      <c r="N1803" s="28"/>
      <c r="O1803" s="28"/>
      <c r="X1803" s="40"/>
      <c r="Y1803" s="40"/>
    </row>
    <row r="1804" spans="5:25" x14ac:dyDescent="0.35">
      <c r="E1804" t="s">
        <v>202</v>
      </c>
      <c r="F1804" t="s">
        <v>1461</v>
      </c>
      <c r="G1804" s="28"/>
      <c r="N1804" s="28"/>
      <c r="O1804" s="28"/>
      <c r="X1804" s="40"/>
      <c r="Y1804" s="40"/>
    </row>
    <row r="1805" spans="5:25" x14ac:dyDescent="0.35">
      <c r="E1805" t="s">
        <v>202</v>
      </c>
      <c r="F1805" t="s">
        <v>882</v>
      </c>
      <c r="G1805" s="28"/>
      <c r="N1805" s="28"/>
      <c r="O1805" s="28"/>
      <c r="X1805" s="40"/>
      <c r="Y1805" s="40"/>
    </row>
    <row r="1806" spans="5:25" x14ac:dyDescent="0.35">
      <c r="E1806" t="s">
        <v>202</v>
      </c>
      <c r="F1806" t="s">
        <v>1250</v>
      </c>
      <c r="G1806" s="28"/>
      <c r="N1806" s="28"/>
      <c r="O1806" s="28"/>
      <c r="X1806" s="40"/>
      <c r="Y1806" s="40"/>
    </row>
    <row r="1807" spans="5:25" x14ac:dyDescent="0.35">
      <c r="E1807" t="s">
        <v>202</v>
      </c>
      <c r="F1807" t="s">
        <v>1462</v>
      </c>
      <c r="G1807" s="28"/>
      <c r="N1807" s="28"/>
      <c r="O1807" s="28"/>
      <c r="X1807" s="40"/>
      <c r="Y1807" s="40"/>
    </row>
    <row r="1808" spans="5:25" x14ac:dyDescent="0.35">
      <c r="E1808" t="s">
        <v>202</v>
      </c>
      <c r="F1808" t="s">
        <v>1463</v>
      </c>
      <c r="G1808" s="28"/>
      <c r="N1808" s="28"/>
      <c r="O1808" s="28"/>
      <c r="X1808" s="40"/>
      <c r="Y1808" s="40"/>
    </row>
    <row r="1809" spans="5:25" x14ac:dyDescent="0.35">
      <c r="E1809" t="s">
        <v>202</v>
      </c>
      <c r="F1809" t="s">
        <v>1464</v>
      </c>
      <c r="G1809" s="28"/>
      <c r="N1809" s="28"/>
      <c r="O1809" s="28"/>
      <c r="X1809" s="40"/>
      <c r="Y1809" s="40"/>
    </row>
    <row r="1810" spans="5:25" x14ac:dyDescent="0.35">
      <c r="E1810" t="s">
        <v>202</v>
      </c>
      <c r="F1810" t="s">
        <v>1465</v>
      </c>
      <c r="G1810" s="28"/>
      <c r="N1810" s="28"/>
      <c r="O1810" s="28"/>
      <c r="X1810" s="40"/>
      <c r="Y1810" s="40"/>
    </row>
    <row r="1811" spans="5:25" x14ac:dyDescent="0.35">
      <c r="E1811" t="s">
        <v>202</v>
      </c>
      <c r="F1811" t="s">
        <v>1466</v>
      </c>
      <c r="G1811" s="28"/>
      <c r="N1811" s="28"/>
      <c r="O1811" s="28"/>
      <c r="X1811" s="40"/>
      <c r="Y1811" s="40"/>
    </row>
    <row r="1812" spans="5:25" x14ac:dyDescent="0.35">
      <c r="E1812" t="s">
        <v>202</v>
      </c>
      <c r="F1812" t="s">
        <v>928</v>
      </c>
      <c r="G1812" s="28"/>
      <c r="N1812" s="28"/>
      <c r="O1812" s="28"/>
      <c r="X1812" s="40"/>
      <c r="Y1812" s="40"/>
    </row>
    <row r="1813" spans="5:25" x14ac:dyDescent="0.35">
      <c r="E1813" t="s">
        <v>202</v>
      </c>
      <c r="F1813" t="s">
        <v>1467</v>
      </c>
      <c r="G1813" s="28"/>
      <c r="N1813" s="28"/>
      <c r="O1813" s="28"/>
      <c r="X1813" s="40"/>
      <c r="Y1813" s="40"/>
    </row>
    <row r="1814" spans="5:25" x14ac:dyDescent="0.35">
      <c r="E1814" t="s">
        <v>203</v>
      </c>
      <c r="F1814" t="s">
        <v>526</v>
      </c>
      <c r="G1814" s="28"/>
      <c r="N1814" s="28"/>
      <c r="O1814" s="28"/>
      <c r="X1814" s="40"/>
      <c r="Y1814" s="40"/>
    </row>
    <row r="1815" spans="5:25" x14ac:dyDescent="0.35">
      <c r="E1815" t="s">
        <v>203</v>
      </c>
      <c r="F1815" t="s">
        <v>1468</v>
      </c>
      <c r="G1815" s="28"/>
      <c r="N1815" s="28"/>
      <c r="O1815" s="28"/>
      <c r="X1815" s="40"/>
      <c r="Y1815" s="40"/>
    </row>
    <row r="1816" spans="5:25" x14ac:dyDescent="0.35">
      <c r="E1816" t="s">
        <v>203</v>
      </c>
      <c r="F1816" t="s">
        <v>1469</v>
      </c>
      <c r="G1816" s="28"/>
      <c r="N1816" s="28"/>
      <c r="O1816" s="28"/>
      <c r="X1816" s="40"/>
      <c r="Y1816" s="40"/>
    </row>
    <row r="1817" spans="5:25" x14ac:dyDescent="0.35">
      <c r="E1817" t="s">
        <v>203</v>
      </c>
      <c r="F1817" t="s">
        <v>1470</v>
      </c>
      <c r="G1817" s="28"/>
      <c r="N1817" s="28"/>
      <c r="O1817" s="28"/>
      <c r="X1817" s="40"/>
      <c r="Y1817" s="40"/>
    </row>
    <row r="1818" spans="5:25" x14ac:dyDescent="0.35">
      <c r="E1818" t="s">
        <v>203</v>
      </c>
      <c r="F1818" t="s">
        <v>814</v>
      </c>
      <c r="G1818" s="28"/>
      <c r="N1818" s="28"/>
      <c r="O1818" s="28"/>
      <c r="X1818" s="40"/>
      <c r="Y1818" s="40"/>
    </row>
    <row r="1819" spans="5:25" x14ac:dyDescent="0.35">
      <c r="E1819" t="s">
        <v>203</v>
      </c>
      <c r="F1819" t="s">
        <v>401</v>
      </c>
      <c r="G1819" s="28"/>
      <c r="N1819" s="28"/>
      <c r="O1819" s="28"/>
      <c r="X1819" s="40"/>
      <c r="Y1819" s="40"/>
    </row>
    <row r="1820" spans="5:25" x14ac:dyDescent="0.35">
      <c r="E1820" t="s">
        <v>203</v>
      </c>
      <c r="F1820" t="s">
        <v>1471</v>
      </c>
      <c r="G1820" s="28"/>
      <c r="N1820" s="28"/>
      <c r="O1820" s="28"/>
      <c r="X1820" s="40"/>
      <c r="Y1820" s="40"/>
    </row>
    <row r="1821" spans="5:25" x14ac:dyDescent="0.35">
      <c r="E1821" t="s">
        <v>203</v>
      </c>
      <c r="F1821" t="s">
        <v>1001</v>
      </c>
      <c r="G1821" s="28"/>
      <c r="N1821" s="28"/>
      <c r="O1821" s="28"/>
      <c r="X1821" s="40"/>
      <c r="Y1821" s="40"/>
    </row>
    <row r="1822" spans="5:25" x14ac:dyDescent="0.35">
      <c r="E1822" t="s">
        <v>203</v>
      </c>
      <c r="F1822" t="s">
        <v>844</v>
      </c>
      <c r="G1822" s="28"/>
      <c r="N1822" s="28"/>
      <c r="O1822" s="28"/>
      <c r="X1822" s="40"/>
      <c r="Y1822" s="40"/>
    </row>
    <row r="1823" spans="5:25" x14ac:dyDescent="0.35">
      <c r="E1823" t="s">
        <v>203</v>
      </c>
      <c r="F1823" t="s">
        <v>1472</v>
      </c>
      <c r="G1823" s="28"/>
      <c r="N1823" s="28"/>
      <c r="O1823" s="28"/>
      <c r="X1823" s="40"/>
      <c r="Y1823" s="40"/>
    </row>
    <row r="1824" spans="5:25" x14ac:dyDescent="0.35">
      <c r="E1824" t="s">
        <v>203</v>
      </c>
      <c r="F1824" t="s">
        <v>1473</v>
      </c>
      <c r="G1824" s="28"/>
      <c r="N1824" s="28"/>
      <c r="O1824" s="28"/>
      <c r="X1824" s="40"/>
      <c r="Y1824" s="40"/>
    </row>
    <row r="1825" spans="5:25" x14ac:dyDescent="0.35">
      <c r="E1825" t="s">
        <v>203</v>
      </c>
      <c r="F1825" t="s">
        <v>336</v>
      </c>
      <c r="G1825" s="28"/>
      <c r="N1825" s="28"/>
      <c r="O1825" s="28"/>
      <c r="X1825" s="40"/>
      <c r="Y1825" s="40"/>
    </row>
    <row r="1826" spans="5:25" x14ac:dyDescent="0.35">
      <c r="E1826" t="s">
        <v>203</v>
      </c>
      <c r="F1826" t="s">
        <v>765</v>
      </c>
      <c r="G1826" s="28"/>
      <c r="N1826" s="28"/>
      <c r="O1826" s="28"/>
      <c r="X1826" s="40"/>
      <c r="Y1826" s="40"/>
    </row>
    <row r="1827" spans="5:25" x14ac:dyDescent="0.35">
      <c r="E1827" t="s">
        <v>203</v>
      </c>
      <c r="F1827" t="s">
        <v>766</v>
      </c>
      <c r="G1827" s="28"/>
      <c r="N1827" s="28"/>
      <c r="O1827" s="28"/>
      <c r="X1827" s="40"/>
      <c r="Y1827" s="40"/>
    </row>
    <row r="1828" spans="5:25" x14ac:dyDescent="0.35">
      <c r="E1828" t="s">
        <v>203</v>
      </c>
      <c r="F1828" t="s">
        <v>935</v>
      </c>
      <c r="G1828" s="28"/>
      <c r="N1828" s="28"/>
      <c r="O1828" s="28"/>
      <c r="X1828" s="40"/>
      <c r="Y1828" s="40"/>
    </row>
    <row r="1829" spans="5:25" x14ac:dyDescent="0.35">
      <c r="E1829" t="s">
        <v>203</v>
      </c>
      <c r="F1829" t="s">
        <v>1474</v>
      </c>
      <c r="G1829" s="28"/>
      <c r="N1829" s="28"/>
      <c r="O1829" s="28"/>
      <c r="X1829" s="40"/>
      <c r="Y1829" s="40"/>
    </row>
    <row r="1830" spans="5:25" x14ac:dyDescent="0.35">
      <c r="E1830" t="s">
        <v>203</v>
      </c>
      <c r="F1830" t="s">
        <v>535</v>
      </c>
      <c r="G1830" s="28"/>
      <c r="N1830" s="28"/>
      <c r="O1830" s="28"/>
      <c r="X1830" s="40"/>
      <c r="Y1830" s="40"/>
    </row>
    <row r="1831" spans="5:25" x14ac:dyDescent="0.35">
      <c r="E1831" t="s">
        <v>203</v>
      </c>
      <c r="F1831" t="s">
        <v>343</v>
      </c>
      <c r="G1831" s="28"/>
      <c r="N1831" s="28"/>
      <c r="O1831" s="28"/>
      <c r="X1831" s="40"/>
      <c r="Y1831" s="40"/>
    </row>
    <row r="1832" spans="5:25" x14ac:dyDescent="0.35">
      <c r="E1832" t="s">
        <v>203</v>
      </c>
      <c r="F1832" t="s">
        <v>1475</v>
      </c>
      <c r="G1832" s="28"/>
      <c r="N1832" s="28"/>
      <c r="O1832" s="28"/>
      <c r="X1832" s="40"/>
      <c r="Y1832" s="40"/>
    </row>
    <row r="1833" spans="5:25" x14ac:dyDescent="0.35">
      <c r="E1833" t="s">
        <v>203</v>
      </c>
      <c r="F1833" t="s">
        <v>1476</v>
      </c>
      <c r="G1833" s="28"/>
      <c r="N1833" s="28"/>
      <c r="O1833" s="28"/>
      <c r="X1833" s="40"/>
      <c r="Y1833" s="40"/>
    </row>
    <row r="1834" spans="5:25" x14ac:dyDescent="0.35">
      <c r="E1834" t="s">
        <v>203</v>
      </c>
      <c r="F1834" t="s">
        <v>540</v>
      </c>
      <c r="G1834" s="28"/>
      <c r="N1834" s="28"/>
      <c r="O1834" s="28"/>
      <c r="X1834" s="40"/>
      <c r="Y1834" s="40"/>
    </row>
    <row r="1835" spans="5:25" x14ac:dyDescent="0.35">
      <c r="E1835" t="s">
        <v>203</v>
      </c>
      <c r="F1835" t="s">
        <v>1210</v>
      </c>
      <c r="G1835" s="28"/>
      <c r="N1835" s="28"/>
      <c r="O1835" s="28"/>
      <c r="X1835" s="40"/>
      <c r="Y1835" s="40"/>
    </row>
    <row r="1836" spans="5:25" x14ac:dyDescent="0.35">
      <c r="E1836" t="s">
        <v>203</v>
      </c>
      <c r="F1836" t="s">
        <v>1477</v>
      </c>
      <c r="G1836" s="28"/>
      <c r="N1836" s="28"/>
      <c r="O1836" s="28"/>
      <c r="X1836" s="40"/>
      <c r="Y1836" s="40"/>
    </row>
    <row r="1837" spans="5:25" x14ac:dyDescent="0.35">
      <c r="E1837" t="s">
        <v>203</v>
      </c>
      <c r="F1837" t="s">
        <v>673</v>
      </c>
      <c r="G1837" s="28"/>
      <c r="N1837" s="28"/>
      <c r="O1837" s="28"/>
      <c r="X1837" s="40"/>
      <c r="Y1837" s="40"/>
    </row>
    <row r="1838" spans="5:25" x14ac:dyDescent="0.35">
      <c r="E1838" t="s">
        <v>203</v>
      </c>
      <c r="F1838" t="s">
        <v>1478</v>
      </c>
      <c r="G1838" s="28"/>
      <c r="N1838" s="28"/>
      <c r="O1838" s="28"/>
      <c r="X1838" s="40"/>
      <c r="Y1838" s="40"/>
    </row>
    <row r="1839" spans="5:25" x14ac:dyDescent="0.35">
      <c r="E1839" t="s">
        <v>203</v>
      </c>
      <c r="F1839" t="s">
        <v>1479</v>
      </c>
      <c r="G1839" s="28"/>
      <c r="N1839" s="28"/>
      <c r="O1839" s="28"/>
      <c r="X1839" s="40"/>
      <c r="Y1839" s="40"/>
    </row>
    <row r="1840" spans="5:25" x14ac:dyDescent="0.35">
      <c r="E1840" t="s">
        <v>203</v>
      </c>
      <c r="F1840" t="s">
        <v>676</v>
      </c>
      <c r="G1840" s="28"/>
      <c r="N1840" s="28"/>
      <c r="O1840" s="28"/>
      <c r="X1840" s="40"/>
      <c r="Y1840" s="40"/>
    </row>
    <row r="1841" spans="5:25" x14ac:dyDescent="0.35">
      <c r="E1841" t="s">
        <v>203</v>
      </c>
      <c r="F1841" t="s">
        <v>544</v>
      </c>
      <c r="G1841" s="28"/>
      <c r="N1841" s="28"/>
      <c r="O1841" s="28"/>
      <c r="X1841" s="40"/>
      <c r="Y1841" s="40"/>
    </row>
    <row r="1842" spans="5:25" x14ac:dyDescent="0.35">
      <c r="E1842" t="s">
        <v>203</v>
      </c>
      <c r="F1842" t="s">
        <v>1480</v>
      </c>
      <c r="G1842" s="28"/>
      <c r="N1842" s="28"/>
      <c r="O1842" s="28"/>
      <c r="X1842" s="40"/>
      <c r="Y1842" s="40"/>
    </row>
    <row r="1843" spans="5:25" x14ac:dyDescent="0.35">
      <c r="E1843" t="s">
        <v>203</v>
      </c>
      <c r="F1843" t="s">
        <v>1212</v>
      </c>
      <c r="G1843" s="28"/>
      <c r="N1843" s="28"/>
      <c r="O1843" s="28"/>
      <c r="X1843" s="40"/>
      <c r="Y1843" s="40"/>
    </row>
    <row r="1844" spans="5:25" x14ac:dyDescent="0.35">
      <c r="E1844" t="s">
        <v>203</v>
      </c>
      <c r="F1844" t="s">
        <v>359</v>
      </c>
      <c r="G1844" s="28"/>
      <c r="N1844" s="28"/>
      <c r="O1844" s="28"/>
      <c r="X1844" s="40"/>
      <c r="Y1844" s="40"/>
    </row>
    <row r="1845" spans="5:25" x14ac:dyDescent="0.35">
      <c r="E1845" t="s">
        <v>203</v>
      </c>
      <c r="F1845" t="s">
        <v>1481</v>
      </c>
      <c r="G1845" s="28"/>
      <c r="N1845" s="28"/>
      <c r="O1845" s="28"/>
      <c r="X1845" s="40"/>
      <c r="Y1845" s="40"/>
    </row>
    <row r="1846" spans="5:25" x14ac:dyDescent="0.35">
      <c r="E1846" t="s">
        <v>203</v>
      </c>
      <c r="F1846" t="s">
        <v>1482</v>
      </c>
      <c r="G1846" s="28"/>
      <c r="N1846" s="28"/>
      <c r="O1846" s="28"/>
      <c r="X1846" s="40"/>
      <c r="Y1846" s="40"/>
    </row>
    <row r="1847" spans="5:25" x14ac:dyDescent="0.35">
      <c r="E1847" t="s">
        <v>203</v>
      </c>
      <c r="F1847" t="s">
        <v>1483</v>
      </c>
      <c r="G1847" s="28"/>
      <c r="N1847" s="28"/>
      <c r="O1847" s="28"/>
      <c r="X1847" s="40"/>
      <c r="Y1847" s="40"/>
    </row>
    <row r="1848" spans="5:25" x14ac:dyDescent="0.35">
      <c r="E1848" t="s">
        <v>203</v>
      </c>
      <c r="F1848" t="s">
        <v>1484</v>
      </c>
      <c r="G1848" s="28"/>
      <c r="N1848" s="28"/>
      <c r="O1848" s="28"/>
      <c r="X1848" s="40"/>
      <c r="Y1848" s="40"/>
    </row>
    <row r="1849" spans="5:25" x14ac:dyDescent="0.35">
      <c r="E1849" t="s">
        <v>203</v>
      </c>
      <c r="F1849" t="s">
        <v>549</v>
      </c>
      <c r="G1849" s="28"/>
      <c r="N1849" s="28"/>
      <c r="O1849" s="28"/>
      <c r="X1849" s="40"/>
      <c r="Y1849" s="40"/>
    </row>
    <row r="1850" spans="5:25" x14ac:dyDescent="0.35">
      <c r="E1850" t="s">
        <v>203</v>
      </c>
      <c r="F1850" t="s">
        <v>1485</v>
      </c>
      <c r="G1850" s="28"/>
      <c r="N1850" s="28"/>
      <c r="O1850" s="28"/>
      <c r="X1850" s="40"/>
      <c r="Y1850" s="40"/>
    </row>
    <row r="1851" spans="5:25" x14ac:dyDescent="0.35">
      <c r="E1851" t="s">
        <v>203</v>
      </c>
      <c r="F1851" t="s">
        <v>418</v>
      </c>
      <c r="G1851" s="28"/>
      <c r="X1851" s="40"/>
      <c r="Y1851" s="40"/>
    </row>
    <row r="1852" spans="5:25" x14ac:dyDescent="0.35">
      <c r="E1852" t="s">
        <v>203</v>
      </c>
      <c r="F1852" t="s">
        <v>949</v>
      </c>
      <c r="G1852" s="28"/>
      <c r="X1852" s="40"/>
      <c r="Y1852" s="40"/>
    </row>
    <row r="1853" spans="5:25" x14ac:dyDescent="0.35">
      <c r="E1853" t="s">
        <v>203</v>
      </c>
      <c r="F1853" t="s">
        <v>694</v>
      </c>
      <c r="G1853" s="28"/>
      <c r="X1853" s="40"/>
      <c r="Y1853" s="40"/>
    </row>
    <row r="1854" spans="5:25" x14ac:dyDescent="0.35">
      <c r="E1854" t="s">
        <v>203</v>
      </c>
      <c r="F1854" t="s">
        <v>610</v>
      </c>
      <c r="G1854" s="28"/>
      <c r="X1854" s="40"/>
      <c r="Y1854" s="40"/>
    </row>
    <row r="1855" spans="5:25" x14ac:dyDescent="0.35">
      <c r="E1855" t="s">
        <v>203</v>
      </c>
      <c r="F1855" t="s">
        <v>1022</v>
      </c>
      <c r="G1855" s="28"/>
      <c r="X1855" s="40"/>
      <c r="Y1855" s="40"/>
    </row>
    <row r="1856" spans="5:25" x14ac:dyDescent="0.35">
      <c r="E1856" t="s">
        <v>203</v>
      </c>
      <c r="F1856" t="s">
        <v>1486</v>
      </c>
      <c r="G1856" s="28"/>
      <c r="X1856" s="40"/>
      <c r="Y1856" s="40"/>
    </row>
    <row r="1857" spans="5:25" x14ac:dyDescent="0.35">
      <c r="E1857" t="s">
        <v>203</v>
      </c>
      <c r="F1857" t="s">
        <v>1487</v>
      </c>
      <c r="G1857" s="28"/>
      <c r="X1857" s="40"/>
      <c r="Y1857" s="40"/>
    </row>
    <row r="1858" spans="5:25" x14ac:dyDescent="0.35">
      <c r="E1858" t="s">
        <v>203</v>
      </c>
      <c r="F1858" t="s">
        <v>1274</v>
      </c>
      <c r="G1858" s="28"/>
      <c r="X1858" s="40"/>
      <c r="Y1858" s="40"/>
    </row>
    <row r="1859" spans="5:25" x14ac:dyDescent="0.35">
      <c r="E1859" t="s">
        <v>203</v>
      </c>
      <c r="F1859" t="s">
        <v>1488</v>
      </c>
      <c r="G1859" s="28"/>
      <c r="X1859" s="40"/>
      <c r="Y1859" s="40"/>
    </row>
    <row r="1860" spans="5:25" x14ac:dyDescent="0.35">
      <c r="E1860" t="s">
        <v>203</v>
      </c>
      <c r="F1860" t="s">
        <v>421</v>
      </c>
      <c r="G1860" s="28"/>
      <c r="X1860" s="40"/>
      <c r="Y1860" s="40"/>
    </row>
    <row r="1861" spans="5:25" x14ac:dyDescent="0.35">
      <c r="E1861" t="s">
        <v>203</v>
      </c>
      <c r="F1861" t="s">
        <v>366</v>
      </c>
      <c r="G1861" s="28"/>
      <c r="X1861" s="40"/>
      <c r="Y1861" s="40"/>
    </row>
    <row r="1862" spans="5:25" x14ac:dyDescent="0.35">
      <c r="E1862" t="s">
        <v>203</v>
      </c>
      <c r="F1862" t="s">
        <v>424</v>
      </c>
      <c r="G1862" s="28"/>
      <c r="X1862" s="40"/>
      <c r="Y1862" s="40"/>
    </row>
    <row r="1863" spans="5:25" x14ac:dyDescent="0.35">
      <c r="E1863" t="s">
        <v>203</v>
      </c>
      <c r="F1863" t="s">
        <v>1489</v>
      </c>
      <c r="G1863" s="28"/>
      <c r="X1863" s="40"/>
      <c r="Y1863" s="40"/>
    </row>
    <row r="1864" spans="5:25" x14ac:dyDescent="0.35">
      <c r="E1864" t="s">
        <v>203</v>
      </c>
      <c r="F1864" t="s">
        <v>1490</v>
      </c>
      <c r="G1864" s="28"/>
      <c r="X1864" s="40"/>
      <c r="Y1864" s="40"/>
    </row>
    <row r="1865" spans="5:25" x14ac:dyDescent="0.35">
      <c r="E1865" t="s">
        <v>203</v>
      </c>
      <c r="F1865" t="s">
        <v>1491</v>
      </c>
      <c r="G1865" s="28"/>
      <c r="X1865" s="40"/>
      <c r="Y1865" s="40"/>
    </row>
    <row r="1866" spans="5:25" x14ac:dyDescent="0.35">
      <c r="E1866" t="s">
        <v>203</v>
      </c>
      <c r="F1866" t="s">
        <v>1492</v>
      </c>
      <c r="G1866" s="28"/>
      <c r="X1866" s="40"/>
      <c r="Y1866" s="40"/>
    </row>
    <row r="1867" spans="5:25" x14ac:dyDescent="0.35">
      <c r="E1867" t="s">
        <v>203</v>
      </c>
      <c r="F1867" t="s">
        <v>863</v>
      </c>
      <c r="G1867" s="28"/>
      <c r="X1867" s="40"/>
      <c r="Y1867" s="40"/>
    </row>
    <row r="1868" spans="5:25" x14ac:dyDescent="0.35">
      <c r="E1868" t="s">
        <v>203</v>
      </c>
      <c r="F1868" t="s">
        <v>1493</v>
      </c>
      <c r="G1868" s="28"/>
      <c r="X1868" s="40"/>
      <c r="Y1868" s="40"/>
    </row>
    <row r="1869" spans="5:25" x14ac:dyDescent="0.35">
      <c r="E1869" t="s">
        <v>203</v>
      </c>
      <c r="F1869" t="s">
        <v>426</v>
      </c>
      <c r="G1869" s="28"/>
      <c r="X1869" s="40"/>
      <c r="Y1869" s="40"/>
    </row>
    <row r="1870" spans="5:25" x14ac:dyDescent="0.35">
      <c r="E1870" t="s">
        <v>203</v>
      </c>
      <c r="F1870" t="s">
        <v>428</v>
      </c>
      <c r="G1870" s="28"/>
      <c r="X1870" s="40"/>
      <c r="Y1870" s="40"/>
    </row>
    <row r="1871" spans="5:25" x14ac:dyDescent="0.35">
      <c r="E1871" t="s">
        <v>203</v>
      </c>
      <c r="F1871" t="s">
        <v>1494</v>
      </c>
      <c r="G1871" s="28"/>
      <c r="X1871" s="40"/>
      <c r="Y1871" s="40"/>
    </row>
    <row r="1872" spans="5:25" x14ac:dyDescent="0.35">
      <c r="E1872" t="s">
        <v>203</v>
      </c>
      <c r="F1872" t="s">
        <v>374</v>
      </c>
      <c r="G1872" s="28"/>
      <c r="X1872" s="40"/>
      <c r="Y1872" s="40"/>
    </row>
    <row r="1873" spans="5:25" x14ac:dyDescent="0.35">
      <c r="E1873" t="s">
        <v>203</v>
      </c>
      <c r="F1873" t="s">
        <v>961</v>
      </c>
      <c r="G1873" s="28"/>
      <c r="X1873" s="40"/>
      <c r="Y1873" s="40"/>
    </row>
    <row r="1874" spans="5:25" x14ac:dyDescent="0.35">
      <c r="E1874" t="s">
        <v>203</v>
      </c>
      <c r="F1874" t="s">
        <v>1495</v>
      </c>
      <c r="G1874" s="28"/>
      <c r="X1874" s="40"/>
      <c r="Y1874" s="40"/>
    </row>
    <row r="1875" spans="5:25" x14ac:dyDescent="0.35">
      <c r="E1875" t="s">
        <v>203</v>
      </c>
      <c r="F1875" t="s">
        <v>1496</v>
      </c>
      <c r="G1875" s="28"/>
      <c r="X1875" s="40"/>
      <c r="Y1875" s="40"/>
    </row>
    <row r="1876" spans="5:25" x14ac:dyDescent="0.35">
      <c r="E1876" t="s">
        <v>203</v>
      </c>
      <c r="F1876" t="s">
        <v>1497</v>
      </c>
      <c r="G1876" s="28"/>
      <c r="X1876" s="40"/>
      <c r="Y1876" s="40"/>
    </row>
    <row r="1877" spans="5:25" x14ac:dyDescent="0.35">
      <c r="E1877" t="s">
        <v>203</v>
      </c>
      <c r="F1877" t="s">
        <v>965</v>
      </c>
      <c r="G1877" s="28"/>
      <c r="X1877" s="40"/>
      <c r="Y1877" s="40"/>
    </row>
    <row r="1878" spans="5:25" x14ac:dyDescent="0.35">
      <c r="E1878" t="s">
        <v>203</v>
      </c>
      <c r="F1878" t="s">
        <v>1498</v>
      </c>
      <c r="G1878" s="28"/>
      <c r="X1878" s="40"/>
      <c r="Y1878" s="40"/>
    </row>
    <row r="1879" spans="5:25" x14ac:dyDescent="0.35">
      <c r="E1879" t="s">
        <v>203</v>
      </c>
      <c r="F1879" t="s">
        <v>1499</v>
      </c>
      <c r="G1879" s="28"/>
      <c r="X1879" s="40"/>
      <c r="Y1879" s="40"/>
    </row>
    <row r="1880" spans="5:25" x14ac:dyDescent="0.35">
      <c r="E1880" t="s">
        <v>203</v>
      </c>
      <c r="F1880" t="s">
        <v>972</v>
      </c>
      <c r="G1880" s="28"/>
      <c r="X1880" s="40"/>
      <c r="Y1880" s="40"/>
    </row>
    <row r="1881" spans="5:25" x14ac:dyDescent="0.35">
      <c r="E1881" t="s">
        <v>203</v>
      </c>
      <c r="F1881" t="s">
        <v>1500</v>
      </c>
      <c r="G1881" s="28"/>
      <c r="X1881" s="40"/>
      <c r="Y1881" s="40"/>
    </row>
    <row r="1882" spans="5:25" x14ac:dyDescent="0.35">
      <c r="E1882" t="s">
        <v>203</v>
      </c>
      <c r="F1882" t="s">
        <v>1286</v>
      </c>
      <c r="G1882" s="28"/>
      <c r="X1882" s="40"/>
      <c r="Y1882" s="40"/>
    </row>
    <row r="1883" spans="5:25" x14ac:dyDescent="0.35">
      <c r="E1883" t="s">
        <v>203</v>
      </c>
      <c r="F1883" t="s">
        <v>719</v>
      </c>
      <c r="G1883" s="28"/>
      <c r="X1883" s="40"/>
      <c r="Y1883" s="40"/>
    </row>
    <row r="1884" spans="5:25" x14ac:dyDescent="0.35">
      <c r="E1884" t="s">
        <v>203</v>
      </c>
      <c r="F1884" t="s">
        <v>1287</v>
      </c>
      <c r="G1884" s="28"/>
      <c r="X1884" s="40"/>
      <c r="Y1884" s="40"/>
    </row>
    <row r="1885" spans="5:25" x14ac:dyDescent="0.35">
      <c r="E1885" t="s">
        <v>203</v>
      </c>
      <c r="F1885" t="s">
        <v>437</v>
      </c>
      <c r="G1885" s="28"/>
      <c r="X1885" s="40"/>
      <c r="Y1885" s="40"/>
    </row>
    <row r="1886" spans="5:25" x14ac:dyDescent="0.35">
      <c r="E1886" t="s">
        <v>203</v>
      </c>
      <c r="F1886" t="s">
        <v>1501</v>
      </c>
      <c r="G1886" s="28"/>
      <c r="X1886" s="40"/>
      <c r="Y1886" s="40"/>
    </row>
    <row r="1887" spans="5:25" x14ac:dyDescent="0.35">
      <c r="E1887" t="s">
        <v>203</v>
      </c>
      <c r="F1887" t="s">
        <v>1502</v>
      </c>
      <c r="G1887" s="28"/>
      <c r="X1887" s="40"/>
      <c r="Y1887" s="40"/>
    </row>
    <row r="1888" spans="5:25" x14ac:dyDescent="0.35">
      <c r="E1888" t="s">
        <v>203</v>
      </c>
      <c r="F1888" t="s">
        <v>1244</v>
      </c>
      <c r="G1888" s="28"/>
      <c r="X1888" s="40"/>
      <c r="Y1888" s="40"/>
    </row>
    <row r="1889" spans="5:25" x14ac:dyDescent="0.35">
      <c r="E1889" t="s">
        <v>203</v>
      </c>
      <c r="F1889" t="s">
        <v>442</v>
      </c>
      <c r="G1889" s="28"/>
      <c r="X1889" s="40"/>
      <c r="Y1889" s="40"/>
    </row>
    <row r="1890" spans="5:25" x14ac:dyDescent="0.35">
      <c r="E1890" t="s">
        <v>203</v>
      </c>
      <c r="F1890" t="s">
        <v>1503</v>
      </c>
      <c r="G1890" s="28"/>
      <c r="X1890" s="40"/>
      <c r="Y1890" s="40"/>
    </row>
    <row r="1891" spans="5:25" x14ac:dyDescent="0.35">
      <c r="E1891" t="s">
        <v>203</v>
      </c>
      <c r="F1891" t="s">
        <v>1504</v>
      </c>
      <c r="G1891" s="28"/>
      <c r="X1891" s="40"/>
      <c r="Y1891" s="40"/>
    </row>
    <row r="1892" spans="5:25" x14ac:dyDescent="0.35">
      <c r="E1892" t="s">
        <v>203</v>
      </c>
      <c r="F1892" t="s">
        <v>1505</v>
      </c>
      <c r="G1892" s="28"/>
      <c r="X1892" s="40"/>
      <c r="Y1892" s="40"/>
    </row>
    <row r="1893" spans="5:25" x14ac:dyDescent="0.35">
      <c r="E1893" t="s">
        <v>203</v>
      </c>
      <c r="F1893" t="s">
        <v>981</v>
      </c>
      <c r="G1893" s="28"/>
      <c r="X1893" s="40"/>
      <c r="Y1893" s="40"/>
    </row>
    <row r="1894" spans="5:25" x14ac:dyDescent="0.35">
      <c r="E1894" t="s">
        <v>203</v>
      </c>
      <c r="F1894" t="s">
        <v>983</v>
      </c>
      <c r="G1894" s="28"/>
      <c r="X1894" s="40"/>
      <c r="Y1894" s="40"/>
    </row>
    <row r="1895" spans="5:25" x14ac:dyDescent="0.35">
      <c r="E1895" t="s">
        <v>203</v>
      </c>
      <c r="F1895" t="s">
        <v>984</v>
      </c>
      <c r="G1895" s="28"/>
      <c r="X1895" s="40"/>
      <c r="Y1895" s="40"/>
    </row>
    <row r="1896" spans="5:25" x14ac:dyDescent="0.35">
      <c r="E1896" t="s">
        <v>203</v>
      </c>
      <c r="F1896" t="s">
        <v>801</v>
      </c>
      <c r="G1896" s="28"/>
      <c r="X1896" s="40"/>
      <c r="Y1896" s="40"/>
    </row>
    <row r="1897" spans="5:25" x14ac:dyDescent="0.35">
      <c r="E1897" t="s">
        <v>203</v>
      </c>
      <c r="F1897" t="s">
        <v>987</v>
      </c>
      <c r="G1897" s="28"/>
      <c r="X1897" s="40"/>
      <c r="Y1897" s="40"/>
    </row>
    <row r="1898" spans="5:25" x14ac:dyDescent="0.35">
      <c r="E1898" t="s">
        <v>203</v>
      </c>
      <c r="F1898" t="s">
        <v>1506</v>
      </c>
      <c r="G1898" s="28"/>
      <c r="X1898" s="40"/>
      <c r="Y1898" s="40"/>
    </row>
    <row r="1899" spans="5:25" x14ac:dyDescent="0.35">
      <c r="E1899" t="s">
        <v>203</v>
      </c>
      <c r="F1899" t="s">
        <v>734</v>
      </c>
      <c r="G1899" s="28"/>
      <c r="X1899" s="40"/>
      <c r="Y1899" s="40"/>
    </row>
    <row r="1900" spans="5:25" x14ac:dyDescent="0.35">
      <c r="E1900" t="s">
        <v>203</v>
      </c>
      <c r="F1900" t="s">
        <v>1507</v>
      </c>
      <c r="G1900" s="28"/>
      <c r="X1900" s="40"/>
      <c r="Y1900" s="40"/>
    </row>
    <row r="1901" spans="5:25" x14ac:dyDescent="0.35">
      <c r="E1901" t="s">
        <v>203</v>
      </c>
      <c r="F1901" t="s">
        <v>841</v>
      </c>
      <c r="G1901" s="28"/>
      <c r="X1901" s="40"/>
      <c r="Y1901" s="40"/>
    </row>
    <row r="1902" spans="5:25" x14ac:dyDescent="0.35">
      <c r="E1902" t="s">
        <v>203</v>
      </c>
      <c r="F1902" t="s">
        <v>394</v>
      </c>
      <c r="G1902" s="28"/>
      <c r="X1902" s="40"/>
      <c r="Y1902" s="40"/>
    </row>
    <row r="1903" spans="5:25" x14ac:dyDescent="0.35">
      <c r="E1903" t="s">
        <v>203</v>
      </c>
      <c r="F1903" t="s">
        <v>745</v>
      </c>
      <c r="G1903" s="28"/>
      <c r="X1903" s="40"/>
      <c r="Y1903" s="40"/>
    </row>
    <row r="1904" spans="5:25" x14ac:dyDescent="0.35">
      <c r="E1904" t="s">
        <v>203</v>
      </c>
      <c r="F1904" t="s">
        <v>746</v>
      </c>
      <c r="G1904" s="28"/>
      <c r="X1904" s="40"/>
      <c r="Y1904" s="40"/>
    </row>
    <row r="1905" spans="5:25" x14ac:dyDescent="0.35">
      <c r="E1905" t="s">
        <v>203</v>
      </c>
      <c r="F1905" t="s">
        <v>747</v>
      </c>
      <c r="G1905" s="28"/>
      <c r="X1905" s="40"/>
      <c r="Y1905" s="40"/>
    </row>
    <row r="1906" spans="5:25" x14ac:dyDescent="0.35">
      <c r="E1906" t="s">
        <v>203</v>
      </c>
      <c r="F1906" t="s">
        <v>1134</v>
      </c>
      <c r="G1906" s="28"/>
      <c r="X1906" s="40"/>
      <c r="Y1906" s="40"/>
    </row>
    <row r="1907" spans="5:25" x14ac:dyDescent="0.35">
      <c r="E1907" t="s">
        <v>204</v>
      </c>
      <c r="F1907" t="s">
        <v>1508</v>
      </c>
      <c r="G1907" s="28"/>
      <c r="X1907" s="40"/>
      <c r="Y1907" s="40"/>
    </row>
    <row r="1908" spans="5:25" x14ac:dyDescent="0.35">
      <c r="E1908" t="s">
        <v>204</v>
      </c>
      <c r="F1908" t="s">
        <v>403</v>
      </c>
      <c r="G1908" s="28"/>
      <c r="X1908" s="40"/>
      <c r="Y1908" s="40"/>
    </row>
    <row r="1909" spans="5:25" x14ac:dyDescent="0.35">
      <c r="E1909" t="s">
        <v>204</v>
      </c>
      <c r="F1909" t="s">
        <v>1509</v>
      </c>
      <c r="G1909" s="28"/>
      <c r="X1909" s="40"/>
      <c r="Y1909" s="40"/>
    </row>
    <row r="1910" spans="5:25" x14ac:dyDescent="0.35">
      <c r="E1910" t="s">
        <v>204</v>
      </c>
      <c r="F1910" t="s">
        <v>1510</v>
      </c>
      <c r="G1910" s="28"/>
      <c r="X1910" s="40"/>
      <c r="Y1910" s="40"/>
    </row>
    <row r="1911" spans="5:25" x14ac:dyDescent="0.35">
      <c r="E1911" t="s">
        <v>204</v>
      </c>
      <c r="F1911" t="s">
        <v>1511</v>
      </c>
      <c r="G1911" s="28"/>
      <c r="X1911" s="40"/>
      <c r="Y1911" s="40"/>
    </row>
    <row r="1912" spans="5:25" x14ac:dyDescent="0.35">
      <c r="E1912" t="s">
        <v>204</v>
      </c>
      <c r="F1912" t="s">
        <v>615</v>
      </c>
      <c r="G1912" s="28"/>
      <c r="X1912" s="40"/>
      <c r="Y1912" s="40"/>
    </row>
    <row r="1913" spans="5:25" x14ac:dyDescent="0.35">
      <c r="E1913" t="s">
        <v>204</v>
      </c>
      <c r="F1913" t="s">
        <v>1512</v>
      </c>
      <c r="G1913" s="28"/>
      <c r="X1913" s="40"/>
      <c r="Y1913" s="40"/>
    </row>
    <row r="1914" spans="5:25" x14ac:dyDescent="0.35">
      <c r="E1914" t="s">
        <v>204</v>
      </c>
      <c r="F1914" t="s">
        <v>1422</v>
      </c>
      <c r="G1914" s="28"/>
      <c r="X1914" s="40"/>
      <c r="Y1914" s="40"/>
    </row>
    <row r="1915" spans="5:25" x14ac:dyDescent="0.35">
      <c r="E1915" t="s">
        <v>204</v>
      </c>
      <c r="F1915" t="s">
        <v>1513</v>
      </c>
      <c r="G1915" s="28"/>
      <c r="X1915" s="40"/>
      <c r="Y1915" s="40"/>
    </row>
    <row r="1916" spans="5:25" x14ac:dyDescent="0.35">
      <c r="E1916" t="s">
        <v>204</v>
      </c>
      <c r="F1916" t="s">
        <v>920</v>
      </c>
      <c r="G1916" s="28"/>
      <c r="X1916" s="40"/>
      <c r="Y1916" s="40"/>
    </row>
    <row r="1917" spans="5:25" x14ac:dyDescent="0.35">
      <c r="E1917" t="s">
        <v>205</v>
      </c>
      <c r="F1917" t="s">
        <v>1514</v>
      </c>
      <c r="G1917" s="28"/>
      <c r="X1917" s="40"/>
      <c r="Y1917" s="40"/>
    </row>
    <row r="1918" spans="5:25" x14ac:dyDescent="0.35">
      <c r="E1918" t="s">
        <v>205</v>
      </c>
      <c r="F1918" t="s">
        <v>1515</v>
      </c>
      <c r="G1918" s="28"/>
      <c r="X1918" s="40"/>
      <c r="Y1918" s="40"/>
    </row>
    <row r="1919" spans="5:25" x14ac:dyDescent="0.35">
      <c r="E1919" t="s">
        <v>205</v>
      </c>
      <c r="F1919" t="s">
        <v>1516</v>
      </c>
      <c r="G1919" s="28"/>
      <c r="X1919" s="40"/>
      <c r="Y1919" s="40"/>
    </row>
    <row r="1920" spans="5:25" x14ac:dyDescent="0.35">
      <c r="E1920" t="s">
        <v>205</v>
      </c>
      <c r="F1920" t="s">
        <v>658</v>
      </c>
      <c r="G1920" s="28"/>
      <c r="X1920" s="40"/>
      <c r="Y1920" s="40"/>
    </row>
    <row r="1921" spans="5:25" x14ac:dyDescent="0.35">
      <c r="E1921" t="s">
        <v>205</v>
      </c>
      <c r="F1921" t="s">
        <v>1517</v>
      </c>
      <c r="G1921" s="28"/>
      <c r="X1921" s="40"/>
      <c r="Y1921" s="40"/>
    </row>
    <row r="1922" spans="5:25" x14ac:dyDescent="0.35">
      <c r="E1922" t="s">
        <v>205</v>
      </c>
      <c r="F1922" t="s">
        <v>849</v>
      </c>
      <c r="G1922" s="28"/>
      <c r="X1922" s="40"/>
      <c r="Y1922" s="40"/>
    </row>
    <row r="1923" spans="5:25" x14ac:dyDescent="0.35">
      <c r="E1923" t="s">
        <v>205</v>
      </c>
      <c r="F1923" t="s">
        <v>1102</v>
      </c>
      <c r="G1923" s="28"/>
      <c r="X1923" s="40"/>
      <c r="Y1923" s="40"/>
    </row>
    <row r="1924" spans="5:25" x14ac:dyDescent="0.35">
      <c r="E1924" t="s">
        <v>205</v>
      </c>
      <c r="F1924" t="s">
        <v>1518</v>
      </c>
      <c r="G1924" s="28"/>
      <c r="X1924" s="40"/>
      <c r="Y1924" s="40"/>
    </row>
    <row r="1925" spans="5:25" x14ac:dyDescent="0.35">
      <c r="E1925" t="s">
        <v>205</v>
      </c>
      <c r="F1925" t="s">
        <v>1519</v>
      </c>
      <c r="G1925" s="28"/>
      <c r="X1925" s="40"/>
      <c r="Y1925" s="40"/>
    </row>
    <row r="1926" spans="5:25" x14ac:dyDescent="0.35">
      <c r="E1926" t="s">
        <v>205</v>
      </c>
      <c r="F1926" t="s">
        <v>1520</v>
      </c>
      <c r="G1926" s="28"/>
      <c r="X1926" s="40"/>
      <c r="Y1926" s="40"/>
    </row>
    <row r="1927" spans="5:25" x14ac:dyDescent="0.35">
      <c r="E1927" t="s">
        <v>205</v>
      </c>
      <c r="F1927" t="s">
        <v>873</v>
      </c>
      <c r="G1927" s="28"/>
      <c r="X1927" s="40"/>
      <c r="Y1927" s="40"/>
    </row>
    <row r="1928" spans="5:25" x14ac:dyDescent="0.35">
      <c r="E1928" t="s">
        <v>205</v>
      </c>
      <c r="F1928" t="s">
        <v>584</v>
      </c>
      <c r="G1928" s="28"/>
      <c r="X1928" s="40"/>
      <c r="Y1928" s="40"/>
    </row>
    <row r="1929" spans="5:25" x14ac:dyDescent="0.35">
      <c r="E1929" t="s">
        <v>205</v>
      </c>
      <c r="F1929" t="s">
        <v>1521</v>
      </c>
      <c r="G1929" s="28"/>
      <c r="X1929" s="40"/>
      <c r="Y1929" s="40"/>
    </row>
    <row r="1930" spans="5:25" x14ac:dyDescent="0.35">
      <c r="E1930" t="s">
        <v>205</v>
      </c>
      <c r="F1930" t="s">
        <v>963</v>
      </c>
      <c r="G1930" s="28"/>
      <c r="X1930" s="40"/>
      <c r="Y1930" s="40"/>
    </row>
    <row r="1931" spans="5:25" x14ac:dyDescent="0.35">
      <c r="E1931" t="s">
        <v>205</v>
      </c>
      <c r="F1931" t="s">
        <v>1522</v>
      </c>
      <c r="G1931" s="28"/>
      <c r="X1931" s="40"/>
      <c r="Y1931" s="40"/>
    </row>
    <row r="1932" spans="5:25" x14ac:dyDescent="0.35">
      <c r="E1932" t="s">
        <v>205</v>
      </c>
      <c r="F1932" t="s">
        <v>1523</v>
      </c>
      <c r="G1932" s="28"/>
      <c r="X1932" s="40"/>
      <c r="Y1932" s="40"/>
    </row>
    <row r="1933" spans="5:25" x14ac:dyDescent="0.35">
      <c r="E1933" t="s">
        <v>205</v>
      </c>
      <c r="F1933" t="s">
        <v>1524</v>
      </c>
      <c r="G1933" s="28"/>
      <c r="X1933" s="40"/>
      <c r="Y1933" s="40"/>
    </row>
    <row r="1934" spans="5:25" x14ac:dyDescent="0.35">
      <c r="E1934" t="s">
        <v>205</v>
      </c>
      <c r="F1934" t="s">
        <v>1124</v>
      </c>
      <c r="G1934" s="28"/>
      <c r="X1934" s="40"/>
      <c r="Y1934" s="40"/>
    </row>
    <row r="1935" spans="5:25" x14ac:dyDescent="0.35">
      <c r="E1935" t="s">
        <v>205</v>
      </c>
      <c r="F1935" t="s">
        <v>592</v>
      </c>
      <c r="G1935" s="28"/>
      <c r="X1935" s="40"/>
      <c r="Y1935" s="40"/>
    </row>
    <row r="1936" spans="5:25" x14ac:dyDescent="0.35">
      <c r="E1936" t="s">
        <v>205</v>
      </c>
      <c r="F1936" t="s">
        <v>449</v>
      </c>
      <c r="G1936" s="28"/>
      <c r="X1936" s="40"/>
      <c r="Y1936" s="40"/>
    </row>
    <row r="1937" spans="5:25" x14ac:dyDescent="0.35">
      <c r="E1937" t="s">
        <v>205</v>
      </c>
      <c r="F1937" t="s">
        <v>744</v>
      </c>
      <c r="G1937" s="28"/>
      <c r="X1937" s="40"/>
      <c r="Y1937" s="40"/>
    </row>
    <row r="1938" spans="5:25" x14ac:dyDescent="0.35">
      <c r="E1938" t="s">
        <v>206</v>
      </c>
      <c r="F1938" t="s">
        <v>1525</v>
      </c>
      <c r="G1938" s="28"/>
      <c r="X1938" s="40"/>
      <c r="Y1938" s="40"/>
    </row>
    <row r="1939" spans="5:25" x14ac:dyDescent="0.35">
      <c r="E1939" t="s">
        <v>206</v>
      </c>
      <c r="F1939" t="s">
        <v>1526</v>
      </c>
      <c r="G1939" s="28"/>
      <c r="X1939" s="40"/>
      <c r="Y1939" s="40"/>
    </row>
    <row r="1940" spans="5:25" x14ac:dyDescent="0.35">
      <c r="E1940" t="s">
        <v>206</v>
      </c>
      <c r="F1940" t="s">
        <v>1527</v>
      </c>
      <c r="G1940" s="28"/>
      <c r="X1940" s="40"/>
      <c r="Y1940" s="40"/>
    </row>
    <row r="1941" spans="5:25" x14ac:dyDescent="0.35">
      <c r="E1941" t="s">
        <v>206</v>
      </c>
      <c r="F1941" t="s">
        <v>1528</v>
      </c>
      <c r="G1941" s="28"/>
      <c r="X1941" s="40"/>
      <c r="Y1941" s="40"/>
    </row>
    <row r="1942" spans="5:25" x14ac:dyDescent="0.35">
      <c r="E1942" t="s">
        <v>206</v>
      </c>
      <c r="F1942" t="s">
        <v>1475</v>
      </c>
      <c r="G1942" s="28"/>
      <c r="X1942" s="40"/>
      <c r="Y1942" s="40"/>
    </row>
    <row r="1943" spans="5:25" x14ac:dyDescent="0.35">
      <c r="E1943" t="s">
        <v>206</v>
      </c>
      <c r="F1943" t="s">
        <v>1529</v>
      </c>
      <c r="G1943" s="28"/>
      <c r="X1943" s="40"/>
      <c r="Y1943" s="40"/>
    </row>
    <row r="1944" spans="5:25" x14ac:dyDescent="0.35">
      <c r="E1944" t="s">
        <v>206</v>
      </c>
      <c r="F1944" t="s">
        <v>1530</v>
      </c>
      <c r="G1944" s="28"/>
      <c r="X1944" s="40"/>
      <c r="Y1944" s="40"/>
    </row>
    <row r="1945" spans="5:25" x14ac:dyDescent="0.35">
      <c r="E1945" t="s">
        <v>206</v>
      </c>
      <c r="F1945" t="s">
        <v>1531</v>
      </c>
      <c r="G1945" s="28"/>
      <c r="X1945" s="40"/>
      <c r="Y1945" s="40"/>
    </row>
    <row r="1946" spans="5:25" x14ac:dyDescent="0.35">
      <c r="E1946" t="s">
        <v>206</v>
      </c>
      <c r="F1946" t="s">
        <v>1446</v>
      </c>
      <c r="G1946" s="28"/>
      <c r="X1946" s="40"/>
      <c r="Y1946" s="40"/>
    </row>
    <row r="1947" spans="5:25" x14ac:dyDescent="0.35">
      <c r="E1947" t="s">
        <v>206</v>
      </c>
      <c r="F1947" t="s">
        <v>418</v>
      </c>
      <c r="G1947" s="28"/>
      <c r="X1947" s="40"/>
      <c r="Y1947" s="40"/>
    </row>
    <row r="1948" spans="5:25" x14ac:dyDescent="0.35">
      <c r="E1948" t="s">
        <v>206</v>
      </c>
      <c r="F1948" t="s">
        <v>1532</v>
      </c>
      <c r="G1948" s="28"/>
      <c r="X1948" s="40"/>
      <c r="Y1948" s="40"/>
    </row>
    <row r="1949" spans="5:25" x14ac:dyDescent="0.35">
      <c r="E1949" t="s">
        <v>206</v>
      </c>
      <c r="F1949" t="s">
        <v>1533</v>
      </c>
      <c r="G1949" s="28"/>
      <c r="X1949" s="40"/>
      <c r="Y1949" s="40"/>
    </row>
    <row r="1950" spans="5:25" x14ac:dyDescent="0.35">
      <c r="E1950" t="s">
        <v>206</v>
      </c>
      <c r="F1950" t="s">
        <v>1534</v>
      </c>
      <c r="G1950" s="28"/>
      <c r="X1950" s="40"/>
      <c r="Y1950" s="40"/>
    </row>
    <row r="1951" spans="5:25" x14ac:dyDescent="0.35">
      <c r="E1951" t="s">
        <v>206</v>
      </c>
      <c r="F1951" t="s">
        <v>1535</v>
      </c>
      <c r="G1951" s="28"/>
      <c r="X1951" s="40"/>
      <c r="Y1951" s="40"/>
    </row>
    <row r="1952" spans="5:25" x14ac:dyDescent="0.35">
      <c r="E1952" t="s">
        <v>206</v>
      </c>
      <c r="F1952" t="s">
        <v>426</v>
      </c>
      <c r="G1952" s="28"/>
      <c r="X1952" s="40"/>
      <c r="Y1952" s="40"/>
    </row>
    <row r="1953" spans="5:25" x14ac:dyDescent="0.35">
      <c r="E1953" t="s">
        <v>206</v>
      </c>
      <c r="F1953" t="s">
        <v>1536</v>
      </c>
      <c r="G1953" s="28"/>
      <c r="X1953" s="40"/>
      <c r="Y1953" s="40"/>
    </row>
    <row r="1954" spans="5:25" x14ac:dyDescent="0.35">
      <c r="E1954" t="s">
        <v>206</v>
      </c>
      <c r="F1954" t="s">
        <v>1537</v>
      </c>
      <c r="G1954" s="28"/>
      <c r="X1954" s="40"/>
      <c r="Y1954" s="40"/>
    </row>
    <row r="1955" spans="5:25" x14ac:dyDescent="0.35">
      <c r="E1955" t="s">
        <v>206</v>
      </c>
      <c r="F1955" t="s">
        <v>1538</v>
      </c>
      <c r="G1955" s="28"/>
      <c r="X1955" s="40"/>
      <c r="Y1955" s="40"/>
    </row>
    <row r="1956" spans="5:25" x14ac:dyDescent="0.35">
      <c r="E1956" t="s">
        <v>206</v>
      </c>
      <c r="F1956" t="s">
        <v>1539</v>
      </c>
      <c r="G1956" s="28"/>
      <c r="X1956" s="40"/>
      <c r="Y1956" s="40"/>
    </row>
    <row r="1957" spans="5:25" x14ac:dyDescent="0.35">
      <c r="E1957" t="s">
        <v>206</v>
      </c>
      <c r="F1957" t="s">
        <v>565</v>
      </c>
      <c r="G1957" s="28"/>
      <c r="X1957" s="40"/>
      <c r="Y1957" s="40"/>
    </row>
    <row r="1958" spans="5:25" x14ac:dyDescent="0.35">
      <c r="E1958" t="s">
        <v>206</v>
      </c>
      <c r="F1958" t="s">
        <v>1540</v>
      </c>
      <c r="G1958" s="28"/>
      <c r="X1958" s="40"/>
      <c r="Y1958" s="40"/>
    </row>
    <row r="1959" spans="5:25" x14ac:dyDescent="0.35">
      <c r="E1959" t="s">
        <v>206</v>
      </c>
      <c r="F1959" t="s">
        <v>1541</v>
      </c>
      <c r="G1959" s="28"/>
      <c r="X1959" s="40"/>
      <c r="Y1959" s="40"/>
    </row>
    <row r="1960" spans="5:25" x14ac:dyDescent="0.35">
      <c r="E1960" t="s">
        <v>206</v>
      </c>
      <c r="F1960" t="s">
        <v>1360</v>
      </c>
      <c r="G1960" s="28"/>
      <c r="X1960" s="40"/>
      <c r="Y1960" s="40"/>
    </row>
    <row r="1961" spans="5:25" x14ac:dyDescent="0.35">
      <c r="E1961" t="s">
        <v>206</v>
      </c>
      <c r="F1961" t="s">
        <v>575</v>
      </c>
      <c r="G1961" s="28"/>
      <c r="X1961" s="40"/>
      <c r="Y1961" s="40"/>
    </row>
    <row r="1962" spans="5:25" x14ac:dyDescent="0.35">
      <c r="E1962" t="s">
        <v>206</v>
      </c>
      <c r="F1962" t="s">
        <v>576</v>
      </c>
      <c r="G1962" s="28"/>
      <c r="X1962" s="40"/>
      <c r="Y1962" s="40"/>
    </row>
    <row r="1963" spans="5:25" x14ac:dyDescent="0.35">
      <c r="E1963" t="s">
        <v>206</v>
      </c>
      <c r="F1963" t="s">
        <v>1542</v>
      </c>
      <c r="G1963" s="28"/>
      <c r="X1963" s="40"/>
      <c r="Y1963" s="40"/>
    </row>
    <row r="1964" spans="5:25" x14ac:dyDescent="0.35">
      <c r="E1964" t="s">
        <v>206</v>
      </c>
      <c r="F1964" t="s">
        <v>1543</v>
      </c>
      <c r="G1964" s="28"/>
      <c r="X1964" s="40"/>
      <c r="Y1964" s="40"/>
    </row>
    <row r="1965" spans="5:25" x14ac:dyDescent="0.35">
      <c r="E1965" t="s">
        <v>206</v>
      </c>
      <c r="F1965" t="s">
        <v>513</v>
      </c>
      <c r="G1965" s="28"/>
      <c r="X1965" s="40"/>
      <c r="Y1965" s="40"/>
    </row>
    <row r="1966" spans="5:25" x14ac:dyDescent="0.35">
      <c r="E1966" t="s">
        <v>206</v>
      </c>
      <c r="F1966" t="s">
        <v>1544</v>
      </c>
      <c r="G1966" s="28"/>
      <c r="X1966" s="40"/>
      <c r="Y1966" s="40"/>
    </row>
    <row r="1967" spans="5:25" x14ac:dyDescent="0.35">
      <c r="E1967" t="s">
        <v>206</v>
      </c>
      <c r="F1967" t="s">
        <v>1545</v>
      </c>
      <c r="G1967" s="28"/>
      <c r="X1967" s="40"/>
      <c r="Y1967" s="40"/>
    </row>
    <row r="1968" spans="5:25" x14ac:dyDescent="0.35">
      <c r="E1968" t="s">
        <v>206</v>
      </c>
      <c r="F1968" t="s">
        <v>1546</v>
      </c>
      <c r="G1968" s="28"/>
      <c r="X1968" s="40"/>
      <c r="Y1968" s="40"/>
    </row>
    <row r="1969" spans="5:25" x14ac:dyDescent="0.35">
      <c r="E1969" t="s">
        <v>206</v>
      </c>
      <c r="F1969" t="s">
        <v>449</v>
      </c>
      <c r="G1969" s="28"/>
      <c r="X1969" s="40"/>
      <c r="Y1969" s="40"/>
    </row>
    <row r="1970" spans="5:25" x14ac:dyDescent="0.35">
      <c r="E1970" t="s">
        <v>206</v>
      </c>
      <c r="F1970" t="s">
        <v>1547</v>
      </c>
      <c r="G1970" s="28"/>
      <c r="X1970" s="40"/>
      <c r="Y1970" s="40"/>
    </row>
    <row r="1971" spans="5:25" x14ac:dyDescent="0.35">
      <c r="E1971" t="s">
        <v>207</v>
      </c>
      <c r="F1971" t="s">
        <v>1548</v>
      </c>
      <c r="G1971" s="28"/>
      <c r="X1971" s="40"/>
      <c r="Y1971" s="40"/>
    </row>
    <row r="1972" spans="5:25" x14ac:dyDescent="0.35">
      <c r="E1972" t="s">
        <v>207</v>
      </c>
      <c r="F1972" t="s">
        <v>1549</v>
      </c>
      <c r="G1972" s="28"/>
      <c r="X1972" s="40"/>
      <c r="Y1972" s="40"/>
    </row>
    <row r="1973" spans="5:25" x14ac:dyDescent="0.35">
      <c r="E1973" t="s">
        <v>207</v>
      </c>
      <c r="F1973" t="s">
        <v>405</v>
      </c>
      <c r="G1973" s="28"/>
      <c r="X1973" s="40"/>
      <c r="Y1973" s="40"/>
    </row>
    <row r="1974" spans="5:25" x14ac:dyDescent="0.35">
      <c r="E1974" t="s">
        <v>207</v>
      </c>
      <c r="F1974" t="s">
        <v>544</v>
      </c>
      <c r="G1974" s="28"/>
      <c r="X1974" s="40"/>
      <c r="Y1974" s="40"/>
    </row>
    <row r="1975" spans="5:25" x14ac:dyDescent="0.35">
      <c r="E1975" t="s">
        <v>207</v>
      </c>
      <c r="F1975" t="s">
        <v>1550</v>
      </c>
      <c r="G1975" s="28"/>
      <c r="X1975" s="40"/>
      <c r="Y1975" s="40"/>
    </row>
    <row r="1976" spans="5:25" x14ac:dyDescent="0.35">
      <c r="E1976" t="s">
        <v>207</v>
      </c>
      <c r="F1976" t="s">
        <v>1551</v>
      </c>
      <c r="G1976" s="28"/>
      <c r="X1976" s="40"/>
      <c r="Y1976" s="40"/>
    </row>
    <row r="1977" spans="5:25" x14ac:dyDescent="0.35">
      <c r="E1977" t="s">
        <v>207</v>
      </c>
      <c r="F1977" t="s">
        <v>1552</v>
      </c>
      <c r="G1977" s="28"/>
      <c r="X1977" s="40"/>
      <c r="Y1977" s="40"/>
    </row>
    <row r="1978" spans="5:25" x14ac:dyDescent="0.35">
      <c r="E1978" t="s">
        <v>207</v>
      </c>
      <c r="F1978" t="s">
        <v>481</v>
      </c>
      <c r="G1978" s="28"/>
      <c r="X1978" s="40"/>
      <c r="Y1978" s="40"/>
    </row>
    <row r="1979" spans="5:25" x14ac:dyDescent="0.35">
      <c r="E1979" t="s">
        <v>207</v>
      </c>
      <c r="F1979" t="s">
        <v>1553</v>
      </c>
      <c r="G1979" s="28"/>
      <c r="X1979" s="40"/>
      <c r="Y1979" s="40"/>
    </row>
    <row r="1980" spans="5:25" x14ac:dyDescent="0.35">
      <c r="E1980" t="s">
        <v>207</v>
      </c>
      <c r="F1980" t="s">
        <v>426</v>
      </c>
      <c r="G1980" s="28"/>
      <c r="X1980" s="40"/>
      <c r="Y1980" s="40"/>
    </row>
    <row r="1981" spans="5:25" x14ac:dyDescent="0.35">
      <c r="E1981" t="s">
        <v>207</v>
      </c>
      <c r="F1981" t="s">
        <v>787</v>
      </c>
      <c r="G1981" s="28"/>
      <c r="X1981" s="40"/>
      <c r="Y1981" s="40"/>
    </row>
    <row r="1982" spans="5:25" x14ac:dyDescent="0.35">
      <c r="E1982" t="s">
        <v>207</v>
      </c>
      <c r="F1982" t="s">
        <v>561</v>
      </c>
      <c r="G1982" s="28"/>
      <c r="X1982" s="40"/>
      <c r="Y1982" s="40"/>
    </row>
    <row r="1983" spans="5:25" x14ac:dyDescent="0.35">
      <c r="E1983" t="s">
        <v>207</v>
      </c>
      <c r="F1983" t="s">
        <v>1554</v>
      </c>
      <c r="G1983" s="28"/>
      <c r="X1983" s="40"/>
      <c r="Y1983" s="40"/>
    </row>
    <row r="1984" spans="5:25" x14ac:dyDescent="0.35">
      <c r="E1984" t="s">
        <v>207</v>
      </c>
      <c r="F1984" t="s">
        <v>1555</v>
      </c>
      <c r="G1984" s="28"/>
      <c r="X1984" s="40"/>
      <c r="Y1984" s="40"/>
    </row>
    <row r="1985" spans="5:25" x14ac:dyDescent="0.35">
      <c r="E1985" t="s">
        <v>207</v>
      </c>
      <c r="F1985" t="s">
        <v>1556</v>
      </c>
      <c r="G1985" s="28"/>
      <c r="X1985" s="40"/>
      <c r="Y1985" s="40"/>
    </row>
    <row r="1986" spans="5:25" x14ac:dyDescent="0.35">
      <c r="E1986" t="s">
        <v>207</v>
      </c>
      <c r="F1986" t="s">
        <v>1557</v>
      </c>
      <c r="G1986" s="28"/>
      <c r="X1986" s="40"/>
      <c r="Y1986" s="40"/>
    </row>
    <row r="1987" spans="5:25" x14ac:dyDescent="0.35">
      <c r="E1987" t="s">
        <v>207</v>
      </c>
      <c r="F1987" t="s">
        <v>1558</v>
      </c>
      <c r="G1987" s="28"/>
      <c r="X1987" s="40"/>
      <c r="Y1987" s="40"/>
    </row>
    <row r="1988" spans="5:25" x14ac:dyDescent="0.35">
      <c r="E1988" t="s">
        <v>208</v>
      </c>
      <c r="F1988" t="s">
        <v>1559</v>
      </c>
      <c r="G1988" s="28"/>
      <c r="X1988" s="40"/>
      <c r="Y1988" s="40"/>
    </row>
    <row r="1989" spans="5:25" x14ac:dyDescent="0.35">
      <c r="E1989" t="s">
        <v>208</v>
      </c>
      <c r="F1989" t="s">
        <v>1109</v>
      </c>
      <c r="G1989" s="28"/>
      <c r="X1989" s="40"/>
      <c r="Y1989" s="40"/>
    </row>
    <row r="1990" spans="5:25" x14ac:dyDescent="0.35">
      <c r="E1990" t="s">
        <v>208</v>
      </c>
      <c r="F1990" t="s">
        <v>1560</v>
      </c>
      <c r="G1990" s="28"/>
      <c r="X1990" s="40"/>
      <c r="Y1990" s="40"/>
    </row>
    <row r="1991" spans="5:25" x14ac:dyDescent="0.35">
      <c r="E1991" t="s">
        <v>208</v>
      </c>
      <c r="F1991" t="s">
        <v>1561</v>
      </c>
      <c r="G1991" s="28"/>
      <c r="X1991" s="40"/>
      <c r="Y1991" s="40"/>
    </row>
    <row r="1992" spans="5:25" x14ac:dyDescent="0.35">
      <c r="E1992" t="s">
        <v>208</v>
      </c>
      <c r="F1992" t="s">
        <v>1562</v>
      </c>
      <c r="G1992" s="28"/>
      <c r="X1992" s="40"/>
      <c r="Y1992" s="40"/>
    </row>
    <row r="1993" spans="5:25" x14ac:dyDescent="0.35">
      <c r="E1993" t="s">
        <v>208</v>
      </c>
      <c r="F1993" t="s">
        <v>1563</v>
      </c>
      <c r="G1993" s="28"/>
      <c r="X1993" s="40"/>
      <c r="Y1993" s="40"/>
    </row>
    <row r="1994" spans="5:25" x14ac:dyDescent="0.35">
      <c r="E1994" t="s">
        <v>208</v>
      </c>
      <c r="F1994" t="s">
        <v>936</v>
      </c>
      <c r="G1994" s="28"/>
      <c r="X1994" s="40"/>
      <c r="Y1994" s="40"/>
    </row>
    <row r="1995" spans="5:25" x14ac:dyDescent="0.35">
      <c r="E1995" t="s">
        <v>208</v>
      </c>
      <c r="F1995" t="s">
        <v>1564</v>
      </c>
      <c r="G1995" s="28"/>
      <c r="X1995" s="40"/>
      <c r="Y1995" s="40"/>
    </row>
    <row r="1996" spans="5:25" x14ac:dyDescent="0.35">
      <c r="E1996" t="s">
        <v>208</v>
      </c>
      <c r="F1996" t="s">
        <v>1565</v>
      </c>
      <c r="G1996" s="28"/>
      <c r="X1996" s="40"/>
      <c r="Y1996" s="40"/>
    </row>
    <row r="1997" spans="5:25" x14ac:dyDescent="0.35">
      <c r="E1997" t="s">
        <v>208</v>
      </c>
      <c r="F1997" t="s">
        <v>769</v>
      </c>
      <c r="G1997" s="28"/>
      <c r="X1997" s="40"/>
      <c r="Y1997" s="40"/>
    </row>
    <row r="1998" spans="5:25" x14ac:dyDescent="0.35">
      <c r="E1998" t="s">
        <v>208</v>
      </c>
      <c r="F1998" t="s">
        <v>407</v>
      </c>
      <c r="G1998" s="28"/>
      <c r="X1998" s="40"/>
      <c r="Y1998" s="40"/>
    </row>
    <row r="1999" spans="5:25" x14ac:dyDescent="0.35">
      <c r="E1999" t="s">
        <v>208</v>
      </c>
      <c r="F1999" t="s">
        <v>1566</v>
      </c>
      <c r="G1999" s="28"/>
      <c r="X1999" s="40"/>
      <c r="Y1999" s="40"/>
    </row>
    <row r="2000" spans="5:25" x14ac:dyDescent="0.35">
      <c r="E2000" t="s">
        <v>208</v>
      </c>
      <c r="F2000" t="s">
        <v>771</v>
      </c>
      <c r="G2000" s="28"/>
      <c r="X2000" s="40"/>
      <c r="Y2000" s="40"/>
    </row>
    <row r="2001" spans="5:25" x14ac:dyDescent="0.35">
      <c r="E2001" t="s">
        <v>208</v>
      </c>
      <c r="F2001" t="s">
        <v>1567</v>
      </c>
      <c r="G2001" s="28"/>
      <c r="X2001" s="40"/>
      <c r="Y2001" s="40"/>
    </row>
    <row r="2002" spans="5:25" x14ac:dyDescent="0.35">
      <c r="E2002" t="s">
        <v>208</v>
      </c>
      <c r="F2002" t="s">
        <v>1568</v>
      </c>
      <c r="G2002" s="28"/>
      <c r="X2002" s="40"/>
      <c r="Y2002" s="40"/>
    </row>
    <row r="2003" spans="5:25" x14ac:dyDescent="0.35">
      <c r="E2003" t="s">
        <v>208</v>
      </c>
      <c r="F2003" t="s">
        <v>1102</v>
      </c>
      <c r="G2003" s="28"/>
      <c r="X2003" s="40"/>
      <c r="Y2003" s="40"/>
    </row>
    <row r="2004" spans="5:25" x14ac:dyDescent="0.35">
      <c r="E2004" t="s">
        <v>208</v>
      </c>
      <c r="F2004" t="s">
        <v>359</v>
      </c>
      <c r="G2004" s="28"/>
      <c r="X2004" s="40"/>
      <c r="Y2004" s="40"/>
    </row>
    <row r="2005" spans="5:25" x14ac:dyDescent="0.35">
      <c r="E2005" t="s">
        <v>208</v>
      </c>
      <c r="F2005" t="s">
        <v>416</v>
      </c>
      <c r="G2005" s="28"/>
      <c r="X2005" s="40"/>
      <c r="Y2005" s="40"/>
    </row>
    <row r="2006" spans="5:25" x14ac:dyDescent="0.35">
      <c r="E2006" t="s">
        <v>208</v>
      </c>
      <c r="F2006" t="s">
        <v>1151</v>
      </c>
      <c r="G2006" s="28"/>
      <c r="X2006" s="40"/>
      <c r="Y2006" s="40"/>
    </row>
    <row r="2007" spans="5:25" x14ac:dyDescent="0.35">
      <c r="E2007" t="s">
        <v>208</v>
      </c>
      <c r="F2007" t="s">
        <v>361</v>
      </c>
      <c r="G2007" s="28"/>
      <c r="X2007" s="40"/>
      <c r="Y2007" s="40"/>
    </row>
    <row r="2008" spans="5:25" x14ac:dyDescent="0.35">
      <c r="E2008" t="s">
        <v>208</v>
      </c>
      <c r="F2008" t="s">
        <v>610</v>
      </c>
      <c r="G2008" s="28"/>
      <c r="X2008" s="40"/>
      <c r="Y2008" s="40"/>
    </row>
    <row r="2009" spans="5:25" x14ac:dyDescent="0.35">
      <c r="E2009" t="s">
        <v>208</v>
      </c>
      <c r="F2009" t="s">
        <v>1569</v>
      </c>
      <c r="G2009" s="28"/>
      <c r="X2009" s="40"/>
      <c r="Y2009" s="40"/>
    </row>
    <row r="2010" spans="5:25" x14ac:dyDescent="0.35">
      <c r="E2010" t="s">
        <v>208</v>
      </c>
      <c r="F2010" t="s">
        <v>366</v>
      </c>
      <c r="G2010" s="28"/>
      <c r="X2010" s="40"/>
      <c r="Y2010" s="40"/>
    </row>
    <row r="2011" spans="5:25" x14ac:dyDescent="0.35">
      <c r="E2011" t="s">
        <v>208</v>
      </c>
      <c r="F2011" t="s">
        <v>485</v>
      </c>
      <c r="G2011" s="28"/>
      <c r="X2011" s="40"/>
      <c r="Y2011" s="40"/>
    </row>
    <row r="2012" spans="5:25" x14ac:dyDescent="0.35">
      <c r="E2012" t="s">
        <v>208</v>
      </c>
      <c r="F2012" t="s">
        <v>831</v>
      </c>
      <c r="G2012" s="28"/>
      <c r="X2012" s="40"/>
      <c r="Y2012" s="40"/>
    </row>
    <row r="2013" spans="5:25" x14ac:dyDescent="0.35">
      <c r="E2013" t="s">
        <v>208</v>
      </c>
      <c r="F2013" t="s">
        <v>865</v>
      </c>
      <c r="G2013" s="28"/>
      <c r="X2013" s="40"/>
      <c r="Y2013" s="40"/>
    </row>
    <row r="2014" spans="5:25" x14ac:dyDescent="0.35">
      <c r="E2014" t="s">
        <v>208</v>
      </c>
      <c r="F2014" t="s">
        <v>374</v>
      </c>
      <c r="G2014" s="28"/>
      <c r="X2014" s="40"/>
      <c r="Y2014" s="40"/>
    </row>
    <row r="2015" spans="5:25" x14ac:dyDescent="0.35">
      <c r="E2015" t="s">
        <v>208</v>
      </c>
      <c r="F2015" t="s">
        <v>379</v>
      </c>
      <c r="G2015" s="28"/>
      <c r="X2015" s="40"/>
      <c r="Y2015" s="40"/>
    </row>
    <row r="2016" spans="5:25" x14ac:dyDescent="0.35">
      <c r="E2016" t="s">
        <v>208</v>
      </c>
      <c r="F2016" t="s">
        <v>380</v>
      </c>
      <c r="G2016" s="28"/>
      <c r="X2016" s="40"/>
      <c r="Y2016" s="40"/>
    </row>
    <row r="2017" spans="5:25" x14ac:dyDescent="0.35">
      <c r="E2017" t="s">
        <v>208</v>
      </c>
      <c r="F2017" t="s">
        <v>624</v>
      </c>
      <c r="G2017" s="28"/>
      <c r="X2017" s="40"/>
      <c r="Y2017" s="40"/>
    </row>
    <row r="2018" spans="5:25" x14ac:dyDescent="0.35">
      <c r="E2018" t="s">
        <v>208</v>
      </c>
      <c r="F2018" t="s">
        <v>1570</v>
      </c>
      <c r="G2018" s="28"/>
      <c r="X2018" s="40"/>
      <c r="Y2018" s="40"/>
    </row>
    <row r="2019" spans="5:25" x14ac:dyDescent="0.35">
      <c r="E2019" t="s">
        <v>208</v>
      </c>
      <c r="F2019" t="s">
        <v>1571</v>
      </c>
      <c r="G2019" s="28"/>
      <c r="X2019" s="40"/>
      <c r="Y2019" s="40"/>
    </row>
    <row r="2020" spans="5:25" x14ac:dyDescent="0.35">
      <c r="E2020" t="s">
        <v>208</v>
      </c>
      <c r="F2020" t="s">
        <v>834</v>
      </c>
      <c r="G2020" s="28"/>
      <c r="X2020" s="40"/>
      <c r="Y2020" s="40"/>
    </row>
    <row r="2021" spans="5:25" x14ac:dyDescent="0.35">
      <c r="E2021" t="s">
        <v>208</v>
      </c>
      <c r="F2021" t="s">
        <v>1572</v>
      </c>
      <c r="G2021" s="28"/>
      <c r="X2021" s="40"/>
      <c r="Y2021" s="40"/>
    </row>
    <row r="2022" spans="5:25" x14ac:dyDescent="0.35">
      <c r="E2022" t="s">
        <v>208</v>
      </c>
      <c r="F2022" t="s">
        <v>1573</v>
      </c>
      <c r="G2022" s="28"/>
      <c r="X2022" s="40"/>
      <c r="Y2022" s="40"/>
    </row>
    <row r="2023" spans="5:25" x14ac:dyDescent="0.35">
      <c r="E2023" t="s">
        <v>208</v>
      </c>
      <c r="F2023" t="s">
        <v>498</v>
      </c>
      <c r="G2023" s="28"/>
      <c r="X2023" s="40"/>
      <c r="Y2023" s="40"/>
    </row>
    <row r="2024" spans="5:25" x14ac:dyDescent="0.35">
      <c r="E2024" t="s">
        <v>208</v>
      </c>
      <c r="F2024" t="s">
        <v>1075</v>
      </c>
      <c r="G2024" s="28"/>
      <c r="X2024" s="40"/>
      <c r="Y2024" s="40"/>
    </row>
    <row r="2025" spans="5:25" x14ac:dyDescent="0.35">
      <c r="E2025" t="s">
        <v>208</v>
      </c>
      <c r="F2025" t="s">
        <v>1574</v>
      </c>
      <c r="G2025" s="28"/>
      <c r="X2025" s="40"/>
      <c r="Y2025" s="40"/>
    </row>
    <row r="2026" spans="5:25" x14ac:dyDescent="0.35">
      <c r="E2026" t="s">
        <v>208</v>
      </c>
      <c r="F2026" t="s">
        <v>1188</v>
      </c>
      <c r="G2026" s="28"/>
      <c r="X2026" s="40"/>
      <c r="Y2026" s="40"/>
    </row>
    <row r="2027" spans="5:25" x14ac:dyDescent="0.35">
      <c r="E2027" t="s">
        <v>208</v>
      </c>
      <c r="F2027" t="s">
        <v>631</v>
      </c>
      <c r="G2027" s="28"/>
      <c r="X2027" s="40"/>
      <c r="Y2027" s="40"/>
    </row>
    <row r="2028" spans="5:25" x14ac:dyDescent="0.35">
      <c r="E2028" t="s">
        <v>208</v>
      </c>
      <c r="F2028" t="s">
        <v>1575</v>
      </c>
      <c r="G2028" s="28"/>
      <c r="X2028" s="40"/>
      <c r="Y2028" s="40"/>
    </row>
    <row r="2029" spans="5:25" x14ac:dyDescent="0.35">
      <c r="E2029" t="s">
        <v>208</v>
      </c>
      <c r="F2029" t="s">
        <v>1576</v>
      </c>
      <c r="G2029" s="28"/>
      <c r="X2029" s="40"/>
      <c r="Y2029" s="40"/>
    </row>
    <row r="2030" spans="5:25" x14ac:dyDescent="0.35">
      <c r="E2030" t="s">
        <v>208</v>
      </c>
      <c r="F2030" t="s">
        <v>722</v>
      </c>
      <c r="G2030" s="28"/>
      <c r="X2030" s="40"/>
      <c r="Y2030" s="40"/>
    </row>
    <row r="2031" spans="5:25" x14ac:dyDescent="0.35">
      <c r="E2031" t="s">
        <v>208</v>
      </c>
      <c r="F2031" t="s">
        <v>1577</v>
      </c>
      <c r="G2031" s="28"/>
      <c r="X2031" s="40"/>
      <c r="Y2031" s="40"/>
    </row>
    <row r="2032" spans="5:25" x14ac:dyDescent="0.35">
      <c r="E2032" t="s">
        <v>208</v>
      </c>
      <c r="F2032" t="s">
        <v>1578</v>
      </c>
      <c r="G2032" s="28"/>
      <c r="X2032" s="40"/>
      <c r="Y2032" s="40"/>
    </row>
    <row r="2033" spans="5:25" x14ac:dyDescent="0.35">
      <c r="E2033" t="s">
        <v>208</v>
      </c>
      <c r="F2033" t="s">
        <v>1579</v>
      </c>
      <c r="G2033" s="28"/>
      <c r="X2033" s="40"/>
      <c r="Y2033" s="40"/>
    </row>
    <row r="2034" spans="5:25" x14ac:dyDescent="0.35">
      <c r="E2034" t="s">
        <v>208</v>
      </c>
      <c r="F2034" t="s">
        <v>1580</v>
      </c>
      <c r="G2034" s="28"/>
      <c r="X2034" s="40"/>
      <c r="Y2034" s="40"/>
    </row>
    <row r="2035" spans="5:25" x14ac:dyDescent="0.35">
      <c r="E2035" t="s">
        <v>208</v>
      </c>
      <c r="F2035" t="s">
        <v>1581</v>
      </c>
      <c r="G2035" s="28"/>
      <c r="X2035" s="40"/>
      <c r="Y2035" s="40"/>
    </row>
    <row r="2036" spans="5:25" x14ac:dyDescent="0.35">
      <c r="E2036" t="s">
        <v>208</v>
      </c>
      <c r="F2036" t="s">
        <v>881</v>
      </c>
      <c r="G2036" s="28"/>
      <c r="X2036" s="40"/>
      <c r="Y2036" s="40"/>
    </row>
    <row r="2037" spans="5:25" x14ac:dyDescent="0.35">
      <c r="E2037" t="s">
        <v>208</v>
      </c>
      <c r="F2037" t="s">
        <v>1582</v>
      </c>
      <c r="G2037" s="28"/>
      <c r="X2037" s="40"/>
      <c r="Y2037" s="40"/>
    </row>
    <row r="2038" spans="5:25" x14ac:dyDescent="0.35">
      <c r="E2038" t="s">
        <v>208</v>
      </c>
      <c r="F2038" t="s">
        <v>919</v>
      </c>
      <c r="G2038" s="28"/>
      <c r="X2038" s="40"/>
      <c r="Y2038" s="40"/>
    </row>
    <row r="2039" spans="5:25" x14ac:dyDescent="0.35">
      <c r="E2039" t="s">
        <v>208</v>
      </c>
      <c r="F2039" t="s">
        <v>1107</v>
      </c>
      <c r="G2039" s="28"/>
      <c r="X2039" s="40"/>
      <c r="Y2039" s="40"/>
    </row>
    <row r="2040" spans="5:25" x14ac:dyDescent="0.35">
      <c r="E2040" t="s">
        <v>208</v>
      </c>
      <c r="F2040" t="s">
        <v>920</v>
      </c>
      <c r="G2040" s="28"/>
      <c r="X2040" s="40"/>
      <c r="Y2040" s="40"/>
    </row>
    <row r="2041" spans="5:25" x14ac:dyDescent="0.35">
      <c r="E2041" t="s">
        <v>208</v>
      </c>
      <c r="F2041" t="s">
        <v>1583</v>
      </c>
      <c r="G2041" s="28"/>
      <c r="X2041" s="40"/>
      <c r="Y2041" s="40"/>
    </row>
    <row r="2042" spans="5:25" x14ac:dyDescent="0.35">
      <c r="E2042" t="s">
        <v>208</v>
      </c>
      <c r="F2042" t="s">
        <v>1584</v>
      </c>
      <c r="G2042" s="28"/>
      <c r="X2042" s="40"/>
      <c r="Y2042" s="40"/>
    </row>
    <row r="2043" spans="5:25" x14ac:dyDescent="0.35">
      <c r="E2043" t="s">
        <v>208</v>
      </c>
      <c r="F2043" t="s">
        <v>1585</v>
      </c>
      <c r="G2043" s="28"/>
      <c r="X2043" s="40"/>
      <c r="Y2043" s="40"/>
    </row>
    <row r="2044" spans="5:25" x14ac:dyDescent="0.35">
      <c r="E2044" t="s">
        <v>208</v>
      </c>
      <c r="F2044" t="s">
        <v>744</v>
      </c>
      <c r="G2044" s="28"/>
      <c r="X2044" s="40"/>
      <c r="Y2044" s="40"/>
    </row>
    <row r="2045" spans="5:25" x14ac:dyDescent="0.35">
      <c r="E2045" t="s">
        <v>208</v>
      </c>
      <c r="F2045" t="s">
        <v>394</v>
      </c>
      <c r="G2045" s="28"/>
      <c r="X2045" s="40"/>
      <c r="Y2045" s="40"/>
    </row>
    <row r="2046" spans="5:25" x14ac:dyDescent="0.35">
      <c r="E2046" t="s">
        <v>208</v>
      </c>
      <c r="F2046" t="s">
        <v>745</v>
      </c>
      <c r="G2046" s="28"/>
      <c r="X2046" s="40"/>
      <c r="Y2046" s="40"/>
    </row>
    <row r="2047" spans="5:25" x14ac:dyDescent="0.35">
      <c r="E2047" t="s">
        <v>208</v>
      </c>
      <c r="F2047" t="s">
        <v>1586</v>
      </c>
      <c r="G2047" s="28"/>
      <c r="X2047" s="40"/>
      <c r="Y2047" s="40"/>
    </row>
    <row r="2048" spans="5:25" x14ac:dyDescent="0.35">
      <c r="E2048" t="s">
        <v>208</v>
      </c>
      <c r="F2048" t="s">
        <v>1587</v>
      </c>
      <c r="G2048" s="28"/>
      <c r="X2048" s="40"/>
      <c r="Y2048" s="40"/>
    </row>
    <row r="2049" spans="5:25" x14ac:dyDescent="0.35">
      <c r="E2049" t="s">
        <v>208</v>
      </c>
      <c r="F2049" t="s">
        <v>1588</v>
      </c>
      <c r="G2049" s="28"/>
      <c r="X2049" s="40"/>
      <c r="Y2049" s="40"/>
    </row>
    <row r="2050" spans="5:25" x14ac:dyDescent="0.35">
      <c r="E2050" t="s">
        <v>209</v>
      </c>
      <c r="F2050" t="s">
        <v>526</v>
      </c>
      <c r="G2050" s="28"/>
      <c r="X2050" s="40"/>
      <c r="Y2050" s="40"/>
    </row>
    <row r="2051" spans="5:25" x14ac:dyDescent="0.35">
      <c r="E2051" t="s">
        <v>209</v>
      </c>
      <c r="F2051" t="s">
        <v>891</v>
      </c>
      <c r="G2051" s="28"/>
      <c r="X2051" s="40"/>
      <c r="Y2051" s="40"/>
    </row>
    <row r="2052" spans="5:25" x14ac:dyDescent="0.35">
      <c r="E2052" t="s">
        <v>209</v>
      </c>
      <c r="F2052" t="s">
        <v>1589</v>
      </c>
      <c r="G2052" s="28"/>
      <c r="X2052" s="40"/>
      <c r="Y2052" s="40"/>
    </row>
    <row r="2053" spans="5:25" x14ac:dyDescent="0.35">
      <c r="E2053" t="s">
        <v>209</v>
      </c>
      <c r="F2053" t="s">
        <v>1590</v>
      </c>
      <c r="G2053" s="28"/>
      <c r="X2053" s="40"/>
      <c r="Y2053" s="40"/>
    </row>
    <row r="2054" spans="5:25" x14ac:dyDescent="0.35">
      <c r="E2054" t="s">
        <v>209</v>
      </c>
      <c r="F2054" t="s">
        <v>1591</v>
      </c>
      <c r="G2054" s="28"/>
      <c r="X2054" s="40"/>
      <c r="Y2054" s="40"/>
    </row>
    <row r="2055" spans="5:25" x14ac:dyDescent="0.35">
      <c r="E2055" t="s">
        <v>209</v>
      </c>
      <c r="F2055" t="s">
        <v>1592</v>
      </c>
      <c r="G2055" s="28"/>
      <c r="X2055" s="40"/>
      <c r="Y2055" s="40"/>
    </row>
    <row r="2056" spans="5:25" x14ac:dyDescent="0.35">
      <c r="E2056" t="s">
        <v>209</v>
      </c>
      <c r="F2056" t="s">
        <v>1593</v>
      </c>
      <c r="G2056" s="28"/>
      <c r="X2056" s="40"/>
      <c r="Y2056" s="40"/>
    </row>
    <row r="2057" spans="5:25" x14ac:dyDescent="0.35">
      <c r="E2057" t="s">
        <v>209</v>
      </c>
      <c r="F2057" t="s">
        <v>844</v>
      </c>
      <c r="G2057" s="28"/>
      <c r="X2057" s="40"/>
      <c r="Y2057" s="40"/>
    </row>
    <row r="2058" spans="5:25" x14ac:dyDescent="0.35">
      <c r="E2058" t="s">
        <v>209</v>
      </c>
      <c r="F2058" t="s">
        <v>336</v>
      </c>
      <c r="G2058" s="28"/>
      <c r="X2058" s="40"/>
      <c r="Y2058" s="40"/>
    </row>
    <row r="2059" spans="5:25" x14ac:dyDescent="0.35">
      <c r="E2059" t="s">
        <v>209</v>
      </c>
      <c r="F2059" t="s">
        <v>403</v>
      </c>
      <c r="G2059" s="28"/>
      <c r="X2059" s="40"/>
      <c r="Y2059" s="40"/>
    </row>
    <row r="2060" spans="5:25" x14ac:dyDescent="0.35">
      <c r="E2060" t="s">
        <v>209</v>
      </c>
      <c r="F2060" t="s">
        <v>846</v>
      </c>
      <c r="G2060" s="28"/>
      <c r="X2060" s="40"/>
      <c r="Y2060" s="40"/>
    </row>
    <row r="2061" spans="5:25" x14ac:dyDescent="0.35">
      <c r="E2061" t="s">
        <v>209</v>
      </c>
      <c r="F2061" t="s">
        <v>405</v>
      </c>
      <c r="G2061" s="28"/>
      <c r="X2061" s="40"/>
      <c r="Y2061" s="40"/>
    </row>
    <row r="2062" spans="5:25" x14ac:dyDescent="0.35">
      <c r="E2062" t="s">
        <v>209</v>
      </c>
      <c r="F2062" t="s">
        <v>1594</v>
      </c>
      <c r="G2062" s="28"/>
      <c r="X2062" s="40"/>
      <c r="Y2062" s="40"/>
    </row>
    <row r="2063" spans="5:25" x14ac:dyDescent="0.35">
      <c r="E2063" t="s">
        <v>209</v>
      </c>
      <c r="F2063" t="s">
        <v>769</v>
      </c>
      <c r="G2063" s="28"/>
      <c r="X2063" s="40"/>
      <c r="Y2063" s="40"/>
    </row>
    <row r="2064" spans="5:25" x14ac:dyDescent="0.35">
      <c r="E2064" t="s">
        <v>209</v>
      </c>
      <c r="F2064" t="s">
        <v>1595</v>
      </c>
      <c r="G2064" s="28"/>
      <c r="X2064" s="40"/>
      <c r="Y2064" s="40"/>
    </row>
    <row r="2065" spans="5:25" x14ac:dyDescent="0.35">
      <c r="E2065" t="s">
        <v>209</v>
      </c>
      <c r="F2065" t="s">
        <v>1596</v>
      </c>
      <c r="G2065" s="28"/>
      <c r="X2065" s="40"/>
      <c r="Y2065" s="40"/>
    </row>
    <row r="2066" spans="5:25" x14ac:dyDescent="0.35">
      <c r="E2066" t="s">
        <v>209</v>
      </c>
      <c r="F2066" t="s">
        <v>410</v>
      </c>
      <c r="G2066" s="28"/>
      <c r="X2066" s="40"/>
      <c r="Y2066" s="40"/>
    </row>
    <row r="2067" spans="5:25" x14ac:dyDescent="0.35">
      <c r="E2067" t="s">
        <v>209</v>
      </c>
      <c r="F2067" t="s">
        <v>1597</v>
      </c>
      <c r="G2067" s="28"/>
      <c r="X2067" s="40"/>
      <c r="Y2067" s="40"/>
    </row>
    <row r="2068" spans="5:25" x14ac:dyDescent="0.35">
      <c r="E2068" t="s">
        <v>209</v>
      </c>
      <c r="F2068" t="s">
        <v>1598</v>
      </c>
      <c r="G2068" s="28"/>
      <c r="X2068" s="40"/>
      <c r="Y2068" s="40"/>
    </row>
    <row r="2069" spans="5:25" x14ac:dyDescent="0.35">
      <c r="E2069" t="s">
        <v>209</v>
      </c>
      <c r="F2069" t="s">
        <v>1599</v>
      </c>
      <c r="G2069" s="28"/>
      <c r="X2069" s="40"/>
      <c r="Y2069" s="40"/>
    </row>
    <row r="2070" spans="5:25" x14ac:dyDescent="0.35">
      <c r="E2070" t="s">
        <v>209</v>
      </c>
      <c r="F2070" t="s">
        <v>771</v>
      </c>
      <c r="G2070" s="28"/>
      <c r="X2070" s="40"/>
      <c r="Y2070" s="40"/>
    </row>
    <row r="2071" spans="5:25" x14ac:dyDescent="0.35">
      <c r="E2071" t="s">
        <v>209</v>
      </c>
      <c r="F2071" t="s">
        <v>1568</v>
      </c>
      <c r="G2071" s="28"/>
      <c r="X2071" s="40"/>
      <c r="Y2071" s="40"/>
    </row>
    <row r="2072" spans="5:25" x14ac:dyDescent="0.35">
      <c r="E2072" t="s">
        <v>209</v>
      </c>
      <c r="F2072" t="s">
        <v>581</v>
      </c>
      <c r="G2072" s="28"/>
      <c r="X2072" s="40"/>
      <c r="Y2072" s="40"/>
    </row>
    <row r="2073" spans="5:25" x14ac:dyDescent="0.35">
      <c r="E2073" t="s">
        <v>209</v>
      </c>
      <c r="F2073" t="s">
        <v>358</v>
      </c>
      <c r="G2073" s="28"/>
      <c r="X2073" s="40"/>
      <c r="Y2073" s="40"/>
    </row>
    <row r="2074" spans="5:25" x14ac:dyDescent="0.35">
      <c r="E2074" t="s">
        <v>209</v>
      </c>
      <c r="F2074" t="s">
        <v>359</v>
      </c>
      <c r="G2074" s="28"/>
      <c r="X2074" s="40"/>
      <c r="Y2074" s="40"/>
    </row>
    <row r="2075" spans="5:25" x14ac:dyDescent="0.35">
      <c r="E2075" t="s">
        <v>209</v>
      </c>
      <c r="F2075" t="s">
        <v>416</v>
      </c>
      <c r="G2075" s="28"/>
      <c r="X2075" s="40"/>
      <c r="Y2075" s="40"/>
    </row>
    <row r="2076" spans="5:25" x14ac:dyDescent="0.35">
      <c r="E2076" t="s">
        <v>209</v>
      </c>
      <c r="F2076" t="s">
        <v>1600</v>
      </c>
      <c r="G2076" s="28"/>
      <c r="X2076" s="40"/>
      <c r="Y2076" s="40"/>
    </row>
    <row r="2077" spans="5:25" x14ac:dyDescent="0.35">
      <c r="E2077" t="s">
        <v>209</v>
      </c>
      <c r="F2077" t="s">
        <v>1601</v>
      </c>
      <c r="G2077" s="28"/>
      <c r="X2077" s="40"/>
      <c r="Y2077" s="40"/>
    </row>
    <row r="2078" spans="5:25" x14ac:dyDescent="0.35">
      <c r="E2078" t="s">
        <v>209</v>
      </c>
      <c r="F2078" t="s">
        <v>361</v>
      </c>
      <c r="G2078" s="28"/>
      <c r="X2078" s="40"/>
      <c r="Y2078" s="40"/>
    </row>
    <row r="2079" spans="5:25" x14ac:dyDescent="0.35">
      <c r="E2079" t="s">
        <v>209</v>
      </c>
      <c r="F2079" t="s">
        <v>1602</v>
      </c>
      <c r="G2079" s="28"/>
      <c r="X2079" s="40"/>
      <c r="Y2079" s="40"/>
    </row>
    <row r="2080" spans="5:25" x14ac:dyDescent="0.35">
      <c r="E2080" t="s">
        <v>209</v>
      </c>
      <c r="F2080" t="s">
        <v>610</v>
      </c>
      <c r="G2080" s="28"/>
      <c r="X2080" s="40"/>
      <c r="Y2080" s="40"/>
    </row>
    <row r="2081" spans="5:25" x14ac:dyDescent="0.35">
      <c r="E2081" t="s">
        <v>209</v>
      </c>
      <c r="F2081" t="s">
        <v>695</v>
      </c>
      <c r="G2081" s="28"/>
      <c r="X2081" s="40"/>
      <c r="Y2081" s="40"/>
    </row>
    <row r="2082" spans="5:25" x14ac:dyDescent="0.35">
      <c r="E2082" t="s">
        <v>209</v>
      </c>
      <c r="F2082" t="s">
        <v>778</v>
      </c>
      <c r="G2082" s="28"/>
      <c r="X2082" s="40"/>
      <c r="Y2082" s="40"/>
    </row>
    <row r="2083" spans="5:25" x14ac:dyDescent="0.35">
      <c r="E2083" t="s">
        <v>209</v>
      </c>
      <c r="F2083" t="s">
        <v>779</v>
      </c>
      <c r="G2083" s="28"/>
      <c r="X2083" s="40"/>
      <c r="Y2083" s="40"/>
    </row>
    <row r="2084" spans="5:25" x14ac:dyDescent="0.35">
      <c r="E2084" t="s">
        <v>209</v>
      </c>
      <c r="F2084" t="s">
        <v>363</v>
      </c>
      <c r="G2084" s="28"/>
      <c r="X2084" s="40"/>
      <c r="Y2084" s="40"/>
    </row>
    <row r="2085" spans="5:25" x14ac:dyDescent="0.35">
      <c r="E2085" t="s">
        <v>209</v>
      </c>
      <c r="F2085" t="s">
        <v>1603</v>
      </c>
      <c r="G2085" s="28"/>
      <c r="X2085" s="40"/>
      <c r="Y2085" s="40"/>
    </row>
    <row r="2086" spans="5:25" x14ac:dyDescent="0.35">
      <c r="E2086" t="s">
        <v>209</v>
      </c>
      <c r="F2086" t="s">
        <v>1604</v>
      </c>
      <c r="G2086" s="28"/>
      <c r="X2086" s="40"/>
      <c r="Y2086" s="40"/>
    </row>
    <row r="2087" spans="5:25" x14ac:dyDescent="0.35">
      <c r="E2087" t="s">
        <v>209</v>
      </c>
      <c r="F2087" t="s">
        <v>616</v>
      </c>
      <c r="G2087" s="28"/>
      <c r="X2087" s="40"/>
      <c r="Y2087" s="40"/>
    </row>
    <row r="2088" spans="5:25" x14ac:dyDescent="0.35">
      <c r="E2088" t="s">
        <v>209</v>
      </c>
      <c r="F2088" t="s">
        <v>1158</v>
      </c>
      <c r="G2088" s="28"/>
      <c r="X2088" s="40"/>
      <c r="Y2088" s="40"/>
    </row>
    <row r="2089" spans="5:25" x14ac:dyDescent="0.35">
      <c r="E2089" t="s">
        <v>209</v>
      </c>
      <c r="F2089" t="s">
        <v>365</v>
      </c>
      <c r="G2089" s="28"/>
      <c r="X2089" s="40"/>
      <c r="Y2089" s="40"/>
    </row>
    <row r="2090" spans="5:25" x14ac:dyDescent="0.35">
      <c r="E2090" t="s">
        <v>209</v>
      </c>
      <c r="F2090" t="s">
        <v>366</v>
      </c>
      <c r="G2090" s="28"/>
      <c r="X2090" s="40"/>
      <c r="Y2090" s="40"/>
    </row>
    <row r="2091" spans="5:25" x14ac:dyDescent="0.35">
      <c r="E2091" t="s">
        <v>209</v>
      </c>
      <c r="F2091" t="s">
        <v>863</v>
      </c>
      <c r="G2091" s="28"/>
      <c r="X2091" s="40"/>
      <c r="Y2091" s="40"/>
    </row>
    <row r="2092" spans="5:25" x14ac:dyDescent="0.35">
      <c r="E2092" t="s">
        <v>209</v>
      </c>
      <c r="F2092" t="s">
        <v>486</v>
      </c>
      <c r="G2092" s="28"/>
      <c r="X2092" s="40"/>
      <c r="Y2092" s="40"/>
    </row>
    <row r="2093" spans="5:25" x14ac:dyDescent="0.35">
      <c r="E2093" t="s">
        <v>209</v>
      </c>
      <c r="F2093" t="s">
        <v>369</v>
      </c>
      <c r="G2093" s="28"/>
      <c r="X2093" s="40"/>
      <c r="Y2093" s="40"/>
    </row>
    <row r="2094" spans="5:25" x14ac:dyDescent="0.35">
      <c r="E2094" t="s">
        <v>209</v>
      </c>
      <c r="F2094" t="s">
        <v>1605</v>
      </c>
      <c r="G2094" s="28"/>
      <c r="X2094" s="40"/>
      <c r="Y2094" s="40"/>
    </row>
    <row r="2095" spans="5:25" x14ac:dyDescent="0.35">
      <c r="E2095" t="s">
        <v>209</v>
      </c>
      <c r="F2095" t="s">
        <v>428</v>
      </c>
      <c r="G2095" s="28"/>
      <c r="X2095" s="40"/>
      <c r="Y2095" s="40"/>
    </row>
    <row r="2096" spans="5:25" x14ac:dyDescent="0.35">
      <c r="E2096" t="s">
        <v>209</v>
      </c>
      <c r="F2096" t="s">
        <v>1606</v>
      </c>
      <c r="G2096" s="28"/>
      <c r="X2096" s="40"/>
      <c r="Y2096" s="40"/>
    </row>
    <row r="2097" spans="5:25" x14ac:dyDescent="0.35">
      <c r="E2097" t="s">
        <v>209</v>
      </c>
      <c r="F2097" t="s">
        <v>786</v>
      </c>
      <c r="G2097" s="28"/>
      <c r="X2097" s="40"/>
      <c r="Y2097" s="40"/>
    </row>
    <row r="2098" spans="5:25" x14ac:dyDescent="0.35">
      <c r="E2098" t="s">
        <v>209</v>
      </c>
      <c r="F2098" t="s">
        <v>374</v>
      </c>
      <c r="G2098" s="28"/>
      <c r="X2098" s="40"/>
      <c r="Y2098" s="40"/>
    </row>
    <row r="2099" spans="5:25" x14ac:dyDescent="0.35">
      <c r="E2099" t="s">
        <v>209</v>
      </c>
      <c r="F2099" t="s">
        <v>1607</v>
      </c>
      <c r="G2099" s="28"/>
      <c r="X2099" s="40"/>
      <c r="Y2099" s="40"/>
    </row>
    <row r="2100" spans="5:25" x14ac:dyDescent="0.35">
      <c r="E2100" t="s">
        <v>209</v>
      </c>
      <c r="F2100" t="s">
        <v>376</v>
      </c>
      <c r="G2100" s="28"/>
      <c r="X2100" s="40"/>
      <c r="Y2100" s="40"/>
    </row>
    <row r="2101" spans="5:25" x14ac:dyDescent="0.35">
      <c r="E2101" t="s">
        <v>209</v>
      </c>
      <c r="F2101" t="s">
        <v>1608</v>
      </c>
      <c r="G2101" s="28"/>
      <c r="X2101" s="40"/>
      <c r="Y2101" s="40"/>
    </row>
    <row r="2102" spans="5:25" x14ac:dyDescent="0.35">
      <c r="E2102" t="s">
        <v>209</v>
      </c>
      <c r="F2102" t="s">
        <v>1609</v>
      </c>
      <c r="G2102" s="28"/>
      <c r="X2102" s="40"/>
      <c r="Y2102" s="40"/>
    </row>
    <row r="2103" spans="5:25" x14ac:dyDescent="0.35">
      <c r="E2103" t="s">
        <v>209</v>
      </c>
      <c r="F2103" t="s">
        <v>873</v>
      </c>
      <c r="G2103" s="28"/>
      <c r="X2103" s="40"/>
      <c r="Y2103" s="40"/>
    </row>
    <row r="2104" spans="5:25" x14ac:dyDescent="0.35">
      <c r="E2104" t="s">
        <v>209</v>
      </c>
      <c r="F2104" t="s">
        <v>907</v>
      </c>
      <c r="G2104" s="28"/>
      <c r="X2104" s="40"/>
      <c r="Y2104" s="40"/>
    </row>
    <row r="2105" spans="5:25" x14ac:dyDescent="0.35">
      <c r="E2105" t="s">
        <v>209</v>
      </c>
      <c r="F2105" t="s">
        <v>379</v>
      </c>
      <c r="G2105" s="28"/>
      <c r="X2105" s="40"/>
      <c r="Y2105" s="40"/>
    </row>
    <row r="2106" spans="5:25" x14ac:dyDescent="0.35">
      <c r="E2106" t="s">
        <v>209</v>
      </c>
      <c r="F2106" t="s">
        <v>380</v>
      </c>
      <c r="G2106" s="28"/>
      <c r="X2106" s="40"/>
      <c r="Y2106" s="40"/>
    </row>
    <row r="2107" spans="5:25" x14ac:dyDescent="0.35">
      <c r="E2107" t="s">
        <v>209</v>
      </c>
      <c r="F2107" t="s">
        <v>381</v>
      </c>
      <c r="G2107" s="28"/>
      <c r="X2107" s="40"/>
      <c r="Y2107" s="40"/>
    </row>
    <row r="2108" spans="5:25" x14ac:dyDescent="0.35">
      <c r="E2108" t="s">
        <v>209</v>
      </c>
      <c r="F2108" t="s">
        <v>1610</v>
      </c>
      <c r="G2108" s="28"/>
      <c r="X2108" s="40"/>
      <c r="Y2108" s="40"/>
    </row>
    <row r="2109" spans="5:25" x14ac:dyDescent="0.35">
      <c r="E2109" t="s">
        <v>209</v>
      </c>
      <c r="F2109" t="s">
        <v>1611</v>
      </c>
      <c r="G2109" s="28"/>
      <c r="X2109" s="40"/>
      <c r="Y2109" s="40"/>
    </row>
    <row r="2110" spans="5:25" x14ac:dyDescent="0.35">
      <c r="E2110" t="s">
        <v>209</v>
      </c>
      <c r="F2110" t="s">
        <v>908</v>
      </c>
      <c r="G2110" s="28"/>
      <c r="X2110" s="40"/>
      <c r="Y2110" s="40"/>
    </row>
    <row r="2111" spans="5:25" x14ac:dyDescent="0.35">
      <c r="E2111" t="s">
        <v>209</v>
      </c>
      <c r="F2111" t="s">
        <v>971</v>
      </c>
      <c r="G2111" s="28"/>
      <c r="X2111" s="40"/>
      <c r="Y2111" s="40"/>
    </row>
    <row r="2112" spans="5:25" x14ac:dyDescent="0.35">
      <c r="E2112" t="s">
        <v>209</v>
      </c>
      <c r="F2112" t="s">
        <v>717</v>
      </c>
      <c r="G2112" s="28"/>
      <c r="X2112" s="40"/>
      <c r="Y2112" s="40"/>
    </row>
    <row r="2113" spans="5:25" x14ac:dyDescent="0.35">
      <c r="E2113" t="s">
        <v>209</v>
      </c>
      <c r="F2113" t="s">
        <v>382</v>
      </c>
      <c r="G2113" s="28"/>
      <c r="X2113" s="40"/>
      <c r="Y2113" s="40"/>
    </row>
    <row r="2114" spans="5:25" x14ac:dyDescent="0.35">
      <c r="E2114" t="s">
        <v>209</v>
      </c>
      <c r="F2114" t="s">
        <v>1612</v>
      </c>
      <c r="G2114" s="28"/>
      <c r="X2114" s="40"/>
      <c r="Y2114" s="40"/>
    </row>
    <row r="2115" spans="5:25" x14ac:dyDescent="0.35">
      <c r="E2115" t="s">
        <v>209</v>
      </c>
      <c r="F2115" t="s">
        <v>384</v>
      </c>
      <c r="G2115" s="28"/>
      <c r="X2115" s="40"/>
      <c r="Y2115" s="40"/>
    </row>
    <row r="2116" spans="5:25" x14ac:dyDescent="0.35">
      <c r="E2116" t="s">
        <v>209</v>
      </c>
      <c r="F2116" t="s">
        <v>1613</v>
      </c>
      <c r="G2116" s="28"/>
      <c r="X2116" s="40"/>
      <c r="Y2116" s="40"/>
    </row>
    <row r="2117" spans="5:25" x14ac:dyDescent="0.35">
      <c r="E2117" t="s">
        <v>209</v>
      </c>
      <c r="F2117" t="s">
        <v>1614</v>
      </c>
      <c r="G2117" s="28"/>
      <c r="X2117" s="40"/>
      <c r="Y2117" s="40"/>
    </row>
    <row r="2118" spans="5:25" x14ac:dyDescent="0.35">
      <c r="E2118" t="s">
        <v>209</v>
      </c>
      <c r="F2118" t="s">
        <v>631</v>
      </c>
      <c r="G2118" s="28"/>
      <c r="X2118" s="40"/>
      <c r="Y2118" s="40"/>
    </row>
    <row r="2119" spans="5:25" x14ac:dyDescent="0.35">
      <c r="E2119" t="s">
        <v>209</v>
      </c>
      <c r="F2119" t="s">
        <v>878</v>
      </c>
      <c r="G2119" s="28"/>
      <c r="X2119" s="40"/>
      <c r="Y2119" s="40"/>
    </row>
    <row r="2120" spans="5:25" x14ac:dyDescent="0.35">
      <c r="E2120" t="s">
        <v>209</v>
      </c>
      <c r="F2120" t="s">
        <v>1615</v>
      </c>
      <c r="G2120" s="28"/>
      <c r="X2120" s="40"/>
      <c r="Y2120" s="40"/>
    </row>
    <row r="2121" spans="5:25" x14ac:dyDescent="0.35">
      <c r="E2121" t="s">
        <v>209</v>
      </c>
      <c r="F2121" t="s">
        <v>1616</v>
      </c>
      <c r="G2121" s="28"/>
      <c r="X2121" s="40"/>
      <c r="Y2121" s="40"/>
    </row>
    <row r="2122" spans="5:25" x14ac:dyDescent="0.35">
      <c r="E2122" t="s">
        <v>209</v>
      </c>
      <c r="F2122" t="s">
        <v>1617</v>
      </c>
      <c r="G2122" s="28"/>
      <c r="X2122" s="40"/>
      <c r="Y2122" s="40"/>
    </row>
    <row r="2123" spans="5:25" x14ac:dyDescent="0.35">
      <c r="E2123" t="s">
        <v>209</v>
      </c>
      <c r="F2123" t="s">
        <v>1582</v>
      </c>
      <c r="G2123" s="28"/>
      <c r="X2123" s="40"/>
      <c r="Y2123" s="40"/>
    </row>
    <row r="2124" spans="5:25" x14ac:dyDescent="0.35">
      <c r="E2124" t="s">
        <v>209</v>
      </c>
      <c r="F2124" t="s">
        <v>388</v>
      </c>
      <c r="G2124" s="28"/>
      <c r="X2124" s="40"/>
      <c r="Y2124" s="40"/>
    </row>
    <row r="2125" spans="5:25" x14ac:dyDescent="0.35">
      <c r="E2125" t="s">
        <v>209</v>
      </c>
      <c r="F2125" t="s">
        <v>882</v>
      </c>
      <c r="G2125" s="28"/>
      <c r="X2125" s="40"/>
      <c r="Y2125" s="40"/>
    </row>
    <row r="2126" spans="5:25" x14ac:dyDescent="0.35">
      <c r="E2126" t="s">
        <v>209</v>
      </c>
      <c r="F2126" t="s">
        <v>578</v>
      </c>
      <c r="G2126" s="28"/>
      <c r="X2126" s="40"/>
      <c r="Y2126" s="40"/>
    </row>
    <row r="2127" spans="5:25" x14ac:dyDescent="0.35">
      <c r="E2127" t="s">
        <v>209</v>
      </c>
      <c r="F2127" t="s">
        <v>1618</v>
      </c>
      <c r="G2127" s="28"/>
      <c r="X2127" s="40"/>
      <c r="Y2127" s="40"/>
    </row>
    <row r="2128" spans="5:25" x14ac:dyDescent="0.35">
      <c r="E2128" t="s">
        <v>209</v>
      </c>
      <c r="F2128" t="s">
        <v>1619</v>
      </c>
      <c r="G2128" s="28"/>
      <c r="X2128" s="40"/>
      <c r="Y2128" s="40"/>
    </row>
    <row r="2129" spans="5:25" x14ac:dyDescent="0.35">
      <c r="E2129" t="s">
        <v>209</v>
      </c>
      <c r="F2129" t="s">
        <v>449</v>
      </c>
      <c r="G2129" s="28"/>
      <c r="X2129" s="40"/>
      <c r="Y2129" s="40"/>
    </row>
    <row r="2130" spans="5:25" x14ac:dyDescent="0.35">
      <c r="E2130" t="s">
        <v>209</v>
      </c>
      <c r="F2130" t="s">
        <v>1620</v>
      </c>
      <c r="G2130" s="28"/>
      <c r="X2130" s="40"/>
      <c r="Y2130" s="40"/>
    </row>
    <row r="2131" spans="5:25" x14ac:dyDescent="0.35">
      <c r="E2131" t="s">
        <v>209</v>
      </c>
      <c r="F2131" t="s">
        <v>1621</v>
      </c>
      <c r="G2131" s="28"/>
      <c r="X2131" s="40"/>
      <c r="Y2131" s="40"/>
    </row>
    <row r="2132" spans="5:25" x14ac:dyDescent="0.35">
      <c r="E2132" t="s">
        <v>209</v>
      </c>
      <c r="F2132" t="s">
        <v>744</v>
      </c>
      <c r="G2132" s="28"/>
      <c r="X2132" s="40"/>
      <c r="Y2132" s="40"/>
    </row>
    <row r="2133" spans="5:25" x14ac:dyDescent="0.35">
      <c r="E2133" t="s">
        <v>209</v>
      </c>
      <c r="F2133" t="s">
        <v>394</v>
      </c>
      <c r="G2133" s="28"/>
      <c r="X2133" s="40"/>
      <c r="Y2133" s="40"/>
    </row>
    <row r="2134" spans="5:25" x14ac:dyDescent="0.35">
      <c r="E2134" t="s">
        <v>209</v>
      </c>
      <c r="F2134" t="s">
        <v>745</v>
      </c>
      <c r="G2134" s="28"/>
      <c r="X2134" s="40"/>
      <c r="Y2134" s="40"/>
    </row>
    <row r="2135" spans="5:25" x14ac:dyDescent="0.35">
      <c r="E2135" t="s">
        <v>209</v>
      </c>
      <c r="F2135" t="s">
        <v>1467</v>
      </c>
      <c r="G2135" s="28"/>
      <c r="X2135" s="40"/>
      <c r="Y2135" s="40"/>
    </row>
    <row r="2136" spans="5:25" x14ac:dyDescent="0.35">
      <c r="E2136" t="s">
        <v>209</v>
      </c>
      <c r="F2136" t="s">
        <v>1622</v>
      </c>
      <c r="G2136" s="28"/>
      <c r="X2136" s="40"/>
      <c r="Y2136" s="40"/>
    </row>
    <row r="2137" spans="5:25" x14ac:dyDescent="0.35">
      <c r="E2137" t="s">
        <v>209</v>
      </c>
      <c r="F2137" t="s">
        <v>1623</v>
      </c>
      <c r="G2137" s="28"/>
      <c r="X2137" s="40"/>
      <c r="Y2137" s="40"/>
    </row>
    <row r="2138" spans="5:25" x14ac:dyDescent="0.35">
      <c r="E2138" t="s">
        <v>210</v>
      </c>
      <c r="F2138" t="s">
        <v>757</v>
      </c>
      <c r="G2138" s="28"/>
      <c r="X2138" s="40"/>
      <c r="Y2138" s="40"/>
    </row>
    <row r="2139" spans="5:25" x14ac:dyDescent="0.35">
      <c r="E2139" t="s">
        <v>210</v>
      </c>
      <c r="F2139" t="s">
        <v>1624</v>
      </c>
      <c r="G2139" s="28"/>
      <c r="X2139" s="40"/>
      <c r="Y2139" s="40"/>
    </row>
    <row r="2140" spans="5:25" x14ac:dyDescent="0.35">
      <c r="E2140" t="s">
        <v>210</v>
      </c>
      <c r="F2140" t="s">
        <v>1625</v>
      </c>
      <c r="G2140" s="28"/>
      <c r="X2140" s="40"/>
      <c r="Y2140" s="40"/>
    </row>
    <row r="2141" spans="5:25" x14ac:dyDescent="0.35">
      <c r="E2141" t="s">
        <v>210</v>
      </c>
      <c r="F2141" t="s">
        <v>1626</v>
      </c>
      <c r="G2141" s="28"/>
      <c r="X2141" s="40"/>
      <c r="Y2141" s="40"/>
    </row>
    <row r="2142" spans="5:25" x14ac:dyDescent="0.35">
      <c r="E2142" t="s">
        <v>210</v>
      </c>
      <c r="F2142" t="s">
        <v>1627</v>
      </c>
      <c r="G2142" s="28"/>
      <c r="X2142" s="40"/>
      <c r="Y2142" s="40"/>
    </row>
    <row r="2143" spans="5:25" x14ac:dyDescent="0.35">
      <c r="E2143" t="s">
        <v>210</v>
      </c>
      <c r="F2143" t="s">
        <v>814</v>
      </c>
      <c r="G2143" s="28"/>
      <c r="X2143" s="40"/>
      <c r="Y2143" s="40"/>
    </row>
    <row r="2144" spans="5:25" x14ac:dyDescent="0.35">
      <c r="E2144" t="s">
        <v>210</v>
      </c>
      <c r="F2144" t="s">
        <v>654</v>
      </c>
      <c r="G2144" s="28"/>
      <c r="X2144" s="40"/>
      <c r="Y2144" s="40"/>
    </row>
    <row r="2145" spans="5:25" x14ac:dyDescent="0.35">
      <c r="E2145" t="s">
        <v>210</v>
      </c>
      <c r="F2145" t="s">
        <v>1059</v>
      </c>
      <c r="G2145" s="28"/>
      <c r="X2145" s="40"/>
      <c r="Y2145" s="40"/>
    </row>
    <row r="2146" spans="5:25" x14ac:dyDescent="0.35">
      <c r="E2146" t="s">
        <v>210</v>
      </c>
      <c r="F2146" t="s">
        <v>1628</v>
      </c>
      <c r="G2146" s="28"/>
      <c r="X2146" s="40"/>
      <c r="Y2146" s="40"/>
    </row>
    <row r="2147" spans="5:25" x14ac:dyDescent="0.35">
      <c r="E2147" t="s">
        <v>210</v>
      </c>
      <c r="F2147" t="s">
        <v>1011</v>
      </c>
      <c r="G2147" s="28"/>
      <c r="X2147" s="40"/>
      <c r="Y2147" s="40"/>
    </row>
    <row r="2148" spans="5:25" x14ac:dyDescent="0.35">
      <c r="E2148" t="s">
        <v>210</v>
      </c>
      <c r="F2148" t="s">
        <v>339</v>
      </c>
      <c r="G2148" s="28"/>
      <c r="X2148" s="40"/>
      <c r="Y2148" s="40"/>
    </row>
    <row r="2149" spans="5:25" x14ac:dyDescent="0.35">
      <c r="E2149" t="s">
        <v>210</v>
      </c>
      <c r="F2149" t="s">
        <v>341</v>
      </c>
      <c r="G2149" s="28"/>
      <c r="X2149" s="40"/>
      <c r="Y2149" s="40"/>
    </row>
    <row r="2150" spans="5:25" x14ac:dyDescent="0.35">
      <c r="E2150" t="s">
        <v>210</v>
      </c>
      <c r="F2150" t="s">
        <v>1629</v>
      </c>
      <c r="G2150" s="28"/>
      <c r="X2150" s="40"/>
      <c r="Y2150" s="40"/>
    </row>
    <row r="2151" spans="5:25" x14ac:dyDescent="0.35">
      <c r="E2151" t="s">
        <v>210</v>
      </c>
      <c r="F2151" t="s">
        <v>406</v>
      </c>
      <c r="G2151" s="28"/>
      <c r="X2151" s="40"/>
      <c r="Y2151" s="40"/>
    </row>
    <row r="2152" spans="5:25" x14ac:dyDescent="0.35">
      <c r="E2152" t="s">
        <v>210</v>
      </c>
      <c r="F2152" t="s">
        <v>1630</v>
      </c>
      <c r="G2152" s="28"/>
      <c r="X2152" s="40"/>
      <c r="Y2152" s="40"/>
    </row>
    <row r="2153" spans="5:25" x14ac:dyDescent="0.35">
      <c r="E2153" t="s">
        <v>210</v>
      </c>
      <c r="F2153" t="s">
        <v>939</v>
      </c>
      <c r="G2153" s="28"/>
      <c r="X2153" s="40"/>
      <c r="Y2153" s="40"/>
    </row>
    <row r="2154" spans="5:25" x14ac:dyDescent="0.35">
      <c r="E2154" t="s">
        <v>210</v>
      </c>
      <c r="F2154" t="s">
        <v>1631</v>
      </c>
      <c r="G2154" s="28"/>
      <c r="X2154" s="40"/>
      <c r="Y2154" s="40"/>
    </row>
    <row r="2155" spans="5:25" x14ac:dyDescent="0.35">
      <c r="E2155" t="s">
        <v>210</v>
      </c>
      <c r="F2155" t="s">
        <v>1632</v>
      </c>
      <c r="G2155" s="28"/>
      <c r="X2155" s="40"/>
      <c r="Y2155" s="40"/>
    </row>
    <row r="2156" spans="5:25" x14ac:dyDescent="0.35">
      <c r="E2156" t="s">
        <v>210</v>
      </c>
      <c r="F2156" t="s">
        <v>1633</v>
      </c>
      <c r="G2156" s="28"/>
      <c r="X2156" s="40"/>
      <c r="Y2156" s="40"/>
    </row>
    <row r="2157" spans="5:25" x14ac:dyDescent="0.35">
      <c r="E2157" t="s">
        <v>210</v>
      </c>
      <c r="F2157" t="s">
        <v>540</v>
      </c>
      <c r="G2157" s="28"/>
      <c r="X2157" s="40"/>
      <c r="Y2157" s="40"/>
    </row>
    <row r="2158" spans="5:25" x14ac:dyDescent="0.35">
      <c r="E2158" t="s">
        <v>210</v>
      </c>
      <c r="F2158" t="s">
        <v>771</v>
      </c>
      <c r="G2158" s="28"/>
      <c r="X2158" s="40"/>
      <c r="Y2158" s="40"/>
    </row>
    <row r="2159" spans="5:25" x14ac:dyDescent="0.35">
      <c r="E2159" t="s">
        <v>210</v>
      </c>
      <c r="F2159" t="s">
        <v>1634</v>
      </c>
      <c r="G2159" s="28"/>
      <c r="X2159" s="40"/>
      <c r="Y2159" s="40"/>
    </row>
    <row r="2160" spans="5:25" x14ac:dyDescent="0.35">
      <c r="E2160" t="s">
        <v>210</v>
      </c>
      <c r="F2160" t="s">
        <v>943</v>
      </c>
      <c r="G2160" s="28"/>
      <c r="X2160" s="40"/>
      <c r="Y2160" s="40"/>
    </row>
    <row r="2161" spans="5:25" x14ac:dyDescent="0.35">
      <c r="E2161" t="s">
        <v>210</v>
      </c>
      <c r="F2161" t="s">
        <v>549</v>
      </c>
      <c r="G2161" s="28"/>
      <c r="X2161" s="40"/>
      <c r="Y2161" s="40"/>
    </row>
    <row r="2162" spans="5:25" x14ac:dyDescent="0.35">
      <c r="E2162" t="s">
        <v>210</v>
      </c>
      <c r="F2162" t="s">
        <v>1635</v>
      </c>
      <c r="G2162" s="28"/>
      <c r="X2162" s="40"/>
      <c r="Y2162" s="40"/>
    </row>
    <row r="2163" spans="5:25" x14ac:dyDescent="0.35">
      <c r="E2163" t="s">
        <v>210</v>
      </c>
      <c r="F2163" t="s">
        <v>691</v>
      </c>
      <c r="G2163" s="28"/>
      <c r="X2163" s="40"/>
      <c r="Y2163" s="40"/>
    </row>
    <row r="2164" spans="5:25" x14ac:dyDescent="0.35">
      <c r="E2164" t="s">
        <v>210</v>
      </c>
      <c r="F2164" t="s">
        <v>418</v>
      </c>
      <c r="G2164" s="28"/>
      <c r="X2164" s="40"/>
      <c r="Y2164" s="40"/>
    </row>
    <row r="2165" spans="5:25" x14ac:dyDescent="0.35">
      <c r="E2165" t="s">
        <v>210</v>
      </c>
      <c r="F2165" t="s">
        <v>1636</v>
      </c>
      <c r="G2165" s="28"/>
      <c r="X2165" s="40"/>
      <c r="Y2165" s="40"/>
    </row>
    <row r="2166" spans="5:25" x14ac:dyDescent="0.35">
      <c r="E2166" t="s">
        <v>210</v>
      </c>
      <c r="F2166" t="s">
        <v>1637</v>
      </c>
      <c r="G2166" s="28"/>
      <c r="X2166" s="40"/>
      <c r="Y2166" s="40"/>
    </row>
    <row r="2167" spans="5:25" x14ac:dyDescent="0.35">
      <c r="E2167" t="s">
        <v>210</v>
      </c>
      <c r="F2167" t="s">
        <v>951</v>
      </c>
      <c r="G2167" s="28"/>
      <c r="X2167" s="40"/>
      <c r="Y2167" s="40"/>
    </row>
    <row r="2168" spans="5:25" x14ac:dyDescent="0.35">
      <c r="E2168" t="s">
        <v>210</v>
      </c>
      <c r="F2168" t="s">
        <v>953</v>
      </c>
      <c r="G2168" s="28"/>
      <c r="X2168" s="40"/>
      <c r="Y2168" s="40"/>
    </row>
    <row r="2169" spans="5:25" x14ac:dyDescent="0.35">
      <c r="E2169" t="s">
        <v>210</v>
      </c>
      <c r="F2169" t="s">
        <v>1638</v>
      </c>
      <c r="G2169" s="28"/>
      <c r="X2169" s="40"/>
      <c r="Y2169" s="40"/>
    </row>
    <row r="2170" spans="5:25" x14ac:dyDescent="0.35">
      <c r="E2170" t="s">
        <v>210</v>
      </c>
      <c r="F2170" t="s">
        <v>365</v>
      </c>
      <c r="G2170" s="28"/>
      <c r="X2170" s="40"/>
      <c r="Y2170" s="40"/>
    </row>
    <row r="2171" spans="5:25" x14ac:dyDescent="0.35">
      <c r="E2171" t="s">
        <v>210</v>
      </c>
      <c r="F2171" t="s">
        <v>366</v>
      </c>
      <c r="G2171" s="28"/>
      <c r="X2171" s="40"/>
      <c r="Y2171" s="40"/>
    </row>
    <row r="2172" spans="5:25" x14ac:dyDescent="0.35">
      <c r="E2172" t="s">
        <v>210</v>
      </c>
      <c r="F2172" t="s">
        <v>1406</v>
      </c>
      <c r="G2172" s="28"/>
      <c r="X2172" s="40"/>
      <c r="Y2172" s="40"/>
    </row>
    <row r="2173" spans="5:25" x14ac:dyDescent="0.35">
      <c r="E2173" t="s">
        <v>210</v>
      </c>
      <c r="F2173" t="s">
        <v>1639</v>
      </c>
      <c r="G2173" s="28"/>
      <c r="X2173" s="40"/>
      <c r="Y2173" s="40"/>
    </row>
    <row r="2174" spans="5:25" x14ac:dyDescent="0.35">
      <c r="E2174" t="s">
        <v>210</v>
      </c>
      <c r="F2174" t="s">
        <v>1640</v>
      </c>
      <c r="G2174" s="28"/>
      <c r="X2174" s="40"/>
      <c r="Y2174" s="40"/>
    </row>
    <row r="2175" spans="5:25" x14ac:dyDescent="0.35">
      <c r="E2175" t="s">
        <v>210</v>
      </c>
      <c r="F2175" t="s">
        <v>555</v>
      </c>
      <c r="G2175" s="28"/>
      <c r="X2175" s="40"/>
      <c r="Y2175" s="40"/>
    </row>
    <row r="2176" spans="5:25" x14ac:dyDescent="0.35">
      <c r="E2176" t="s">
        <v>210</v>
      </c>
      <c r="F2176" t="s">
        <v>1641</v>
      </c>
      <c r="G2176" s="28"/>
      <c r="X2176" s="40"/>
      <c r="Y2176" s="40"/>
    </row>
    <row r="2177" spans="5:25" x14ac:dyDescent="0.35">
      <c r="E2177" t="s">
        <v>210</v>
      </c>
      <c r="F2177" t="s">
        <v>1642</v>
      </c>
      <c r="G2177" s="28"/>
      <c r="X2177" s="40"/>
      <c r="Y2177" s="40"/>
    </row>
    <row r="2178" spans="5:25" x14ac:dyDescent="0.35">
      <c r="E2178" t="s">
        <v>210</v>
      </c>
      <c r="F2178" t="s">
        <v>426</v>
      </c>
      <c r="G2178" s="28"/>
      <c r="X2178" s="40"/>
      <c r="Y2178" s="40"/>
    </row>
    <row r="2179" spans="5:25" x14ac:dyDescent="0.35">
      <c r="E2179" t="s">
        <v>210</v>
      </c>
      <c r="F2179" t="s">
        <v>428</v>
      </c>
      <c r="G2179" s="28"/>
      <c r="X2179" s="40"/>
      <c r="Y2179" s="40"/>
    </row>
    <row r="2180" spans="5:25" x14ac:dyDescent="0.35">
      <c r="E2180" t="s">
        <v>210</v>
      </c>
      <c r="F2180" t="s">
        <v>1643</v>
      </c>
      <c r="G2180" s="28"/>
      <c r="X2180" s="40"/>
      <c r="Y2180" s="40"/>
    </row>
    <row r="2181" spans="5:25" x14ac:dyDescent="0.35">
      <c r="E2181" t="s">
        <v>210</v>
      </c>
      <c r="F2181" t="s">
        <v>1644</v>
      </c>
      <c r="G2181" s="28"/>
      <c r="X2181" s="40"/>
      <c r="Y2181" s="40"/>
    </row>
    <row r="2182" spans="5:25" x14ac:dyDescent="0.35">
      <c r="E2182" t="s">
        <v>210</v>
      </c>
      <c r="F2182" t="s">
        <v>377</v>
      </c>
      <c r="G2182" s="28"/>
      <c r="X2182" s="40"/>
      <c r="Y2182" s="40"/>
    </row>
    <row r="2183" spans="5:25" x14ac:dyDescent="0.35">
      <c r="E2183" t="s">
        <v>210</v>
      </c>
      <c r="F2183" t="s">
        <v>1645</v>
      </c>
      <c r="G2183" s="28"/>
      <c r="X2183" s="40"/>
      <c r="Y2183" s="40"/>
    </row>
    <row r="2184" spans="5:25" x14ac:dyDescent="0.35">
      <c r="E2184" t="s">
        <v>210</v>
      </c>
      <c r="F2184" t="s">
        <v>1646</v>
      </c>
      <c r="G2184" s="28"/>
      <c r="X2184" s="40"/>
      <c r="Y2184" s="40"/>
    </row>
    <row r="2185" spans="5:25" x14ac:dyDescent="0.35">
      <c r="E2185" t="s">
        <v>210</v>
      </c>
      <c r="F2185" t="s">
        <v>1647</v>
      </c>
      <c r="G2185" s="28"/>
      <c r="X2185" s="40"/>
      <c r="Y2185" s="40"/>
    </row>
    <row r="2186" spans="5:25" x14ac:dyDescent="0.35">
      <c r="E2186" t="s">
        <v>210</v>
      </c>
      <c r="F2186" t="s">
        <v>710</v>
      </c>
      <c r="G2186" s="28"/>
      <c r="X2186" s="40"/>
      <c r="Y2186" s="40"/>
    </row>
    <row r="2187" spans="5:25" x14ac:dyDescent="0.35">
      <c r="E2187" t="s">
        <v>210</v>
      </c>
      <c r="F2187" t="s">
        <v>713</v>
      </c>
      <c r="G2187" s="28"/>
      <c r="X2187" s="40"/>
      <c r="Y2187" s="40"/>
    </row>
    <row r="2188" spans="5:25" x14ac:dyDescent="0.35">
      <c r="E2188" t="s">
        <v>210</v>
      </c>
      <c r="F2188" t="s">
        <v>1648</v>
      </c>
      <c r="G2188" s="28"/>
      <c r="X2188" s="40"/>
      <c r="Y2188" s="40"/>
    </row>
    <row r="2189" spans="5:25" x14ac:dyDescent="0.35">
      <c r="E2189" t="s">
        <v>210</v>
      </c>
      <c r="F2189" t="s">
        <v>908</v>
      </c>
      <c r="G2189" s="28"/>
      <c r="X2189" s="40"/>
      <c r="Y2189" s="40"/>
    </row>
    <row r="2190" spans="5:25" x14ac:dyDescent="0.35">
      <c r="E2190" t="s">
        <v>210</v>
      </c>
      <c r="F2190" t="s">
        <v>1649</v>
      </c>
      <c r="G2190" s="28"/>
      <c r="X2190" s="40"/>
      <c r="Y2190" s="40"/>
    </row>
    <row r="2191" spans="5:25" x14ac:dyDescent="0.35">
      <c r="E2191" t="s">
        <v>210</v>
      </c>
      <c r="F2191" t="s">
        <v>1650</v>
      </c>
      <c r="G2191" s="28"/>
      <c r="X2191" s="40"/>
      <c r="Y2191" s="40"/>
    </row>
    <row r="2192" spans="5:25" x14ac:dyDescent="0.35">
      <c r="E2192" t="s">
        <v>210</v>
      </c>
      <c r="F2192" t="s">
        <v>1651</v>
      </c>
      <c r="G2192" s="28"/>
      <c r="X2192" s="40"/>
      <c r="Y2192" s="40"/>
    </row>
    <row r="2193" spans="5:25" x14ac:dyDescent="0.35">
      <c r="E2193" t="s">
        <v>210</v>
      </c>
      <c r="F2193" t="s">
        <v>1652</v>
      </c>
      <c r="G2193" s="28"/>
      <c r="X2193" s="40"/>
      <c r="Y2193" s="40"/>
    </row>
    <row r="2194" spans="5:25" x14ac:dyDescent="0.35">
      <c r="E2194" t="s">
        <v>210</v>
      </c>
      <c r="F2194" t="s">
        <v>969</v>
      </c>
      <c r="G2194" s="28"/>
      <c r="X2194" s="40"/>
      <c r="Y2194" s="40"/>
    </row>
    <row r="2195" spans="5:25" x14ac:dyDescent="0.35">
      <c r="E2195" t="s">
        <v>210</v>
      </c>
      <c r="F2195" t="s">
        <v>971</v>
      </c>
      <c r="G2195" s="28"/>
      <c r="X2195" s="40"/>
      <c r="Y2195" s="40"/>
    </row>
    <row r="2196" spans="5:25" x14ac:dyDescent="0.35">
      <c r="E2196" t="s">
        <v>210</v>
      </c>
      <c r="F2196" t="s">
        <v>972</v>
      </c>
      <c r="G2196" s="28"/>
      <c r="X2196" s="40"/>
      <c r="Y2196" s="40"/>
    </row>
    <row r="2197" spans="5:25" x14ac:dyDescent="0.35">
      <c r="E2197" t="s">
        <v>210</v>
      </c>
      <c r="F2197" t="s">
        <v>1653</v>
      </c>
      <c r="G2197" s="28"/>
      <c r="X2197" s="40"/>
      <c r="Y2197" s="40"/>
    </row>
    <row r="2198" spans="5:25" x14ac:dyDescent="0.35">
      <c r="E2198" t="s">
        <v>210</v>
      </c>
      <c r="F2198" t="s">
        <v>1654</v>
      </c>
      <c r="G2198" s="28"/>
      <c r="X2198" s="40"/>
      <c r="Y2198" s="40"/>
    </row>
    <row r="2199" spans="5:25" x14ac:dyDescent="0.35">
      <c r="E2199" t="s">
        <v>210</v>
      </c>
      <c r="F2199" t="s">
        <v>1322</v>
      </c>
      <c r="G2199" s="28"/>
      <c r="X2199" s="40"/>
      <c r="Y2199" s="40"/>
    </row>
    <row r="2200" spans="5:25" x14ac:dyDescent="0.35">
      <c r="E2200" t="s">
        <v>210</v>
      </c>
      <c r="F2200" t="s">
        <v>973</v>
      </c>
      <c r="G2200" s="28"/>
      <c r="X2200" s="40"/>
      <c r="Y2200" s="40"/>
    </row>
    <row r="2201" spans="5:25" x14ac:dyDescent="0.35">
      <c r="E2201" t="s">
        <v>210</v>
      </c>
      <c r="F2201" t="s">
        <v>1655</v>
      </c>
      <c r="G2201" s="28"/>
      <c r="X2201" s="40"/>
      <c r="Y2201" s="40"/>
    </row>
    <row r="2202" spans="5:25" x14ac:dyDescent="0.35">
      <c r="E2202" t="s">
        <v>210</v>
      </c>
      <c r="F2202" t="s">
        <v>1656</v>
      </c>
      <c r="G2202" s="28"/>
      <c r="X2202" s="40"/>
      <c r="Y2202" s="40"/>
    </row>
    <row r="2203" spans="5:25" x14ac:dyDescent="0.35">
      <c r="E2203" t="s">
        <v>210</v>
      </c>
      <c r="F2203" t="s">
        <v>1657</v>
      </c>
      <c r="G2203" s="28"/>
      <c r="X2203" s="40"/>
      <c r="Y2203" s="40"/>
    </row>
    <row r="2204" spans="5:25" x14ac:dyDescent="0.35">
      <c r="E2204" t="s">
        <v>210</v>
      </c>
      <c r="F2204" t="s">
        <v>636</v>
      </c>
      <c r="G2204" s="28"/>
      <c r="X2204" s="40"/>
      <c r="Y2204" s="40"/>
    </row>
    <row r="2205" spans="5:25" x14ac:dyDescent="0.35">
      <c r="E2205" t="s">
        <v>210</v>
      </c>
      <c r="F2205" t="s">
        <v>1658</v>
      </c>
      <c r="G2205" s="28"/>
      <c r="X2205" s="40"/>
      <c r="Y2205" s="40"/>
    </row>
    <row r="2206" spans="5:25" x14ac:dyDescent="0.35">
      <c r="E2206" t="s">
        <v>210</v>
      </c>
      <c r="F2206" t="s">
        <v>727</v>
      </c>
      <c r="G2206" s="28"/>
      <c r="X2206" s="40"/>
      <c r="Y2206" s="40"/>
    </row>
    <row r="2207" spans="5:25" x14ac:dyDescent="0.35">
      <c r="E2207" t="s">
        <v>210</v>
      </c>
      <c r="F2207" t="s">
        <v>1298</v>
      </c>
      <c r="G2207" s="28"/>
      <c r="X2207" s="40"/>
      <c r="Y2207" s="40"/>
    </row>
    <row r="2208" spans="5:25" x14ac:dyDescent="0.35">
      <c r="E2208" t="s">
        <v>210</v>
      </c>
      <c r="F2208" t="s">
        <v>1659</v>
      </c>
      <c r="G2208" s="28"/>
      <c r="X2208" s="40"/>
      <c r="Y2208" s="40"/>
    </row>
    <row r="2209" spans="5:25" x14ac:dyDescent="0.35">
      <c r="E2209" t="s">
        <v>210</v>
      </c>
      <c r="F2209" t="s">
        <v>1660</v>
      </c>
      <c r="G2209" s="28"/>
      <c r="X2209" s="40"/>
      <c r="Y2209" s="40"/>
    </row>
    <row r="2210" spans="5:25" x14ac:dyDescent="0.35">
      <c r="E2210" t="s">
        <v>210</v>
      </c>
      <c r="F2210" t="s">
        <v>1661</v>
      </c>
      <c r="G2210" s="28"/>
      <c r="X2210" s="40"/>
      <c r="Y2210" s="40"/>
    </row>
    <row r="2211" spans="5:25" x14ac:dyDescent="0.35">
      <c r="E2211" t="s">
        <v>210</v>
      </c>
      <c r="F2211" t="s">
        <v>394</v>
      </c>
      <c r="G2211" s="28"/>
      <c r="X2211" s="40"/>
      <c r="Y2211" s="40"/>
    </row>
    <row r="2212" spans="5:25" x14ac:dyDescent="0.35">
      <c r="E2212" t="s">
        <v>210</v>
      </c>
      <c r="F2212" t="s">
        <v>1662</v>
      </c>
      <c r="G2212" s="28"/>
      <c r="X2212" s="40"/>
      <c r="Y2212" s="40"/>
    </row>
    <row r="2213" spans="5:25" x14ac:dyDescent="0.35">
      <c r="E2213" t="s">
        <v>210</v>
      </c>
      <c r="F2213" t="s">
        <v>1663</v>
      </c>
      <c r="G2213" s="28"/>
      <c r="X2213" s="40"/>
      <c r="Y2213" s="40"/>
    </row>
    <row r="2214" spans="5:25" x14ac:dyDescent="0.35">
      <c r="E2214" t="s">
        <v>210</v>
      </c>
      <c r="F2214" t="s">
        <v>1664</v>
      </c>
      <c r="G2214" s="28"/>
      <c r="X2214" s="40"/>
      <c r="Y2214" s="40"/>
    </row>
    <row r="2215" spans="5:25" x14ac:dyDescent="0.35">
      <c r="E2215" t="s">
        <v>211</v>
      </c>
      <c r="F2215" t="s">
        <v>594</v>
      </c>
      <c r="G2215" s="28"/>
      <c r="X2215" s="40"/>
      <c r="Y2215" s="40"/>
    </row>
    <row r="2216" spans="5:25" x14ac:dyDescent="0.35">
      <c r="E2216" t="s">
        <v>211</v>
      </c>
      <c r="F2216" t="s">
        <v>400</v>
      </c>
      <c r="G2216" s="28"/>
      <c r="X2216" s="40"/>
      <c r="Y2216" s="40"/>
    </row>
    <row r="2217" spans="5:25" x14ac:dyDescent="0.35">
      <c r="E2217" t="s">
        <v>211</v>
      </c>
      <c r="F2217" t="s">
        <v>1665</v>
      </c>
      <c r="G2217" s="28"/>
      <c r="X2217" s="40"/>
      <c r="Y2217" s="40"/>
    </row>
    <row r="2218" spans="5:25" x14ac:dyDescent="0.35">
      <c r="E2218" t="s">
        <v>211</v>
      </c>
      <c r="F2218" t="s">
        <v>1666</v>
      </c>
      <c r="G2218" s="28"/>
      <c r="X2218" s="40"/>
      <c r="Y2218" s="40"/>
    </row>
    <row r="2219" spans="5:25" x14ac:dyDescent="0.35">
      <c r="E2219" t="s">
        <v>211</v>
      </c>
      <c r="F2219" t="s">
        <v>407</v>
      </c>
      <c r="G2219" s="28"/>
      <c r="X2219" s="40"/>
      <c r="Y2219" s="40"/>
    </row>
    <row r="2220" spans="5:25" x14ac:dyDescent="0.35">
      <c r="E2220" t="s">
        <v>211</v>
      </c>
      <c r="F2220" t="s">
        <v>1510</v>
      </c>
      <c r="G2220" s="28"/>
      <c r="X2220" s="40"/>
      <c r="Y2220" s="40"/>
    </row>
    <row r="2221" spans="5:25" x14ac:dyDescent="0.35">
      <c r="E2221" t="s">
        <v>211</v>
      </c>
      <c r="F2221" t="s">
        <v>1667</v>
      </c>
      <c r="G2221" s="28"/>
      <c r="X2221" s="40"/>
      <c r="Y2221" s="40"/>
    </row>
    <row r="2222" spans="5:25" x14ac:dyDescent="0.35">
      <c r="E2222" t="s">
        <v>211</v>
      </c>
      <c r="F2222" t="s">
        <v>1529</v>
      </c>
      <c r="G2222" s="28"/>
      <c r="X2222" s="40"/>
      <c r="Y2222" s="40"/>
    </row>
    <row r="2223" spans="5:25" x14ac:dyDescent="0.35">
      <c r="E2223" t="s">
        <v>211</v>
      </c>
      <c r="F2223" t="s">
        <v>1668</v>
      </c>
      <c r="G2223" s="28"/>
      <c r="X2223" s="40"/>
      <c r="Y2223" s="40"/>
    </row>
    <row r="2224" spans="5:25" x14ac:dyDescent="0.35">
      <c r="E2224" t="s">
        <v>211</v>
      </c>
      <c r="F2224" t="s">
        <v>544</v>
      </c>
      <c r="G2224" s="28"/>
      <c r="X2224" s="40"/>
      <c r="Y2224" s="40"/>
    </row>
    <row r="2225" spans="5:25" x14ac:dyDescent="0.35">
      <c r="E2225" t="s">
        <v>211</v>
      </c>
      <c r="F2225" t="s">
        <v>1669</v>
      </c>
      <c r="G2225" s="28"/>
      <c r="X2225" s="40"/>
      <c r="Y2225" s="40"/>
    </row>
    <row r="2226" spans="5:25" x14ac:dyDescent="0.35">
      <c r="E2226" t="s">
        <v>211</v>
      </c>
      <c r="F2226" t="s">
        <v>418</v>
      </c>
      <c r="G2226" s="28"/>
      <c r="X2226" s="40"/>
      <c r="Y2226" s="40"/>
    </row>
    <row r="2227" spans="5:25" x14ac:dyDescent="0.35">
      <c r="E2227" t="s">
        <v>211</v>
      </c>
      <c r="F2227" t="s">
        <v>1670</v>
      </c>
      <c r="G2227" s="28"/>
      <c r="X2227" s="40"/>
      <c r="Y2227" s="40"/>
    </row>
    <row r="2228" spans="5:25" x14ac:dyDescent="0.35">
      <c r="E2228" t="s">
        <v>211</v>
      </c>
      <c r="F2228" t="s">
        <v>1671</v>
      </c>
      <c r="G2228" s="28"/>
      <c r="X2228" s="40"/>
      <c r="Y2228" s="40"/>
    </row>
    <row r="2229" spans="5:25" x14ac:dyDescent="0.35">
      <c r="E2229" t="s">
        <v>211</v>
      </c>
      <c r="F2229" t="s">
        <v>365</v>
      </c>
      <c r="G2229" s="28"/>
      <c r="X2229" s="40"/>
      <c r="Y2229" s="40"/>
    </row>
    <row r="2230" spans="5:25" x14ac:dyDescent="0.35">
      <c r="E2230" t="s">
        <v>211</v>
      </c>
      <c r="F2230" t="s">
        <v>366</v>
      </c>
      <c r="G2230" s="28"/>
      <c r="X2230" s="40"/>
      <c r="Y2230" s="40"/>
    </row>
    <row r="2231" spans="5:25" x14ac:dyDescent="0.35">
      <c r="E2231" t="s">
        <v>211</v>
      </c>
      <c r="F2231" t="s">
        <v>1672</v>
      </c>
      <c r="G2231" s="28"/>
      <c r="X2231" s="40"/>
      <c r="Y2231" s="40"/>
    </row>
    <row r="2232" spans="5:25" x14ac:dyDescent="0.35">
      <c r="E2232" t="s">
        <v>211</v>
      </c>
      <c r="F2232" t="s">
        <v>1673</v>
      </c>
      <c r="G2232" s="28"/>
      <c r="X2232" s="40"/>
      <c r="Y2232" s="40"/>
    </row>
    <row r="2233" spans="5:25" x14ac:dyDescent="0.35">
      <c r="E2233" t="s">
        <v>211</v>
      </c>
      <c r="F2233" t="s">
        <v>486</v>
      </c>
      <c r="G2233" s="28"/>
      <c r="X2233" s="40"/>
      <c r="Y2233" s="40"/>
    </row>
    <row r="2234" spans="5:25" x14ac:dyDescent="0.35">
      <c r="E2234" t="s">
        <v>211</v>
      </c>
      <c r="F2234" t="s">
        <v>959</v>
      </c>
      <c r="G2234" s="28"/>
      <c r="X2234" s="40"/>
      <c r="Y2234" s="40"/>
    </row>
    <row r="2235" spans="5:25" x14ac:dyDescent="0.35">
      <c r="E2235" t="s">
        <v>211</v>
      </c>
      <c r="F2235" t="s">
        <v>426</v>
      </c>
      <c r="G2235" s="28"/>
      <c r="X2235" s="40"/>
      <c r="Y2235" s="40"/>
    </row>
    <row r="2236" spans="5:25" x14ac:dyDescent="0.35">
      <c r="E2236" t="s">
        <v>211</v>
      </c>
      <c r="F2236" t="s">
        <v>784</v>
      </c>
      <c r="G2236" s="28"/>
      <c r="X2236" s="40"/>
      <c r="Y2236" s="40"/>
    </row>
    <row r="2237" spans="5:25" x14ac:dyDescent="0.35">
      <c r="E2237" t="s">
        <v>211</v>
      </c>
      <c r="F2237" t="s">
        <v>1674</v>
      </c>
      <c r="G2237" s="28"/>
      <c r="X2237" s="40"/>
      <c r="Y2237" s="40"/>
    </row>
    <row r="2238" spans="5:25" x14ac:dyDescent="0.35">
      <c r="E2238" t="s">
        <v>211</v>
      </c>
      <c r="F2238" t="s">
        <v>376</v>
      </c>
      <c r="G2238" s="28"/>
      <c r="X2238" s="40"/>
      <c r="Y2238" s="40"/>
    </row>
    <row r="2239" spans="5:25" x14ac:dyDescent="0.35">
      <c r="E2239" t="s">
        <v>211</v>
      </c>
      <c r="F2239" t="s">
        <v>1610</v>
      </c>
      <c r="G2239" s="28"/>
      <c r="X2239" s="40"/>
      <c r="Y2239" s="40"/>
    </row>
    <row r="2240" spans="5:25" x14ac:dyDescent="0.35">
      <c r="E2240" t="s">
        <v>211</v>
      </c>
      <c r="F2240" t="s">
        <v>1675</v>
      </c>
      <c r="G2240" s="28"/>
      <c r="X2240" s="40"/>
      <c r="Y2240" s="40"/>
    </row>
    <row r="2241" spans="5:25" x14ac:dyDescent="0.35">
      <c r="E2241" t="s">
        <v>211</v>
      </c>
      <c r="F2241" t="s">
        <v>437</v>
      </c>
      <c r="G2241" s="28"/>
      <c r="X2241" s="40"/>
      <c r="Y2241" s="40"/>
    </row>
    <row r="2242" spans="5:25" x14ac:dyDescent="0.35">
      <c r="E2242" t="s">
        <v>211</v>
      </c>
      <c r="F2242" t="s">
        <v>984</v>
      </c>
      <c r="G2242" s="28"/>
      <c r="X2242" s="40"/>
      <c r="Y2242" s="40"/>
    </row>
    <row r="2243" spans="5:25" x14ac:dyDescent="0.35">
      <c r="E2243" t="s">
        <v>211</v>
      </c>
      <c r="F2243" t="s">
        <v>1676</v>
      </c>
      <c r="G2243" s="28"/>
      <c r="X2243" s="40"/>
      <c r="Y2243" s="40"/>
    </row>
    <row r="2244" spans="5:25" x14ac:dyDescent="0.35">
      <c r="E2244" t="s">
        <v>211</v>
      </c>
      <c r="F2244" t="s">
        <v>1677</v>
      </c>
      <c r="G2244" s="28"/>
      <c r="X2244" s="40"/>
      <c r="Y2244" s="40"/>
    </row>
    <row r="2245" spans="5:25" x14ac:dyDescent="0.35">
      <c r="E2245" t="s">
        <v>211</v>
      </c>
      <c r="F2245" t="s">
        <v>449</v>
      </c>
      <c r="G2245" s="28"/>
      <c r="X2245" s="40"/>
      <c r="Y2245" s="40"/>
    </row>
    <row r="2246" spans="5:25" x14ac:dyDescent="0.35">
      <c r="E2246" t="s">
        <v>211</v>
      </c>
      <c r="F2246" t="s">
        <v>1678</v>
      </c>
      <c r="G2246" s="28"/>
      <c r="X2246" s="40"/>
      <c r="Y2246" s="40"/>
    </row>
    <row r="2247" spans="5:25" x14ac:dyDescent="0.35">
      <c r="E2247" t="s">
        <v>211</v>
      </c>
      <c r="F2247" t="s">
        <v>1679</v>
      </c>
      <c r="G2247" s="28"/>
      <c r="X2247" s="40"/>
      <c r="Y2247" s="40"/>
    </row>
    <row r="2248" spans="5:25" x14ac:dyDescent="0.35">
      <c r="E2248" t="s">
        <v>211</v>
      </c>
      <c r="F2248" t="s">
        <v>394</v>
      </c>
      <c r="G2248" s="28"/>
      <c r="X2248" s="40"/>
      <c r="Y2248" s="40"/>
    </row>
    <row r="2249" spans="5:25" x14ac:dyDescent="0.35">
      <c r="E2249" t="s">
        <v>211</v>
      </c>
      <c r="F2249" t="s">
        <v>747</v>
      </c>
      <c r="G2249" s="28"/>
      <c r="X2249" s="40"/>
      <c r="Y2249" s="40"/>
    </row>
    <row r="2250" spans="5:25" x14ac:dyDescent="0.35">
      <c r="E2250" t="s">
        <v>211</v>
      </c>
      <c r="F2250" t="s">
        <v>1680</v>
      </c>
      <c r="G2250" s="28"/>
      <c r="X2250" s="40"/>
      <c r="Y2250" s="40"/>
    </row>
    <row r="2251" spans="5:25" x14ac:dyDescent="0.35">
      <c r="E2251" t="s">
        <v>212</v>
      </c>
      <c r="F2251" t="s">
        <v>526</v>
      </c>
      <c r="G2251" s="28"/>
      <c r="X2251" s="40"/>
      <c r="Y2251" s="40"/>
    </row>
    <row r="2252" spans="5:25" x14ac:dyDescent="0.35">
      <c r="E2252" t="s">
        <v>212</v>
      </c>
      <c r="F2252" t="s">
        <v>1681</v>
      </c>
      <c r="G2252" s="28"/>
      <c r="X2252" s="40"/>
      <c r="Y2252" s="40"/>
    </row>
    <row r="2253" spans="5:25" x14ac:dyDescent="0.35">
      <c r="E2253" t="s">
        <v>212</v>
      </c>
      <c r="F2253" t="s">
        <v>1682</v>
      </c>
      <c r="G2253" s="28"/>
      <c r="X2253" s="40"/>
      <c r="Y2253" s="40"/>
    </row>
    <row r="2254" spans="5:25" x14ac:dyDescent="0.35">
      <c r="E2254" t="s">
        <v>212</v>
      </c>
      <c r="F2254" t="s">
        <v>1626</v>
      </c>
      <c r="G2254" s="28"/>
      <c r="X2254" s="40"/>
      <c r="Y2254" s="40"/>
    </row>
    <row r="2255" spans="5:25" x14ac:dyDescent="0.35">
      <c r="E2255" t="s">
        <v>212</v>
      </c>
      <c r="F2255" t="s">
        <v>1683</v>
      </c>
      <c r="G2255" s="28"/>
      <c r="X2255" s="40"/>
      <c r="Y2255" s="40"/>
    </row>
    <row r="2256" spans="5:25" x14ac:dyDescent="0.35">
      <c r="E2256" t="s">
        <v>212</v>
      </c>
      <c r="F2256" t="s">
        <v>1684</v>
      </c>
      <c r="G2256" s="28"/>
      <c r="X2256" s="40"/>
      <c r="Y2256" s="40"/>
    </row>
    <row r="2257" spans="5:25" x14ac:dyDescent="0.35">
      <c r="E2257" t="s">
        <v>212</v>
      </c>
      <c r="F2257" t="s">
        <v>1685</v>
      </c>
      <c r="G2257" s="28"/>
      <c r="X2257" s="40"/>
      <c r="Y2257" s="40"/>
    </row>
    <row r="2258" spans="5:25" x14ac:dyDescent="0.35">
      <c r="E2258" t="s">
        <v>212</v>
      </c>
      <c r="F2258" t="s">
        <v>596</v>
      </c>
      <c r="G2258" s="28"/>
      <c r="X2258" s="40"/>
      <c r="Y2258" s="40"/>
    </row>
    <row r="2259" spans="5:25" x14ac:dyDescent="0.35">
      <c r="E2259" t="s">
        <v>212</v>
      </c>
      <c r="F2259" t="s">
        <v>1686</v>
      </c>
      <c r="G2259" s="28"/>
      <c r="X2259" s="40"/>
      <c r="Y2259" s="40"/>
    </row>
    <row r="2260" spans="5:25" x14ac:dyDescent="0.35">
      <c r="E2260" t="s">
        <v>212</v>
      </c>
      <c r="F2260" t="s">
        <v>336</v>
      </c>
      <c r="G2260" s="28"/>
      <c r="X2260" s="40"/>
      <c r="Y2260" s="40"/>
    </row>
    <row r="2261" spans="5:25" x14ac:dyDescent="0.35">
      <c r="E2261" t="s">
        <v>212</v>
      </c>
      <c r="F2261" t="s">
        <v>1687</v>
      </c>
      <c r="G2261" s="28"/>
      <c r="X2261" s="40"/>
      <c r="Y2261" s="40"/>
    </row>
    <row r="2262" spans="5:25" x14ac:dyDescent="0.35">
      <c r="E2262" t="s">
        <v>212</v>
      </c>
      <c r="F2262" t="s">
        <v>1061</v>
      </c>
      <c r="G2262" s="28"/>
      <c r="X2262" s="40"/>
      <c r="Y2262" s="40"/>
    </row>
    <row r="2263" spans="5:25" x14ac:dyDescent="0.35">
      <c r="E2263" t="s">
        <v>212</v>
      </c>
      <c r="F2263" t="s">
        <v>1338</v>
      </c>
      <c r="G2263" s="28"/>
      <c r="X2263" s="40"/>
      <c r="Y2263" s="40"/>
    </row>
    <row r="2264" spans="5:25" x14ac:dyDescent="0.35">
      <c r="E2264" t="s">
        <v>212</v>
      </c>
      <c r="F2264" t="s">
        <v>1688</v>
      </c>
      <c r="G2264" s="28"/>
      <c r="X2264" s="40"/>
      <c r="Y2264" s="40"/>
    </row>
    <row r="2265" spans="5:25" x14ac:dyDescent="0.35">
      <c r="E2265" t="s">
        <v>212</v>
      </c>
      <c r="F2265" t="s">
        <v>1689</v>
      </c>
      <c r="G2265" s="28"/>
      <c r="X2265" s="40"/>
      <c r="Y2265" s="40"/>
    </row>
    <row r="2266" spans="5:25" x14ac:dyDescent="0.35">
      <c r="E2266" t="s">
        <v>212</v>
      </c>
      <c r="F2266" t="s">
        <v>1690</v>
      </c>
      <c r="G2266" s="28"/>
      <c r="X2266" s="40"/>
      <c r="Y2266" s="40"/>
    </row>
    <row r="2267" spans="5:25" x14ac:dyDescent="0.35">
      <c r="E2267" t="s">
        <v>212</v>
      </c>
      <c r="F2267" t="s">
        <v>1691</v>
      </c>
      <c r="G2267" s="28"/>
      <c r="X2267" s="40"/>
      <c r="Y2267" s="40"/>
    </row>
    <row r="2268" spans="5:25" x14ac:dyDescent="0.35">
      <c r="E2268" t="s">
        <v>212</v>
      </c>
      <c r="F2268" t="s">
        <v>769</v>
      </c>
      <c r="G2268" s="28"/>
      <c r="X2268" s="40"/>
      <c r="Y2268" s="40"/>
    </row>
    <row r="2269" spans="5:25" x14ac:dyDescent="0.35">
      <c r="E2269" t="s">
        <v>212</v>
      </c>
      <c r="F2269" t="s">
        <v>407</v>
      </c>
      <c r="G2269" s="28"/>
      <c r="X2269" s="40"/>
      <c r="Y2269" s="40"/>
    </row>
    <row r="2270" spans="5:25" x14ac:dyDescent="0.35">
      <c r="E2270" t="s">
        <v>212</v>
      </c>
      <c r="F2270" t="s">
        <v>410</v>
      </c>
      <c r="G2270" s="28"/>
      <c r="X2270" s="40"/>
      <c r="Y2270" s="40"/>
    </row>
    <row r="2271" spans="5:25" x14ac:dyDescent="0.35">
      <c r="E2271" t="s">
        <v>212</v>
      </c>
      <c r="F2271" t="s">
        <v>849</v>
      </c>
      <c r="G2271" s="28"/>
      <c r="X2271" s="40"/>
      <c r="Y2271" s="40"/>
    </row>
    <row r="2272" spans="5:25" x14ac:dyDescent="0.35">
      <c r="E2272" t="s">
        <v>212</v>
      </c>
      <c r="F2272" t="s">
        <v>1692</v>
      </c>
      <c r="G2272" s="28"/>
      <c r="X2272" s="40"/>
      <c r="Y2272" s="40"/>
    </row>
    <row r="2273" spans="5:25" x14ac:dyDescent="0.35">
      <c r="E2273" t="s">
        <v>212</v>
      </c>
      <c r="F2273" t="s">
        <v>771</v>
      </c>
      <c r="G2273" s="28"/>
      <c r="X2273" s="40"/>
      <c r="Y2273" s="40"/>
    </row>
    <row r="2274" spans="5:25" x14ac:dyDescent="0.35">
      <c r="E2274" t="s">
        <v>212</v>
      </c>
      <c r="F2274" t="s">
        <v>942</v>
      </c>
      <c r="G2274" s="28"/>
      <c r="X2274" s="40"/>
      <c r="Y2274" s="40"/>
    </row>
    <row r="2275" spans="5:25" x14ac:dyDescent="0.35">
      <c r="E2275" t="s">
        <v>212</v>
      </c>
      <c r="F2275" t="s">
        <v>1568</v>
      </c>
      <c r="G2275" s="28"/>
      <c r="X2275" s="40"/>
      <c r="Y2275" s="40"/>
    </row>
    <row r="2276" spans="5:25" x14ac:dyDescent="0.35">
      <c r="E2276" t="s">
        <v>212</v>
      </c>
      <c r="F2276" t="s">
        <v>358</v>
      </c>
      <c r="G2276" s="28"/>
      <c r="X2276" s="40"/>
      <c r="Y2276" s="40"/>
    </row>
    <row r="2277" spans="5:25" x14ac:dyDescent="0.35">
      <c r="E2277" t="s">
        <v>212</v>
      </c>
      <c r="F2277" t="s">
        <v>1693</v>
      </c>
      <c r="G2277" s="28"/>
      <c r="X2277" s="40"/>
      <c r="Y2277" s="40"/>
    </row>
    <row r="2278" spans="5:25" x14ac:dyDescent="0.35">
      <c r="E2278" t="s">
        <v>212</v>
      </c>
      <c r="F2278" t="s">
        <v>359</v>
      </c>
      <c r="G2278" s="28"/>
      <c r="X2278" s="40"/>
      <c r="Y2278" s="40"/>
    </row>
    <row r="2279" spans="5:25" x14ac:dyDescent="0.35">
      <c r="E2279" t="s">
        <v>212</v>
      </c>
      <c r="F2279" t="s">
        <v>416</v>
      </c>
      <c r="G2279" s="28"/>
      <c r="X2279" s="40"/>
      <c r="Y2279" s="40"/>
    </row>
    <row r="2280" spans="5:25" x14ac:dyDescent="0.35">
      <c r="E2280" t="s">
        <v>212</v>
      </c>
      <c r="F2280" t="s">
        <v>361</v>
      </c>
      <c r="G2280" s="28"/>
      <c r="X2280" s="40"/>
      <c r="Y2280" s="40"/>
    </row>
    <row r="2281" spans="5:25" x14ac:dyDescent="0.35">
      <c r="E2281" t="s">
        <v>212</v>
      </c>
      <c r="F2281" t="s">
        <v>1694</v>
      </c>
      <c r="G2281" s="28"/>
      <c r="X2281" s="40"/>
      <c r="Y2281" s="40"/>
    </row>
    <row r="2282" spans="5:25" x14ac:dyDescent="0.35">
      <c r="E2282" t="s">
        <v>212</v>
      </c>
      <c r="F2282" t="s">
        <v>1695</v>
      </c>
      <c r="G2282" s="28"/>
      <c r="X2282" s="40"/>
      <c r="Y2282" s="40"/>
    </row>
    <row r="2283" spans="5:25" x14ac:dyDescent="0.35">
      <c r="E2283" t="s">
        <v>212</v>
      </c>
      <c r="F2283" t="s">
        <v>366</v>
      </c>
      <c r="G2283" s="28"/>
      <c r="X2283" s="40"/>
      <c r="Y2283" s="40"/>
    </row>
    <row r="2284" spans="5:25" x14ac:dyDescent="0.35">
      <c r="E2284" t="s">
        <v>212</v>
      </c>
      <c r="F2284" t="s">
        <v>1696</v>
      </c>
      <c r="G2284" s="28"/>
      <c r="X2284" s="40"/>
      <c r="Y2284" s="40"/>
    </row>
    <row r="2285" spans="5:25" x14ac:dyDescent="0.35">
      <c r="E2285" t="s">
        <v>212</v>
      </c>
      <c r="F2285" t="s">
        <v>1697</v>
      </c>
      <c r="G2285" s="28"/>
      <c r="X2285" s="40"/>
      <c r="Y2285" s="40"/>
    </row>
    <row r="2286" spans="5:25" x14ac:dyDescent="0.35">
      <c r="E2286" t="s">
        <v>212</v>
      </c>
      <c r="F2286" t="s">
        <v>1493</v>
      </c>
      <c r="G2286" s="28"/>
      <c r="X2286" s="40"/>
      <c r="Y2286" s="40"/>
    </row>
    <row r="2287" spans="5:25" x14ac:dyDescent="0.35">
      <c r="E2287" t="s">
        <v>212</v>
      </c>
      <c r="F2287" t="s">
        <v>369</v>
      </c>
      <c r="G2287" s="28"/>
      <c r="X2287" s="40"/>
      <c r="Y2287" s="40"/>
    </row>
    <row r="2288" spans="5:25" x14ac:dyDescent="0.35">
      <c r="E2288" t="s">
        <v>212</v>
      </c>
      <c r="F2288" t="s">
        <v>1698</v>
      </c>
      <c r="G2288" s="28"/>
      <c r="X2288" s="40"/>
      <c r="Y2288" s="40"/>
    </row>
    <row r="2289" spans="5:25" x14ac:dyDescent="0.35">
      <c r="E2289" t="s">
        <v>212</v>
      </c>
      <c r="F2289" t="s">
        <v>1699</v>
      </c>
      <c r="G2289" s="28"/>
      <c r="X2289" s="40"/>
      <c r="Y2289" s="40"/>
    </row>
    <row r="2290" spans="5:25" x14ac:dyDescent="0.35">
      <c r="E2290" t="s">
        <v>212</v>
      </c>
      <c r="F2290" t="s">
        <v>1700</v>
      </c>
      <c r="G2290" s="28"/>
      <c r="X2290" s="40"/>
      <c r="Y2290" s="40"/>
    </row>
    <row r="2291" spans="5:25" x14ac:dyDescent="0.35">
      <c r="E2291" t="s">
        <v>212</v>
      </c>
      <c r="F2291" t="s">
        <v>1701</v>
      </c>
      <c r="G2291" s="28"/>
      <c r="X2291" s="40"/>
      <c r="Y2291" s="40"/>
    </row>
    <row r="2292" spans="5:25" x14ac:dyDescent="0.35">
      <c r="E2292" t="s">
        <v>212</v>
      </c>
      <c r="F2292" t="s">
        <v>1702</v>
      </c>
      <c r="G2292" s="28"/>
      <c r="X2292" s="40"/>
      <c r="Y2292" s="40"/>
    </row>
    <row r="2293" spans="5:25" x14ac:dyDescent="0.35">
      <c r="E2293" t="s">
        <v>212</v>
      </c>
      <c r="F2293" t="s">
        <v>873</v>
      </c>
      <c r="G2293" s="28"/>
      <c r="X2293" s="40"/>
      <c r="Y2293" s="40"/>
    </row>
    <row r="2294" spans="5:25" x14ac:dyDescent="0.35">
      <c r="E2294" t="s">
        <v>212</v>
      </c>
      <c r="F2294" t="s">
        <v>1703</v>
      </c>
      <c r="G2294" s="28"/>
      <c r="X2294" s="40"/>
      <c r="Y2294" s="40"/>
    </row>
    <row r="2295" spans="5:25" x14ac:dyDescent="0.35">
      <c r="E2295" t="s">
        <v>212</v>
      </c>
      <c r="F2295" t="s">
        <v>379</v>
      </c>
      <c r="G2295" s="28"/>
      <c r="X2295" s="40"/>
      <c r="Y2295" s="40"/>
    </row>
    <row r="2296" spans="5:25" x14ac:dyDescent="0.35">
      <c r="E2296" t="s">
        <v>212</v>
      </c>
      <c r="F2296" t="s">
        <v>380</v>
      </c>
      <c r="G2296" s="28"/>
      <c r="X2296" s="40"/>
      <c r="Y2296" s="40"/>
    </row>
    <row r="2297" spans="5:25" x14ac:dyDescent="0.35">
      <c r="E2297" t="s">
        <v>212</v>
      </c>
      <c r="F2297" t="s">
        <v>1704</v>
      </c>
      <c r="G2297" s="28"/>
      <c r="X2297" s="40"/>
      <c r="Y2297" s="40"/>
    </row>
    <row r="2298" spans="5:25" x14ac:dyDescent="0.35">
      <c r="E2298" t="s">
        <v>212</v>
      </c>
      <c r="F2298" t="s">
        <v>1413</v>
      </c>
      <c r="G2298" s="28"/>
      <c r="X2298" s="40"/>
      <c r="Y2298" s="40"/>
    </row>
    <row r="2299" spans="5:25" x14ac:dyDescent="0.35">
      <c r="E2299" t="s">
        <v>212</v>
      </c>
      <c r="F2299" t="s">
        <v>1705</v>
      </c>
      <c r="G2299" s="28"/>
      <c r="X2299" s="40"/>
      <c r="Y2299" s="40"/>
    </row>
    <row r="2300" spans="5:25" x14ac:dyDescent="0.35">
      <c r="E2300" t="s">
        <v>212</v>
      </c>
      <c r="F2300" t="s">
        <v>382</v>
      </c>
      <c r="G2300" s="28"/>
      <c r="X2300" s="40"/>
      <c r="Y2300" s="40"/>
    </row>
    <row r="2301" spans="5:25" x14ac:dyDescent="0.35">
      <c r="E2301" t="s">
        <v>212</v>
      </c>
      <c r="F2301" t="s">
        <v>1706</v>
      </c>
      <c r="G2301" s="28"/>
      <c r="X2301" s="40"/>
      <c r="Y2301" s="40"/>
    </row>
    <row r="2302" spans="5:25" x14ac:dyDescent="0.35">
      <c r="E2302" t="s">
        <v>212</v>
      </c>
      <c r="F2302" t="s">
        <v>384</v>
      </c>
      <c r="G2302" s="28"/>
      <c r="X2302" s="40"/>
      <c r="Y2302" s="40"/>
    </row>
    <row r="2303" spans="5:25" x14ac:dyDescent="0.35">
      <c r="E2303" t="s">
        <v>212</v>
      </c>
      <c r="F2303" t="s">
        <v>1707</v>
      </c>
      <c r="G2303" s="28"/>
      <c r="X2303" s="40"/>
      <c r="Y2303" s="40"/>
    </row>
    <row r="2304" spans="5:25" x14ac:dyDescent="0.35">
      <c r="E2304" t="s">
        <v>212</v>
      </c>
      <c r="F2304" t="s">
        <v>1708</v>
      </c>
      <c r="G2304" s="28"/>
      <c r="X2304" s="40"/>
      <c r="Y2304" s="40"/>
    </row>
    <row r="2305" spans="5:25" x14ac:dyDescent="0.35">
      <c r="E2305" t="s">
        <v>212</v>
      </c>
      <c r="F2305" t="s">
        <v>1709</v>
      </c>
      <c r="G2305" s="28"/>
      <c r="X2305" s="40"/>
      <c r="Y2305" s="40"/>
    </row>
    <row r="2306" spans="5:25" x14ac:dyDescent="0.35">
      <c r="E2306" t="s">
        <v>212</v>
      </c>
      <c r="F2306" t="s">
        <v>1124</v>
      </c>
      <c r="G2306" s="28"/>
      <c r="X2306" s="40"/>
      <c r="Y2306" s="40"/>
    </row>
    <row r="2307" spans="5:25" x14ac:dyDescent="0.35">
      <c r="E2307" t="s">
        <v>212</v>
      </c>
      <c r="F2307" t="s">
        <v>920</v>
      </c>
      <c r="G2307" s="28"/>
      <c r="X2307" s="40"/>
      <c r="Y2307" s="40"/>
    </row>
    <row r="2308" spans="5:25" x14ac:dyDescent="0.35">
      <c r="E2308" t="s">
        <v>212</v>
      </c>
      <c r="F2308" t="s">
        <v>1710</v>
      </c>
      <c r="G2308" s="28"/>
      <c r="X2308" s="40"/>
      <c r="Y2308" s="40"/>
    </row>
    <row r="2309" spans="5:25" x14ac:dyDescent="0.35">
      <c r="E2309" t="s">
        <v>212</v>
      </c>
      <c r="F2309" t="s">
        <v>1583</v>
      </c>
      <c r="G2309" s="28"/>
      <c r="X2309" s="40"/>
      <c r="Y2309" s="40"/>
    </row>
    <row r="2310" spans="5:25" x14ac:dyDescent="0.35">
      <c r="E2310" t="s">
        <v>212</v>
      </c>
      <c r="F2310" t="s">
        <v>449</v>
      </c>
      <c r="G2310" s="28"/>
      <c r="X2310" s="40"/>
      <c r="Y2310" s="40"/>
    </row>
    <row r="2311" spans="5:25" x14ac:dyDescent="0.35">
      <c r="E2311" t="s">
        <v>212</v>
      </c>
      <c r="F2311" t="s">
        <v>1711</v>
      </c>
      <c r="G2311" s="28"/>
      <c r="X2311" s="40"/>
      <c r="Y2311" s="40"/>
    </row>
    <row r="2312" spans="5:25" x14ac:dyDescent="0.35">
      <c r="E2312" t="s">
        <v>212</v>
      </c>
      <c r="F2312" t="s">
        <v>744</v>
      </c>
      <c r="G2312" s="28"/>
      <c r="X2312" s="40"/>
      <c r="Y2312" s="40"/>
    </row>
    <row r="2313" spans="5:25" x14ac:dyDescent="0.35">
      <c r="E2313" t="s">
        <v>212</v>
      </c>
      <c r="F2313" t="s">
        <v>394</v>
      </c>
      <c r="G2313" s="28"/>
      <c r="X2313" s="40"/>
      <c r="Y2313" s="40"/>
    </row>
    <row r="2314" spans="5:25" x14ac:dyDescent="0.35">
      <c r="E2314" t="s">
        <v>212</v>
      </c>
      <c r="F2314" t="s">
        <v>745</v>
      </c>
      <c r="G2314" s="28"/>
      <c r="X2314" s="40"/>
      <c r="Y2314" s="40"/>
    </row>
    <row r="2315" spans="5:25" x14ac:dyDescent="0.35">
      <c r="E2315" t="s">
        <v>212</v>
      </c>
      <c r="F2315" t="s">
        <v>1712</v>
      </c>
      <c r="G2315" s="28"/>
      <c r="X2315" s="40"/>
      <c r="Y2315" s="40"/>
    </row>
    <row r="2316" spans="5:25" x14ac:dyDescent="0.35">
      <c r="E2316" t="s">
        <v>212</v>
      </c>
      <c r="F2316" t="s">
        <v>1587</v>
      </c>
      <c r="G2316" s="28"/>
      <c r="X2316" s="40"/>
      <c r="Y2316" s="40"/>
    </row>
    <row r="2317" spans="5:25" x14ac:dyDescent="0.35">
      <c r="E2317" t="s">
        <v>212</v>
      </c>
      <c r="F2317" t="s">
        <v>1134</v>
      </c>
      <c r="G2317" s="28"/>
      <c r="X2317" s="40"/>
      <c r="Y2317" s="40"/>
    </row>
    <row r="2318" spans="5:25" x14ac:dyDescent="0.35">
      <c r="E2318" t="s">
        <v>298</v>
      </c>
      <c r="F2318" t="s">
        <v>1713</v>
      </c>
      <c r="G2318" s="28"/>
      <c r="X2318" s="40"/>
      <c r="Y2318" s="40"/>
    </row>
    <row r="2319" spans="5:25" x14ac:dyDescent="0.35">
      <c r="E2319" t="s">
        <v>298</v>
      </c>
      <c r="F2319" t="s">
        <v>1714</v>
      </c>
      <c r="G2319" s="28"/>
      <c r="X2319" s="40"/>
      <c r="Y2319" s="40"/>
    </row>
    <row r="2320" spans="5:25" x14ac:dyDescent="0.35">
      <c r="E2320" t="s">
        <v>298</v>
      </c>
      <c r="F2320" t="s">
        <v>1715</v>
      </c>
      <c r="G2320" s="28"/>
      <c r="X2320" s="40"/>
      <c r="Y2320" s="40"/>
    </row>
    <row r="2321" spans="5:25" x14ac:dyDescent="0.35">
      <c r="E2321" t="s">
        <v>298</v>
      </c>
      <c r="F2321" t="s">
        <v>1716</v>
      </c>
      <c r="G2321" s="28"/>
      <c r="X2321" s="40"/>
      <c r="Y2321" s="40"/>
    </row>
    <row r="2322" spans="5:25" x14ac:dyDescent="0.35">
      <c r="E2322" t="s">
        <v>298</v>
      </c>
      <c r="F2322" t="s">
        <v>1717</v>
      </c>
      <c r="G2322" s="28"/>
      <c r="X2322" s="40"/>
      <c r="Y2322" s="40"/>
    </row>
    <row r="2323" spans="5:25" x14ac:dyDescent="0.35">
      <c r="E2323" t="s">
        <v>298</v>
      </c>
      <c r="F2323" t="s">
        <v>1718</v>
      </c>
      <c r="G2323" s="28"/>
      <c r="X2323" s="40"/>
      <c r="Y2323" s="40"/>
    </row>
    <row r="2324" spans="5:25" x14ac:dyDescent="0.35">
      <c r="E2324" t="s">
        <v>298</v>
      </c>
      <c r="F2324" t="s">
        <v>1719</v>
      </c>
      <c r="G2324" s="28"/>
      <c r="X2324" s="40"/>
      <c r="Y2324" s="40"/>
    </row>
    <row r="2325" spans="5:25" x14ac:dyDescent="0.35">
      <c r="E2325" t="s">
        <v>298</v>
      </c>
      <c r="F2325" t="s">
        <v>1720</v>
      </c>
      <c r="G2325" s="28"/>
      <c r="X2325" s="40"/>
      <c r="Y2325" s="40"/>
    </row>
    <row r="2326" spans="5:25" x14ac:dyDescent="0.35">
      <c r="E2326" t="s">
        <v>298</v>
      </c>
      <c r="F2326" t="s">
        <v>1721</v>
      </c>
      <c r="G2326" s="28"/>
      <c r="X2326" s="40"/>
      <c r="Y2326" s="40"/>
    </row>
    <row r="2327" spans="5:25" x14ac:dyDescent="0.35">
      <c r="E2327" t="s">
        <v>298</v>
      </c>
      <c r="F2327" t="s">
        <v>1722</v>
      </c>
      <c r="G2327" s="28"/>
      <c r="X2327" s="40"/>
      <c r="Y2327" s="40"/>
    </row>
    <row r="2328" spans="5:25" x14ac:dyDescent="0.35">
      <c r="E2328" t="s">
        <v>298</v>
      </c>
      <c r="F2328" t="s">
        <v>1723</v>
      </c>
      <c r="G2328" s="28"/>
      <c r="X2328" s="40"/>
      <c r="Y2328" s="40"/>
    </row>
    <row r="2329" spans="5:25" x14ac:dyDescent="0.35">
      <c r="E2329" t="s">
        <v>298</v>
      </c>
      <c r="F2329" t="s">
        <v>1724</v>
      </c>
      <c r="G2329" s="28"/>
      <c r="X2329" s="40"/>
      <c r="Y2329" s="40"/>
    </row>
    <row r="2330" spans="5:25" x14ac:dyDescent="0.35">
      <c r="E2330" t="s">
        <v>298</v>
      </c>
      <c r="F2330" t="s">
        <v>1725</v>
      </c>
      <c r="G2330" s="28"/>
      <c r="X2330" s="40"/>
      <c r="Y2330" s="40"/>
    </row>
    <row r="2331" spans="5:25" x14ac:dyDescent="0.35">
      <c r="E2331" t="s">
        <v>298</v>
      </c>
      <c r="F2331" t="s">
        <v>1726</v>
      </c>
      <c r="G2331" s="28"/>
      <c r="X2331" s="40"/>
      <c r="Y2331" s="40"/>
    </row>
    <row r="2332" spans="5:25" x14ac:dyDescent="0.35">
      <c r="E2332" t="s">
        <v>298</v>
      </c>
      <c r="F2332" t="s">
        <v>1727</v>
      </c>
      <c r="G2332" s="28"/>
      <c r="X2332" s="40"/>
      <c r="Y2332" s="40"/>
    </row>
    <row r="2333" spans="5:25" x14ac:dyDescent="0.35">
      <c r="E2333" t="s">
        <v>298</v>
      </c>
      <c r="F2333" t="s">
        <v>1728</v>
      </c>
      <c r="G2333" s="28"/>
      <c r="X2333" s="40"/>
      <c r="Y2333" s="40"/>
    </row>
    <row r="2334" spans="5:25" x14ac:dyDescent="0.35">
      <c r="E2334" t="s">
        <v>298</v>
      </c>
      <c r="F2334" t="s">
        <v>1729</v>
      </c>
      <c r="G2334" s="28"/>
      <c r="X2334" s="40"/>
      <c r="Y2334" s="40"/>
    </row>
    <row r="2335" spans="5:25" x14ac:dyDescent="0.35">
      <c r="E2335" t="s">
        <v>298</v>
      </c>
      <c r="F2335" t="s">
        <v>1730</v>
      </c>
      <c r="G2335" s="28"/>
      <c r="X2335" s="40"/>
      <c r="Y2335" s="40"/>
    </row>
    <row r="2336" spans="5:25" x14ac:dyDescent="0.35">
      <c r="E2336" t="s">
        <v>298</v>
      </c>
      <c r="F2336" t="s">
        <v>1731</v>
      </c>
      <c r="G2336" s="28"/>
      <c r="X2336" s="40"/>
      <c r="Y2336" s="40"/>
    </row>
    <row r="2337" spans="5:25" x14ac:dyDescent="0.35">
      <c r="E2337" t="s">
        <v>298</v>
      </c>
      <c r="F2337" t="s">
        <v>1732</v>
      </c>
      <c r="G2337" s="28"/>
      <c r="X2337" s="40"/>
      <c r="Y2337" s="40"/>
    </row>
    <row r="2338" spans="5:25" x14ac:dyDescent="0.35">
      <c r="E2338" t="s">
        <v>298</v>
      </c>
      <c r="F2338" t="s">
        <v>1733</v>
      </c>
      <c r="G2338" s="28"/>
      <c r="X2338" s="40"/>
      <c r="Y2338" s="40"/>
    </row>
    <row r="2339" spans="5:25" x14ac:dyDescent="0.35">
      <c r="E2339" t="s">
        <v>298</v>
      </c>
      <c r="F2339" t="s">
        <v>1734</v>
      </c>
      <c r="G2339" s="28"/>
      <c r="X2339" s="40"/>
      <c r="Y2339" s="40"/>
    </row>
    <row r="2340" spans="5:25" x14ac:dyDescent="0.35">
      <c r="E2340" t="s">
        <v>298</v>
      </c>
      <c r="F2340" t="s">
        <v>1735</v>
      </c>
      <c r="G2340" s="28"/>
      <c r="X2340" s="40"/>
      <c r="Y2340" s="40"/>
    </row>
    <row r="2341" spans="5:25" x14ac:dyDescent="0.35">
      <c r="E2341" t="s">
        <v>298</v>
      </c>
      <c r="F2341" t="s">
        <v>1736</v>
      </c>
      <c r="G2341" s="28"/>
      <c r="X2341" s="40"/>
      <c r="Y2341" s="40"/>
    </row>
    <row r="2342" spans="5:25" x14ac:dyDescent="0.35">
      <c r="E2342" t="s">
        <v>298</v>
      </c>
      <c r="F2342" t="s">
        <v>1737</v>
      </c>
      <c r="G2342" s="28"/>
      <c r="X2342" s="40"/>
      <c r="Y2342" s="40"/>
    </row>
    <row r="2343" spans="5:25" x14ac:dyDescent="0.35">
      <c r="E2343" t="s">
        <v>298</v>
      </c>
      <c r="F2343" t="s">
        <v>1738</v>
      </c>
      <c r="G2343" s="28"/>
      <c r="X2343" s="40"/>
      <c r="Y2343" s="40"/>
    </row>
    <row r="2344" spans="5:25" x14ac:dyDescent="0.35">
      <c r="E2344" t="s">
        <v>298</v>
      </c>
      <c r="F2344" t="s">
        <v>1739</v>
      </c>
      <c r="G2344" s="28"/>
      <c r="X2344" s="40"/>
      <c r="Y2344" s="40"/>
    </row>
    <row r="2345" spans="5:25" x14ac:dyDescent="0.35">
      <c r="E2345" t="s">
        <v>298</v>
      </c>
      <c r="F2345" t="s">
        <v>1740</v>
      </c>
      <c r="G2345" s="28"/>
      <c r="X2345" s="40"/>
      <c r="Y2345" s="40"/>
    </row>
    <row r="2346" spans="5:25" x14ac:dyDescent="0.35">
      <c r="E2346" t="s">
        <v>298</v>
      </c>
      <c r="F2346" t="s">
        <v>1741</v>
      </c>
      <c r="G2346" s="28"/>
      <c r="X2346" s="40"/>
      <c r="Y2346" s="40"/>
    </row>
    <row r="2347" spans="5:25" x14ac:dyDescent="0.35">
      <c r="E2347" t="s">
        <v>298</v>
      </c>
      <c r="F2347" t="s">
        <v>1742</v>
      </c>
      <c r="G2347" s="28"/>
      <c r="X2347" s="40"/>
      <c r="Y2347" s="40"/>
    </row>
    <row r="2348" spans="5:25" x14ac:dyDescent="0.35">
      <c r="E2348" t="s">
        <v>298</v>
      </c>
      <c r="F2348" t="s">
        <v>1743</v>
      </c>
      <c r="G2348" s="28"/>
      <c r="X2348" s="40"/>
      <c r="Y2348" s="40"/>
    </row>
    <row r="2349" spans="5:25" x14ac:dyDescent="0.35">
      <c r="E2349" t="s">
        <v>298</v>
      </c>
      <c r="F2349" t="s">
        <v>1744</v>
      </c>
      <c r="G2349" s="28"/>
      <c r="X2349" s="40"/>
      <c r="Y2349" s="40"/>
    </row>
    <row r="2350" spans="5:25" x14ac:dyDescent="0.35">
      <c r="E2350" t="s">
        <v>298</v>
      </c>
      <c r="F2350" t="s">
        <v>1745</v>
      </c>
      <c r="G2350" s="28"/>
      <c r="X2350" s="40"/>
      <c r="Y2350" s="40"/>
    </row>
    <row r="2351" spans="5:25" x14ac:dyDescent="0.35">
      <c r="E2351" t="s">
        <v>298</v>
      </c>
      <c r="F2351" t="s">
        <v>1746</v>
      </c>
      <c r="G2351" s="28"/>
      <c r="X2351" s="40"/>
      <c r="Y2351" s="40"/>
    </row>
    <row r="2352" spans="5:25" x14ac:dyDescent="0.35">
      <c r="E2352" t="s">
        <v>298</v>
      </c>
      <c r="F2352" t="s">
        <v>1747</v>
      </c>
      <c r="G2352" s="28"/>
      <c r="X2352" s="40"/>
      <c r="Y2352" s="40"/>
    </row>
    <row r="2353" spans="5:25" x14ac:dyDescent="0.35">
      <c r="E2353" t="s">
        <v>298</v>
      </c>
      <c r="F2353" t="s">
        <v>1748</v>
      </c>
      <c r="G2353" s="28"/>
      <c r="X2353" s="40"/>
      <c r="Y2353" s="40"/>
    </row>
    <row r="2354" spans="5:25" x14ac:dyDescent="0.35">
      <c r="E2354" t="s">
        <v>298</v>
      </c>
      <c r="F2354" t="s">
        <v>1749</v>
      </c>
      <c r="G2354" s="28"/>
      <c r="X2354" s="40"/>
      <c r="Y2354" s="40"/>
    </row>
    <row r="2355" spans="5:25" x14ac:dyDescent="0.35">
      <c r="E2355" t="s">
        <v>298</v>
      </c>
      <c r="F2355" t="s">
        <v>1750</v>
      </c>
      <c r="G2355" s="28"/>
      <c r="X2355" s="40"/>
      <c r="Y2355" s="40"/>
    </row>
    <row r="2356" spans="5:25" x14ac:dyDescent="0.35">
      <c r="E2356" t="s">
        <v>298</v>
      </c>
      <c r="F2356" t="s">
        <v>1751</v>
      </c>
      <c r="G2356" s="28"/>
      <c r="X2356" s="40"/>
      <c r="Y2356" s="40"/>
    </row>
    <row r="2357" spans="5:25" x14ac:dyDescent="0.35">
      <c r="E2357" t="s">
        <v>298</v>
      </c>
      <c r="F2357" t="s">
        <v>1752</v>
      </c>
      <c r="G2357" s="28"/>
      <c r="X2357" s="40"/>
      <c r="Y2357" s="40"/>
    </row>
    <row r="2358" spans="5:25" x14ac:dyDescent="0.35">
      <c r="E2358" t="s">
        <v>298</v>
      </c>
      <c r="F2358" t="s">
        <v>1753</v>
      </c>
      <c r="G2358" s="28"/>
      <c r="X2358" s="40"/>
      <c r="Y2358" s="40"/>
    </row>
    <row r="2359" spans="5:25" x14ac:dyDescent="0.35">
      <c r="E2359" t="s">
        <v>298</v>
      </c>
      <c r="F2359" t="s">
        <v>1754</v>
      </c>
      <c r="G2359" s="28"/>
      <c r="X2359" s="40"/>
      <c r="Y2359" s="40"/>
    </row>
    <row r="2360" spans="5:25" x14ac:dyDescent="0.35">
      <c r="E2360" t="s">
        <v>298</v>
      </c>
      <c r="F2360" t="s">
        <v>1755</v>
      </c>
      <c r="G2360" s="28"/>
      <c r="X2360" s="40"/>
      <c r="Y2360" s="40"/>
    </row>
    <row r="2361" spans="5:25" x14ac:dyDescent="0.35">
      <c r="E2361" t="s">
        <v>298</v>
      </c>
      <c r="F2361" t="s">
        <v>1756</v>
      </c>
      <c r="G2361" s="28"/>
      <c r="X2361" s="40"/>
      <c r="Y2361" s="40"/>
    </row>
    <row r="2362" spans="5:25" x14ac:dyDescent="0.35">
      <c r="E2362" t="s">
        <v>298</v>
      </c>
      <c r="F2362" t="s">
        <v>1757</v>
      </c>
      <c r="G2362" s="28"/>
      <c r="X2362" s="40"/>
      <c r="Y2362" s="40"/>
    </row>
    <row r="2363" spans="5:25" x14ac:dyDescent="0.35">
      <c r="E2363" t="s">
        <v>298</v>
      </c>
      <c r="F2363" t="s">
        <v>1758</v>
      </c>
      <c r="G2363" s="28"/>
      <c r="X2363" s="40"/>
      <c r="Y2363" s="40"/>
    </row>
    <row r="2364" spans="5:25" x14ac:dyDescent="0.35">
      <c r="E2364" t="s">
        <v>298</v>
      </c>
      <c r="F2364" t="s">
        <v>1759</v>
      </c>
      <c r="G2364" s="28"/>
      <c r="X2364" s="40"/>
      <c r="Y2364" s="40"/>
    </row>
    <row r="2365" spans="5:25" x14ac:dyDescent="0.35">
      <c r="E2365" t="s">
        <v>298</v>
      </c>
      <c r="F2365" t="s">
        <v>1760</v>
      </c>
      <c r="G2365" s="28"/>
      <c r="X2365" s="40"/>
      <c r="Y2365" s="40"/>
    </row>
    <row r="2366" spans="5:25" x14ac:dyDescent="0.35">
      <c r="E2366" t="s">
        <v>298</v>
      </c>
      <c r="F2366" t="s">
        <v>1761</v>
      </c>
      <c r="G2366" s="28"/>
      <c r="X2366" s="40"/>
      <c r="Y2366" s="40"/>
    </row>
    <row r="2367" spans="5:25" x14ac:dyDescent="0.35">
      <c r="E2367" t="s">
        <v>298</v>
      </c>
      <c r="F2367" t="s">
        <v>1762</v>
      </c>
      <c r="G2367" s="28"/>
      <c r="X2367" s="40"/>
      <c r="Y2367" s="40"/>
    </row>
    <row r="2368" spans="5:25" x14ac:dyDescent="0.35">
      <c r="E2368" t="s">
        <v>298</v>
      </c>
      <c r="F2368" t="s">
        <v>1763</v>
      </c>
      <c r="G2368" s="28"/>
      <c r="X2368" s="40"/>
      <c r="Y2368" s="40"/>
    </row>
    <row r="2369" spans="5:25" x14ac:dyDescent="0.35">
      <c r="E2369" t="s">
        <v>298</v>
      </c>
      <c r="F2369" t="s">
        <v>1764</v>
      </c>
      <c r="G2369" s="28"/>
      <c r="X2369" s="40"/>
      <c r="Y2369" s="40"/>
    </row>
    <row r="2370" spans="5:25" x14ac:dyDescent="0.35">
      <c r="E2370" t="s">
        <v>298</v>
      </c>
      <c r="F2370" t="s">
        <v>1765</v>
      </c>
      <c r="G2370" s="28"/>
      <c r="X2370" s="40"/>
      <c r="Y2370" s="40"/>
    </row>
    <row r="2371" spans="5:25" x14ac:dyDescent="0.35">
      <c r="E2371" t="s">
        <v>298</v>
      </c>
      <c r="F2371" t="s">
        <v>1766</v>
      </c>
      <c r="G2371" s="28"/>
      <c r="X2371" s="40"/>
      <c r="Y2371" s="40"/>
    </row>
    <row r="2372" spans="5:25" x14ac:dyDescent="0.35">
      <c r="E2372" t="s">
        <v>298</v>
      </c>
      <c r="F2372" t="s">
        <v>1767</v>
      </c>
      <c r="G2372" s="28"/>
      <c r="X2372" s="40"/>
      <c r="Y2372" s="40"/>
    </row>
    <row r="2373" spans="5:25" x14ac:dyDescent="0.35">
      <c r="E2373" t="s">
        <v>298</v>
      </c>
      <c r="F2373" t="s">
        <v>1768</v>
      </c>
      <c r="G2373" s="28"/>
      <c r="X2373" s="40"/>
      <c r="Y2373" s="40"/>
    </row>
    <row r="2374" spans="5:25" x14ac:dyDescent="0.35">
      <c r="E2374" t="s">
        <v>298</v>
      </c>
      <c r="F2374" t="s">
        <v>1769</v>
      </c>
      <c r="G2374" s="28"/>
      <c r="X2374" s="40"/>
      <c r="Y2374" s="40"/>
    </row>
    <row r="2375" spans="5:25" x14ac:dyDescent="0.35">
      <c r="E2375" t="s">
        <v>298</v>
      </c>
      <c r="F2375" t="s">
        <v>1770</v>
      </c>
      <c r="G2375" s="28"/>
      <c r="X2375" s="40"/>
      <c r="Y2375" s="40"/>
    </row>
    <row r="2376" spans="5:25" x14ac:dyDescent="0.35">
      <c r="E2376" t="s">
        <v>298</v>
      </c>
      <c r="F2376" t="s">
        <v>1771</v>
      </c>
      <c r="G2376" s="28"/>
      <c r="X2376" s="40"/>
      <c r="Y2376" s="40"/>
    </row>
    <row r="2377" spans="5:25" x14ac:dyDescent="0.35">
      <c r="E2377" t="s">
        <v>298</v>
      </c>
      <c r="F2377" t="s">
        <v>1772</v>
      </c>
      <c r="G2377" s="28"/>
      <c r="X2377" s="40"/>
      <c r="Y2377" s="40"/>
    </row>
    <row r="2378" spans="5:25" x14ac:dyDescent="0.35">
      <c r="E2378" t="s">
        <v>298</v>
      </c>
      <c r="F2378" t="s">
        <v>572</v>
      </c>
      <c r="G2378" s="28"/>
      <c r="X2378" s="40"/>
      <c r="Y2378" s="40"/>
    </row>
    <row r="2379" spans="5:25" x14ac:dyDescent="0.35">
      <c r="E2379" t="s">
        <v>298</v>
      </c>
      <c r="F2379" t="s">
        <v>1773</v>
      </c>
      <c r="G2379" s="28"/>
      <c r="X2379" s="40"/>
      <c r="Y2379" s="40"/>
    </row>
    <row r="2380" spans="5:25" x14ac:dyDescent="0.35">
      <c r="E2380" t="s">
        <v>298</v>
      </c>
      <c r="F2380" t="s">
        <v>1774</v>
      </c>
      <c r="G2380" s="28"/>
      <c r="X2380" s="40"/>
      <c r="Y2380" s="40"/>
    </row>
    <row r="2381" spans="5:25" x14ac:dyDescent="0.35">
      <c r="E2381" t="s">
        <v>298</v>
      </c>
      <c r="F2381" t="s">
        <v>1775</v>
      </c>
      <c r="G2381" s="28"/>
      <c r="X2381" s="40"/>
      <c r="Y2381" s="40"/>
    </row>
    <row r="2382" spans="5:25" x14ac:dyDescent="0.35">
      <c r="E2382" t="s">
        <v>298</v>
      </c>
      <c r="F2382" t="s">
        <v>575</v>
      </c>
      <c r="G2382" s="28"/>
      <c r="X2382" s="40"/>
      <c r="Y2382" s="40"/>
    </row>
    <row r="2383" spans="5:25" x14ac:dyDescent="0.35">
      <c r="E2383" t="s">
        <v>298</v>
      </c>
      <c r="F2383" t="s">
        <v>1776</v>
      </c>
      <c r="G2383" s="28"/>
      <c r="X2383" s="40"/>
      <c r="Y2383" s="40"/>
    </row>
    <row r="2384" spans="5:25" x14ac:dyDescent="0.35">
      <c r="E2384" t="s">
        <v>298</v>
      </c>
      <c r="F2384" t="s">
        <v>1777</v>
      </c>
      <c r="G2384" s="28"/>
      <c r="X2384" s="40"/>
      <c r="Y2384" s="40"/>
    </row>
    <row r="2385" spans="5:25" x14ac:dyDescent="0.35">
      <c r="E2385" t="s">
        <v>298</v>
      </c>
      <c r="F2385" t="s">
        <v>1778</v>
      </c>
      <c r="G2385" s="28"/>
      <c r="X2385" s="40"/>
      <c r="Y2385" s="40"/>
    </row>
    <row r="2386" spans="5:25" x14ac:dyDescent="0.35">
      <c r="E2386" t="s">
        <v>298</v>
      </c>
      <c r="F2386" t="s">
        <v>1779</v>
      </c>
      <c r="G2386" s="28"/>
      <c r="X2386" s="40"/>
      <c r="Y2386" s="40"/>
    </row>
    <row r="2387" spans="5:25" x14ac:dyDescent="0.35">
      <c r="E2387" t="s">
        <v>298</v>
      </c>
      <c r="F2387" t="s">
        <v>1780</v>
      </c>
      <c r="G2387" s="28"/>
      <c r="X2387" s="40"/>
      <c r="Y2387" s="40"/>
    </row>
    <row r="2388" spans="5:25" x14ac:dyDescent="0.35">
      <c r="E2388" t="s">
        <v>298</v>
      </c>
      <c r="F2388" t="s">
        <v>1781</v>
      </c>
      <c r="G2388" s="28"/>
      <c r="X2388" s="40"/>
      <c r="Y2388" s="40"/>
    </row>
    <row r="2389" spans="5:25" x14ac:dyDescent="0.35">
      <c r="E2389" t="s">
        <v>298</v>
      </c>
      <c r="F2389" t="s">
        <v>1782</v>
      </c>
      <c r="G2389" s="28"/>
      <c r="X2389" s="40"/>
      <c r="Y2389" s="40"/>
    </row>
    <row r="2390" spans="5:25" x14ac:dyDescent="0.35">
      <c r="E2390" t="s">
        <v>298</v>
      </c>
      <c r="F2390" t="s">
        <v>1783</v>
      </c>
      <c r="G2390" s="28"/>
      <c r="X2390" s="40"/>
      <c r="Y2390" s="40"/>
    </row>
    <row r="2391" spans="5:25" x14ac:dyDescent="0.35">
      <c r="E2391" t="s">
        <v>298</v>
      </c>
      <c r="F2391" t="s">
        <v>1784</v>
      </c>
      <c r="G2391" s="28"/>
      <c r="X2391" s="40"/>
      <c r="Y2391" s="40"/>
    </row>
    <row r="2392" spans="5:25" x14ac:dyDescent="0.35">
      <c r="E2392" t="s">
        <v>298</v>
      </c>
      <c r="F2392" t="s">
        <v>1785</v>
      </c>
      <c r="G2392" s="28"/>
      <c r="X2392" s="40"/>
      <c r="Y2392" s="40"/>
    </row>
    <row r="2393" spans="5:25" x14ac:dyDescent="0.35">
      <c r="E2393" t="s">
        <v>298</v>
      </c>
      <c r="F2393" t="s">
        <v>1786</v>
      </c>
      <c r="G2393" s="28"/>
      <c r="X2393" s="40"/>
      <c r="Y2393" s="40"/>
    </row>
    <row r="2394" spans="5:25" x14ac:dyDescent="0.35">
      <c r="E2394" t="s">
        <v>298</v>
      </c>
      <c r="F2394" t="s">
        <v>1787</v>
      </c>
      <c r="G2394" s="28"/>
      <c r="X2394" s="40"/>
      <c r="Y2394" s="40"/>
    </row>
    <row r="2395" spans="5:25" x14ac:dyDescent="0.35">
      <c r="E2395" t="s">
        <v>298</v>
      </c>
      <c r="F2395" t="s">
        <v>1788</v>
      </c>
      <c r="G2395" s="28"/>
      <c r="X2395" s="40"/>
      <c r="Y2395" s="40"/>
    </row>
    <row r="2396" spans="5:25" x14ac:dyDescent="0.35">
      <c r="E2396" t="s">
        <v>299</v>
      </c>
      <c r="F2396" t="s">
        <v>1789</v>
      </c>
      <c r="G2396" s="28"/>
      <c r="X2396" s="40"/>
      <c r="Y2396" s="40"/>
    </row>
    <row r="2397" spans="5:25" x14ac:dyDescent="0.35">
      <c r="E2397" t="s">
        <v>213</v>
      </c>
      <c r="F2397" t="s">
        <v>1100</v>
      </c>
      <c r="G2397" s="28"/>
      <c r="X2397" s="40"/>
      <c r="Y2397" s="40"/>
    </row>
    <row r="2398" spans="5:25" x14ac:dyDescent="0.35">
      <c r="E2398" t="s">
        <v>213</v>
      </c>
      <c r="F2398" t="s">
        <v>590</v>
      </c>
      <c r="G2398" s="28"/>
      <c r="X2398" s="40"/>
      <c r="Y2398" s="40"/>
    </row>
    <row r="2399" spans="5:25" x14ac:dyDescent="0.35">
      <c r="E2399" t="s">
        <v>213</v>
      </c>
      <c r="F2399" t="s">
        <v>1790</v>
      </c>
      <c r="G2399" s="28"/>
      <c r="X2399" s="40"/>
      <c r="Y2399" s="40"/>
    </row>
    <row r="2400" spans="5:25" x14ac:dyDescent="0.35">
      <c r="E2400" t="s">
        <v>213</v>
      </c>
      <c r="F2400" t="s">
        <v>1791</v>
      </c>
      <c r="G2400" s="28"/>
      <c r="X2400" s="40"/>
      <c r="Y2400" s="40"/>
    </row>
    <row r="2401" spans="5:25" x14ac:dyDescent="0.35">
      <c r="E2401" t="s">
        <v>213</v>
      </c>
      <c r="F2401" t="s">
        <v>394</v>
      </c>
      <c r="G2401" s="28"/>
      <c r="X2401" s="40"/>
      <c r="Y2401" s="40"/>
    </row>
    <row r="2402" spans="5:25" x14ac:dyDescent="0.35">
      <c r="E2402" t="s">
        <v>214</v>
      </c>
      <c r="F2402" t="s">
        <v>1792</v>
      </c>
      <c r="G2402" s="28"/>
      <c r="X2402" s="40"/>
      <c r="Y2402" s="40"/>
    </row>
    <row r="2403" spans="5:25" x14ac:dyDescent="0.35">
      <c r="E2403" t="s">
        <v>214</v>
      </c>
      <c r="F2403" t="s">
        <v>1793</v>
      </c>
      <c r="G2403" s="28"/>
      <c r="X2403" s="40"/>
      <c r="Y2403" s="40"/>
    </row>
    <row r="2404" spans="5:25" x14ac:dyDescent="0.35">
      <c r="E2404" t="s">
        <v>214</v>
      </c>
      <c r="F2404" t="s">
        <v>1794</v>
      </c>
      <c r="G2404" s="28"/>
      <c r="X2404" s="40"/>
      <c r="Y2404" s="40"/>
    </row>
    <row r="2405" spans="5:25" x14ac:dyDescent="0.35">
      <c r="E2405" t="s">
        <v>214</v>
      </c>
      <c r="F2405" t="s">
        <v>930</v>
      </c>
      <c r="G2405" s="28"/>
      <c r="X2405" s="40"/>
      <c r="Y2405" s="40"/>
    </row>
    <row r="2406" spans="5:25" x14ac:dyDescent="0.35">
      <c r="E2406" t="s">
        <v>214</v>
      </c>
      <c r="F2406" t="s">
        <v>1795</v>
      </c>
      <c r="G2406" s="28"/>
      <c r="X2406" s="40"/>
      <c r="Y2406" s="40"/>
    </row>
    <row r="2407" spans="5:25" x14ac:dyDescent="0.35">
      <c r="E2407" t="s">
        <v>214</v>
      </c>
      <c r="F2407" t="s">
        <v>1796</v>
      </c>
      <c r="G2407" s="28"/>
      <c r="X2407" s="40"/>
      <c r="Y2407" s="40"/>
    </row>
    <row r="2408" spans="5:25" x14ac:dyDescent="0.35">
      <c r="E2408" t="s">
        <v>214</v>
      </c>
      <c r="F2408" t="s">
        <v>1376</v>
      </c>
      <c r="G2408" s="28"/>
      <c r="X2408" s="40"/>
      <c r="Y2408" s="40"/>
    </row>
    <row r="2409" spans="5:25" x14ac:dyDescent="0.35">
      <c r="E2409" t="s">
        <v>214</v>
      </c>
      <c r="F2409" t="s">
        <v>1797</v>
      </c>
      <c r="G2409" s="28"/>
      <c r="X2409" s="40"/>
      <c r="Y2409" s="40"/>
    </row>
    <row r="2410" spans="5:25" x14ac:dyDescent="0.35">
      <c r="E2410" t="s">
        <v>214</v>
      </c>
      <c r="F2410" t="s">
        <v>337</v>
      </c>
      <c r="G2410" s="28"/>
      <c r="X2410" s="40"/>
      <c r="Y2410" s="40"/>
    </row>
    <row r="2411" spans="5:25" x14ac:dyDescent="0.35">
      <c r="E2411" t="s">
        <v>214</v>
      </c>
      <c r="F2411" t="s">
        <v>1798</v>
      </c>
      <c r="G2411" s="28"/>
      <c r="X2411" s="40"/>
      <c r="Y2411" s="40"/>
    </row>
    <row r="2412" spans="5:25" x14ac:dyDescent="0.35">
      <c r="E2412" t="s">
        <v>214</v>
      </c>
      <c r="F2412" t="s">
        <v>339</v>
      </c>
      <c r="G2412" s="28"/>
      <c r="X2412" s="40"/>
      <c r="Y2412" s="40"/>
    </row>
    <row r="2413" spans="5:25" x14ac:dyDescent="0.35">
      <c r="E2413" t="s">
        <v>214</v>
      </c>
      <c r="F2413" t="s">
        <v>1689</v>
      </c>
      <c r="G2413" s="28"/>
      <c r="X2413" s="40"/>
      <c r="Y2413" s="40"/>
    </row>
    <row r="2414" spans="5:25" x14ac:dyDescent="0.35">
      <c r="E2414" t="s">
        <v>214</v>
      </c>
      <c r="F2414" t="s">
        <v>1799</v>
      </c>
      <c r="G2414" s="28"/>
      <c r="X2414" s="40"/>
      <c r="Y2414" s="40"/>
    </row>
    <row r="2415" spans="5:25" x14ac:dyDescent="0.35">
      <c r="E2415" t="s">
        <v>214</v>
      </c>
      <c r="F2415" t="s">
        <v>1800</v>
      </c>
      <c r="G2415" s="28"/>
      <c r="X2415" s="40"/>
      <c r="Y2415" s="40"/>
    </row>
    <row r="2416" spans="5:25" x14ac:dyDescent="0.35">
      <c r="E2416" t="s">
        <v>214</v>
      </c>
      <c r="F2416" t="s">
        <v>1801</v>
      </c>
      <c r="G2416" s="28"/>
      <c r="X2416" s="40"/>
      <c r="Y2416" s="40"/>
    </row>
    <row r="2417" spans="5:25" x14ac:dyDescent="0.35">
      <c r="E2417" t="s">
        <v>214</v>
      </c>
      <c r="F2417" t="s">
        <v>1802</v>
      </c>
      <c r="G2417" s="28"/>
      <c r="X2417" s="40"/>
      <c r="Y2417" s="40"/>
    </row>
    <row r="2418" spans="5:25" x14ac:dyDescent="0.35">
      <c r="E2418" t="s">
        <v>214</v>
      </c>
      <c r="F2418" t="s">
        <v>1803</v>
      </c>
      <c r="G2418" s="28"/>
      <c r="X2418" s="40"/>
      <c r="Y2418" s="40"/>
    </row>
    <row r="2419" spans="5:25" x14ac:dyDescent="0.35">
      <c r="E2419" t="s">
        <v>214</v>
      </c>
      <c r="F2419" t="s">
        <v>1117</v>
      </c>
      <c r="G2419" s="28"/>
      <c r="X2419" s="40"/>
      <c r="Y2419" s="40"/>
    </row>
    <row r="2420" spans="5:25" x14ac:dyDescent="0.35">
      <c r="E2420" t="s">
        <v>214</v>
      </c>
      <c r="F2420" t="s">
        <v>1804</v>
      </c>
      <c r="G2420" s="28"/>
      <c r="X2420" s="40"/>
      <c r="Y2420" s="40"/>
    </row>
    <row r="2421" spans="5:25" x14ac:dyDescent="0.35">
      <c r="E2421" t="s">
        <v>214</v>
      </c>
      <c r="F2421" t="s">
        <v>581</v>
      </c>
      <c r="G2421" s="28"/>
      <c r="X2421" s="40"/>
      <c r="Y2421" s="40"/>
    </row>
    <row r="2422" spans="5:25" x14ac:dyDescent="0.35">
      <c r="E2422" t="s">
        <v>214</v>
      </c>
      <c r="F2422" t="s">
        <v>1805</v>
      </c>
      <c r="G2422" s="28"/>
      <c r="X2422" s="40"/>
      <c r="Y2422" s="40"/>
    </row>
    <row r="2423" spans="5:25" x14ac:dyDescent="0.35">
      <c r="E2423" t="s">
        <v>214</v>
      </c>
      <c r="F2423" t="s">
        <v>1806</v>
      </c>
      <c r="G2423" s="28"/>
      <c r="X2423" s="40"/>
      <c r="Y2423" s="40"/>
    </row>
    <row r="2424" spans="5:25" x14ac:dyDescent="0.35">
      <c r="E2424" t="s">
        <v>214</v>
      </c>
      <c r="F2424" t="s">
        <v>1807</v>
      </c>
      <c r="G2424" s="28"/>
      <c r="X2424" s="40"/>
      <c r="Y2424" s="40"/>
    </row>
    <row r="2425" spans="5:25" x14ac:dyDescent="0.35">
      <c r="E2425" t="s">
        <v>214</v>
      </c>
      <c r="F2425" t="s">
        <v>950</v>
      </c>
      <c r="G2425" s="28"/>
      <c r="X2425" s="40"/>
      <c r="Y2425" s="40"/>
    </row>
    <row r="2426" spans="5:25" x14ac:dyDescent="0.35">
      <c r="E2426" t="s">
        <v>214</v>
      </c>
      <c r="F2426" t="s">
        <v>1808</v>
      </c>
      <c r="G2426" s="28"/>
      <c r="X2426" s="40"/>
      <c r="Y2426" s="40"/>
    </row>
    <row r="2427" spans="5:25" x14ac:dyDescent="0.35">
      <c r="E2427" t="s">
        <v>214</v>
      </c>
      <c r="F2427" t="s">
        <v>1809</v>
      </c>
      <c r="G2427" s="28"/>
      <c r="X2427" s="40"/>
      <c r="Y2427" s="40"/>
    </row>
    <row r="2428" spans="5:25" x14ac:dyDescent="0.35">
      <c r="E2428" t="s">
        <v>214</v>
      </c>
      <c r="F2428" t="s">
        <v>701</v>
      </c>
      <c r="G2428" s="28"/>
      <c r="X2428" s="40"/>
      <c r="Y2428" s="40"/>
    </row>
    <row r="2429" spans="5:25" x14ac:dyDescent="0.35">
      <c r="E2429" t="s">
        <v>214</v>
      </c>
      <c r="F2429" t="s">
        <v>1810</v>
      </c>
      <c r="G2429" s="28"/>
      <c r="X2429" s="40"/>
      <c r="Y2429" s="40"/>
    </row>
    <row r="2430" spans="5:25" x14ac:dyDescent="0.35">
      <c r="E2430" t="s">
        <v>214</v>
      </c>
      <c r="F2430" t="s">
        <v>1493</v>
      </c>
      <c r="G2430" s="28"/>
      <c r="X2430" s="40"/>
      <c r="Y2430" s="40"/>
    </row>
    <row r="2431" spans="5:25" x14ac:dyDescent="0.35">
      <c r="E2431" t="s">
        <v>214</v>
      </c>
      <c r="F2431" t="s">
        <v>706</v>
      </c>
      <c r="G2431" s="28"/>
      <c r="X2431" s="40"/>
      <c r="Y2431" s="40"/>
    </row>
    <row r="2432" spans="5:25" x14ac:dyDescent="0.35">
      <c r="E2432" t="s">
        <v>214</v>
      </c>
      <c r="F2432" t="s">
        <v>370</v>
      </c>
      <c r="G2432" s="28"/>
      <c r="X2432" s="40"/>
      <c r="Y2432" s="40"/>
    </row>
    <row r="2433" spans="5:25" x14ac:dyDescent="0.35">
      <c r="E2433" t="s">
        <v>214</v>
      </c>
      <c r="F2433" t="s">
        <v>1811</v>
      </c>
      <c r="G2433" s="28"/>
      <c r="X2433" s="40"/>
      <c r="Y2433" s="40"/>
    </row>
    <row r="2434" spans="5:25" x14ac:dyDescent="0.35">
      <c r="E2434" t="s">
        <v>214</v>
      </c>
      <c r="F2434" t="s">
        <v>376</v>
      </c>
      <c r="G2434" s="28"/>
      <c r="X2434" s="40"/>
      <c r="Y2434" s="40"/>
    </row>
    <row r="2435" spans="5:25" x14ac:dyDescent="0.35">
      <c r="E2435" t="s">
        <v>214</v>
      </c>
      <c r="F2435" t="s">
        <v>1812</v>
      </c>
      <c r="G2435" s="28"/>
      <c r="X2435" s="40"/>
      <c r="Y2435" s="40"/>
    </row>
    <row r="2436" spans="5:25" x14ac:dyDescent="0.35">
      <c r="E2436" t="s">
        <v>214</v>
      </c>
      <c r="F2436" t="s">
        <v>1813</v>
      </c>
      <c r="G2436" s="28"/>
      <c r="X2436" s="40"/>
      <c r="Y2436" s="40"/>
    </row>
    <row r="2437" spans="5:25" x14ac:dyDescent="0.35">
      <c r="E2437" t="s">
        <v>214</v>
      </c>
      <c r="F2437" t="s">
        <v>1814</v>
      </c>
      <c r="G2437" s="28"/>
      <c r="X2437" s="40"/>
      <c r="Y2437" s="40"/>
    </row>
    <row r="2438" spans="5:25" x14ac:dyDescent="0.35">
      <c r="E2438" t="s">
        <v>214</v>
      </c>
      <c r="F2438" t="s">
        <v>715</v>
      </c>
      <c r="G2438" s="28"/>
      <c r="X2438" s="40"/>
      <c r="Y2438" s="40"/>
    </row>
    <row r="2439" spans="5:25" x14ac:dyDescent="0.35">
      <c r="E2439" t="s">
        <v>214</v>
      </c>
      <c r="F2439" t="s">
        <v>1815</v>
      </c>
      <c r="G2439" s="28"/>
      <c r="X2439" s="40"/>
      <c r="Y2439" s="40"/>
    </row>
    <row r="2440" spans="5:25" x14ac:dyDescent="0.35">
      <c r="E2440" t="s">
        <v>214</v>
      </c>
      <c r="F2440" t="s">
        <v>383</v>
      </c>
      <c r="G2440" s="28"/>
      <c r="X2440" s="40"/>
      <c r="Y2440" s="40"/>
    </row>
    <row r="2441" spans="5:25" x14ac:dyDescent="0.35">
      <c r="E2441" t="s">
        <v>214</v>
      </c>
      <c r="F2441" t="s">
        <v>878</v>
      </c>
      <c r="G2441" s="28"/>
      <c r="X2441" s="40"/>
      <c r="Y2441" s="40"/>
    </row>
    <row r="2442" spans="5:25" x14ac:dyDescent="0.35">
      <c r="E2442" t="s">
        <v>214</v>
      </c>
      <c r="F2442" t="s">
        <v>1816</v>
      </c>
      <c r="G2442" s="28"/>
      <c r="X2442" s="40"/>
      <c r="Y2442" s="40"/>
    </row>
    <row r="2443" spans="5:25" x14ac:dyDescent="0.35">
      <c r="E2443" t="s">
        <v>214</v>
      </c>
      <c r="F2443" t="s">
        <v>1817</v>
      </c>
      <c r="G2443" s="28"/>
      <c r="X2443" s="40"/>
      <c r="Y2443" s="40"/>
    </row>
    <row r="2444" spans="5:25" x14ac:dyDescent="0.35">
      <c r="E2444" t="s">
        <v>214</v>
      </c>
      <c r="F2444" t="s">
        <v>389</v>
      </c>
      <c r="G2444" s="28"/>
      <c r="X2444" s="40"/>
      <c r="Y2444" s="40"/>
    </row>
    <row r="2445" spans="5:25" x14ac:dyDescent="0.35">
      <c r="E2445" t="s">
        <v>214</v>
      </c>
      <c r="F2445" t="s">
        <v>449</v>
      </c>
      <c r="G2445" s="28"/>
      <c r="X2445" s="40"/>
      <c r="Y2445" s="40"/>
    </row>
    <row r="2446" spans="5:25" x14ac:dyDescent="0.35">
      <c r="E2446" t="s">
        <v>214</v>
      </c>
      <c r="F2446" t="s">
        <v>1818</v>
      </c>
      <c r="G2446" s="28"/>
      <c r="X2446" s="40"/>
      <c r="Y2446" s="40"/>
    </row>
    <row r="2447" spans="5:25" x14ac:dyDescent="0.35">
      <c r="E2447" t="s">
        <v>214</v>
      </c>
      <c r="F2447" t="s">
        <v>1134</v>
      </c>
      <c r="G2447" s="28"/>
      <c r="X2447" s="40"/>
      <c r="Y2447" s="40"/>
    </row>
    <row r="2448" spans="5:25" x14ac:dyDescent="0.35">
      <c r="E2448" t="s">
        <v>215</v>
      </c>
      <c r="F2448" t="s">
        <v>1819</v>
      </c>
      <c r="G2448" s="28"/>
      <c r="X2448" s="40"/>
      <c r="Y2448" s="40"/>
    </row>
    <row r="2449" spans="5:25" x14ac:dyDescent="0.35">
      <c r="E2449" t="s">
        <v>215</v>
      </c>
      <c r="F2449" t="s">
        <v>1820</v>
      </c>
      <c r="G2449" s="28"/>
      <c r="X2449" s="40"/>
      <c r="Y2449" s="40"/>
    </row>
    <row r="2450" spans="5:25" x14ac:dyDescent="0.35">
      <c r="E2450" t="s">
        <v>215</v>
      </c>
      <c r="F2450" t="s">
        <v>1821</v>
      </c>
      <c r="G2450" s="28"/>
      <c r="X2450" s="40"/>
      <c r="Y2450" s="40"/>
    </row>
    <row r="2451" spans="5:25" x14ac:dyDescent="0.35">
      <c r="E2451" t="s">
        <v>215</v>
      </c>
      <c r="F2451" t="s">
        <v>1822</v>
      </c>
      <c r="G2451" s="28"/>
      <c r="X2451" s="40"/>
      <c r="Y2451" s="40"/>
    </row>
    <row r="2452" spans="5:25" x14ac:dyDescent="0.35">
      <c r="E2452" t="s">
        <v>215</v>
      </c>
      <c r="F2452" t="s">
        <v>1823</v>
      </c>
      <c r="G2452" s="28"/>
      <c r="X2452" s="40"/>
      <c r="Y2452" s="40"/>
    </row>
    <row r="2453" spans="5:25" x14ac:dyDescent="0.35">
      <c r="E2453" t="s">
        <v>215</v>
      </c>
      <c r="F2453" t="s">
        <v>844</v>
      </c>
      <c r="G2453" s="28"/>
      <c r="X2453" s="40"/>
      <c r="Y2453" s="40"/>
    </row>
    <row r="2454" spans="5:25" x14ac:dyDescent="0.35">
      <c r="E2454" t="s">
        <v>215</v>
      </c>
      <c r="F2454" t="s">
        <v>1824</v>
      </c>
      <c r="G2454" s="28"/>
      <c r="X2454" s="40"/>
      <c r="Y2454" s="40"/>
    </row>
    <row r="2455" spans="5:25" x14ac:dyDescent="0.35">
      <c r="E2455" t="s">
        <v>215</v>
      </c>
      <c r="F2455" t="s">
        <v>1472</v>
      </c>
      <c r="G2455" s="28"/>
      <c r="X2455" s="40"/>
      <c r="Y2455" s="40"/>
    </row>
    <row r="2456" spans="5:25" x14ac:dyDescent="0.35">
      <c r="E2456" t="s">
        <v>215</v>
      </c>
      <c r="F2456" t="s">
        <v>473</v>
      </c>
      <c r="G2456" s="28"/>
      <c r="X2456" s="40"/>
      <c r="Y2456" s="40"/>
    </row>
    <row r="2457" spans="5:25" x14ac:dyDescent="0.35">
      <c r="E2457" t="s">
        <v>215</v>
      </c>
      <c r="F2457" t="s">
        <v>1009</v>
      </c>
      <c r="G2457" s="28"/>
      <c r="X2457" s="40"/>
      <c r="Y2457" s="40"/>
    </row>
    <row r="2458" spans="5:25" x14ac:dyDescent="0.35">
      <c r="E2458" t="s">
        <v>215</v>
      </c>
      <c r="F2458" t="s">
        <v>1825</v>
      </c>
      <c r="G2458" s="28"/>
      <c r="X2458" s="40"/>
      <c r="Y2458" s="40"/>
    </row>
    <row r="2459" spans="5:25" x14ac:dyDescent="0.35">
      <c r="E2459" t="s">
        <v>215</v>
      </c>
      <c r="F2459" t="s">
        <v>405</v>
      </c>
      <c r="G2459" s="28"/>
      <c r="X2459" s="40"/>
      <c r="Y2459" s="40"/>
    </row>
    <row r="2460" spans="5:25" x14ac:dyDescent="0.35">
      <c r="E2460" t="s">
        <v>215</v>
      </c>
      <c r="F2460" t="s">
        <v>343</v>
      </c>
      <c r="G2460" s="28"/>
      <c r="X2460" s="40"/>
      <c r="Y2460" s="40"/>
    </row>
    <row r="2461" spans="5:25" x14ac:dyDescent="0.35">
      <c r="E2461" t="s">
        <v>215</v>
      </c>
      <c r="F2461" t="s">
        <v>1826</v>
      </c>
      <c r="G2461" s="28"/>
      <c r="X2461" s="40"/>
      <c r="Y2461" s="40"/>
    </row>
    <row r="2462" spans="5:25" x14ac:dyDescent="0.35">
      <c r="E2462" t="s">
        <v>215</v>
      </c>
      <c r="F2462" t="s">
        <v>1827</v>
      </c>
      <c r="G2462" s="28"/>
      <c r="X2462" s="40"/>
      <c r="Y2462" s="40"/>
    </row>
    <row r="2463" spans="5:25" x14ac:dyDescent="0.35">
      <c r="E2463" t="s">
        <v>215</v>
      </c>
      <c r="F2463" t="s">
        <v>540</v>
      </c>
      <c r="G2463" s="28"/>
      <c r="X2463" s="40"/>
      <c r="Y2463" s="40"/>
    </row>
    <row r="2464" spans="5:25" x14ac:dyDescent="0.35">
      <c r="E2464" t="s">
        <v>215</v>
      </c>
      <c r="F2464" t="s">
        <v>1828</v>
      </c>
      <c r="G2464" s="28"/>
      <c r="X2464" s="40"/>
      <c r="Y2464" s="40"/>
    </row>
    <row r="2465" spans="5:25" x14ac:dyDescent="0.35">
      <c r="E2465" t="s">
        <v>215</v>
      </c>
      <c r="F2465" t="s">
        <v>1829</v>
      </c>
      <c r="G2465" s="28"/>
      <c r="X2465" s="40"/>
      <c r="Y2465" s="40"/>
    </row>
    <row r="2466" spans="5:25" x14ac:dyDescent="0.35">
      <c r="E2466" t="s">
        <v>215</v>
      </c>
      <c r="F2466" t="s">
        <v>1478</v>
      </c>
      <c r="G2466" s="28"/>
      <c r="X2466" s="40"/>
      <c r="Y2466" s="40"/>
    </row>
    <row r="2467" spans="5:25" x14ac:dyDescent="0.35">
      <c r="E2467" t="s">
        <v>215</v>
      </c>
      <c r="F2467" t="s">
        <v>1634</v>
      </c>
      <c r="G2467" s="28"/>
      <c r="X2467" s="40"/>
      <c r="Y2467" s="40"/>
    </row>
    <row r="2468" spans="5:25" x14ac:dyDescent="0.35">
      <c r="E2468" t="s">
        <v>215</v>
      </c>
      <c r="F2468" t="s">
        <v>544</v>
      </c>
      <c r="G2468" s="28"/>
      <c r="X2468" s="40"/>
      <c r="Y2468" s="40"/>
    </row>
    <row r="2469" spans="5:25" x14ac:dyDescent="0.35">
      <c r="E2469" t="s">
        <v>215</v>
      </c>
      <c r="F2469" t="s">
        <v>1830</v>
      </c>
      <c r="G2469" s="28"/>
      <c r="X2469" s="40"/>
      <c r="Y2469" s="40"/>
    </row>
    <row r="2470" spans="5:25" x14ac:dyDescent="0.35">
      <c r="E2470" t="s">
        <v>215</v>
      </c>
      <c r="F2470" t="s">
        <v>1831</v>
      </c>
      <c r="G2470" s="28"/>
      <c r="X2470" s="40"/>
      <c r="Y2470" s="40"/>
    </row>
    <row r="2471" spans="5:25" x14ac:dyDescent="0.35">
      <c r="E2471" t="s">
        <v>215</v>
      </c>
      <c r="F2471" t="s">
        <v>1832</v>
      </c>
      <c r="G2471" s="28"/>
      <c r="X2471" s="40"/>
      <c r="Y2471" s="40"/>
    </row>
    <row r="2472" spans="5:25" x14ac:dyDescent="0.35">
      <c r="E2472" t="s">
        <v>215</v>
      </c>
      <c r="F2472" t="s">
        <v>418</v>
      </c>
      <c r="G2472" s="28"/>
      <c r="X2472" s="40"/>
      <c r="Y2472" s="40"/>
    </row>
    <row r="2473" spans="5:25" x14ac:dyDescent="0.35">
      <c r="E2473" t="s">
        <v>215</v>
      </c>
      <c r="F2473" t="s">
        <v>1833</v>
      </c>
      <c r="G2473" s="28"/>
      <c r="X2473" s="40"/>
      <c r="Y2473" s="40"/>
    </row>
    <row r="2474" spans="5:25" x14ac:dyDescent="0.35">
      <c r="E2474" t="s">
        <v>215</v>
      </c>
      <c r="F2474" t="s">
        <v>1834</v>
      </c>
      <c r="G2474" s="28"/>
      <c r="X2474" s="40"/>
      <c r="Y2474" s="40"/>
    </row>
    <row r="2475" spans="5:25" x14ac:dyDescent="0.35">
      <c r="E2475" t="s">
        <v>215</v>
      </c>
      <c r="F2475" t="s">
        <v>1835</v>
      </c>
      <c r="G2475" s="28"/>
      <c r="X2475" s="40"/>
      <c r="Y2475" s="40"/>
    </row>
    <row r="2476" spans="5:25" x14ac:dyDescent="0.35">
      <c r="E2476" t="s">
        <v>215</v>
      </c>
      <c r="F2476" t="s">
        <v>1836</v>
      </c>
      <c r="G2476" s="28"/>
      <c r="X2476" s="40"/>
      <c r="Y2476" s="40"/>
    </row>
    <row r="2477" spans="5:25" x14ac:dyDescent="0.35">
      <c r="E2477" t="s">
        <v>215</v>
      </c>
      <c r="F2477" t="s">
        <v>1837</v>
      </c>
      <c r="G2477" s="28"/>
      <c r="X2477" s="40"/>
      <c r="Y2477" s="40"/>
    </row>
    <row r="2478" spans="5:25" x14ac:dyDescent="0.35">
      <c r="E2478" t="s">
        <v>215</v>
      </c>
      <c r="F2478" t="s">
        <v>1533</v>
      </c>
      <c r="G2478" s="28"/>
      <c r="X2478" s="40"/>
      <c r="Y2478" s="40"/>
    </row>
    <row r="2479" spans="5:25" x14ac:dyDescent="0.35">
      <c r="E2479" t="s">
        <v>215</v>
      </c>
      <c r="F2479" t="s">
        <v>1638</v>
      </c>
      <c r="G2479" s="28"/>
      <c r="X2479" s="40"/>
      <c r="Y2479" s="40"/>
    </row>
    <row r="2480" spans="5:25" x14ac:dyDescent="0.35">
      <c r="E2480" t="s">
        <v>215</v>
      </c>
      <c r="F2480" t="s">
        <v>1838</v>
      </c>
      <c r="G2480" s="28"/>
      <c r="X2480" s="40"/>
      <c r="Y2480" s="40"/>
    </row>
    <row r="2481" spans="5:25" x14ac:dyDescent="0.35">
      <c r="E2481" t="s">
        <v>215</v>
      </c>
      <c r="F2481" t="s">
        <v>1404</v>
      </c>
      <c r="G2481" s="28"/>
      <c r="X2481" s="40"/>
      <c r="Y2481" s="40"/>
    </row>
    <row r="2482" spans="5:25" x14ac:dyDescent="0.35">
      <c r="E2482" t="s">
        <v>215</v>
      </c>
      <c r="F2482" t="s">
        <v>365</v>
      </c>
      <c r="G2482" s="28"/>
      <c r="X2482" s="40"/>
      <c r="Y2482" s="40"/>
    </row>
    <row r="2483" spans="5:25" x14ac:dyDescent="0.35">
      <c r="E2483" t="s">
        <v>215</v>
      </c>
      <c r="F2483" t="s">
        <v>1839</v>
      </c>
      <c r="G2483" s="28"/>
      <c r="X2483" s="40"/>
      <c r="Y2483" s="40"/>
    </row>
    <row r="2484" spans="5:25" x14ac:dyDescent="0.35">
      <c r="E2484" t="s">
        <v>215</v>
      </c>
      <c r="F2484" t="s">
        <v>704</v>
      </c>
      <c r="G2484" s="28"/>
      <c r="X2484" s="40"/>
      <c r="Y2484" s="40"/>
    </row>
    <row r="2485" spans="5:25" x14ac:dyDescent="0.35">
      <c r="E2485" t="s">
        <v>215</v>
      </c>
      <c r="F2485" t="s">
        <v>1840</v>
      </c>
      <c r="G2485" s="28"/>
      <c r="X2485" s="40"/>
      <c r="Y2485" s="40"/>
    </row>
    <row r="2486" spans="5:25" x14ac:dyDescent="0.35">
      <c r="E2486" t="s">
        <v>215</v>
      </c>
      <c r="F2486" t="s">
        <v>486</v>
      </c>
      <c r="G2486" s="28"/>
      <c r="X2486" s="40"/>
      <c r="Y2486" s="40"/>
    </row>
    <row r="2487" spans="5:25" x14ac:dyDescent="0.35">
      <c r="E2487" t="s">
        <v>215</v>
      </c>
      <c r="F2487" t="s">
        <v>369</v>
      </c>
      <c r="G2487" s="28"/>
      <c r="X2487" s="40"/>
      <c r="Y2487" s="40"/>
    </row>
    <row r="2488" spans="5:25" x14ac:dyDescent="0.35">
      <c r="E2488" t="s">
        <v>215</v>
      </c>
      <c r="F2488" t="s">
        <v>426</v>
      </c>
      <c r="G2488" s="28"/>
      <c r="X2488" s="40"/>
      <c r="Y2488" s="40"/>
    </row>
    <row r="2489" spans="5:25" x14ac:dyDescent="0.35">
      <c r="E2489" t="s">
        <v>215</v>
      </c>
      <c r="F2489" t="s">
        <v>1841</v>
      </c>
      <c r="G2489" s="28"/>
      <c r="X2489" s="40"/>
      <c r="Y2489" s="40"/>
    </row>
    <row r="2490" spans="5:25" x14ac:dyDescent="0.35">
      <c r="E2490" t="s">
        <v>215</v>
      </c>
      <c r="F2490" t="s">
        <v>377</v>
      </c>
      <c r="G2490" s="28"/>
      <c r="X2490" s="40"/>
      <c r="Y2490" s="40"/>
    </row>
    <row r="2491" spans="5:25" x14ac:dyDescent="0.35">
      <c r="E2491" t="s">
        <v>215</v>
      </c>
      <c r="F2491" t="s">
        <v>1842</v>
      </c>
      <c r="G2491" s="28"/>
      <c r="X2491" s="40"/>
      <c r="Y2491" s="40"/>
    </row>
    <row r="2492" spans="5:25" x14ac:dyDescent="0.35">
      <c r="E2492" t="s">
        <v>215</v>
      </c>
      <c r="F2492" t="s">
        <v>961</v>
      </c>
      <c r="G2492" s="28"/>
      <c r="X2492" s="40"/>
      <c r="Y2492" s="40"/>
    </row>
    <row r="2493" spans="5:25" x14ac:dyDescent="0.35">
      <c r="E2493" t="s">
        <v>215</v>
      </c>
      <c r="F2493" t="s">
        <v>962</v>
      </c>
      <c r="G2493" s="28"/>
      <c r="X2493" s="40"/>
      <c r="Y2493" s="40"/>
    </row>
    <row r="2494" spans="5:25" x14ac:dyDescent="0.35">
      <c r="E2494" t="s">
        <v>215</v>
      </c>
      <c r="F2494" t="s">
        <v>1843</v>
      </c>
      <c r="G2494" s="28"/>
      <c r="X2494" s="40"/>
      <c r="Y2494" s="40"/>
    </row>
    <row r="2495" spans="5:25" x14ac:dyDescent="0.35">
      <c r="E2495" t="s">
        <v>215</v>
      </c>
      <c r="F2495" t="s">
        <v>1844</v>
      </c>
      <c r="G2495" s="28"/>
      <c r="X2495" s="40"/>
      <c r="Y2495" s="40"/>
    </row>
    <row r="2496" spans="5:25" x14ac:dyDescent="0.35">
      <c r="E2496" t="s">
        <v>215</v>
      </c>
      <c r="F2496" t="s">
        <v>1845</v>
      </c>
      <c r="G2496" s="28"/>
      <c r="X2496" s="40"/>
      <c r="Y2496" s="40"/>
    </row>
    <row r="2497" spans="5:25" x14ac:dyDescent="0.35">
      <c r="E2497" t="s">
        <v>215</v>
      </c>
      <c r="F2497" t="s">
        <v>1846</v>
      </c>
      <c r="G2497" s="28"/>
      <c r="X2497" s="40"/>
      <c r="Y2497" s="40"/>
    </row>
    <row r="2498" spans="5:25" x14ac:dyDescent="0.35">
      <c r="E2498" t="s">
        <v>215</v>
      </c>
      <c r="F2498" t="s">
        <v>1847</v>
      </c>
      <c r="G2498" s="28"/>
      <c r="X2498" s="40"/>
      <c r="Y2498" s="40"/>
    </row>
    <row r="2499" spans="5:25" x14ac:dyDescent="0.35">
      <c r="E2499" t="s">
        <v>215</v>
      </c>
      <c r="F2499" t="s">
        <v>1237</v>
      </c>
      <c r="G2499" s="28"/>
      <c r="X2499" s="40"/>
      <c r="Y2499" s="40"/>
    </row>
    <row r="2500" spans="5:25" x14ac:dyDescent="0.35">
      <c r="E2500" t="s">
        <v>215</v>
      </c>
      <c r="F2500" t="s">
        <v>1500</v>
      </c>
      <c r="G2500" s="28"/>
      <c r="X2500" s="40"/>
      <c r="Y2500" s="40"/>
    </row>
    <row r="2501" spans="5:25" x14ac:dyDescent="0.35">
      <c r="E2501" t="s">
        <v>215</v>
      </c>
      <c r="F2501" t="s">
        <v>1707</v>
      </c>
      <c r="G2501" s="28"/>
      <c r="X2501" s="40"/>
      <c r="Y2501" s="40"/>
    </row>
    <row r="2502" spans="5:25" x14ac:dyDescent="0.35">
      <c r="E2502" t="s">
        <v>215</v>
      </c>
      <c r="F2502" t="s">
        <v>1848</v>
      </c>
      <c r="G2502" s="28"/>
      <c r="X2502" s="40"/>
      <c r="Y2502" s="40"/>
    </row>
    <row r="2503" spans="5:25" x14ac:dyDescent="0.35">
      <c r="E2503" t="s">
        <v>215</v>
      </c>
      <c r="F2503" t="s">
        <v>1849</v>
      </c>
      <c r="G2503" s="28"/>
      <c r="X2503" s="40"/>
      <c r="Y2503" s="40"/>
    </row>
    <row r="2504" spans="5:25" x14ac:dyDescent="0.35">
      <c r="E2504" t="s">
        <v>215</v>
      </c>
      <c r="F2504" t="s">
        <v>1295</v>
      </c>
      <c r="G2504" s="28"/>
      <c r="X2504" s="40"/>
      <c r="Y2504" s="40"/>
    </row>
    <row r="2505" spans="5:25" x14ac:dyDescent="0.35">
      <c r="E2505" t="s">
        <v>215</v>
      </c>
      <c r="F2505" t="s">
        <v>1850</v>
      </c>
      <c r="G2505" s="28"/>
      <c r="X2505" s="40"/>
      <c r="Y2505" s="40"/>
    </row>
    <row r="2506" spans="5:25" x14ac:dyDescent="0.35">
      <c r="E2506" t="s">
        <v>215</v>
      </c>
      <c r="F2506" t="s">
        <v>1851</v>
      </c>
      <c r="G2506" s="28"/>
      <c r="X2506" s="40"/>
      <c r="Y2506" s="40"/>
    </row>
    <row r="2507" spans="5:25" x14ac:dyDescent="0.35">
      <c r="E2507" t="s">
        <v>215</v>
      </c>
      <c r="F2507" t="s">
        <v>1852</v>
      </c>
      <c r="G2507" s="28"/>
      <c r="X2507" s="40"/>
      <c r="Y2507" s="40"/>
    </row>
    <row r="2508" spans="5:25" x14ac:dyDescent="0.35">
      <c r="E2508" t="s">
        <v>215</v>
      </c>
      <c r="F2508" t="s">
        <v>1048</v>
      </c>
      <c r="G2508" s="28"/>
      <c r="X2508" s="40"/>
      <c r="Y2508" s="40"/>
    </row>
    <row r="2509" spans="5:25" x14ac:dyDescent="0.35">
      <c r="E2509" t="s">
        <v>215</v>
      </c>
      <c r="F2509" t="s">
        <v>1853</v>
      </c>
      <c r="G2509" s="28"/>
      <c r="X2509" s="40"/>
      <c r="Y2509" s="40"/>
    </row>
    <row r="2510" spans="5:25" x14ac:dyDescent="0.35">
      <c r="E2510" t="s">
        <v>215</v>
      </c>
      <c r="F2510" t="s">
        <v>740</v>
      </c>
      <c r="G2510" s="28"/>
      <c r="X2510" s="40"/>
      <c r="Y2510" s="40"/>
    </row>
    <row r="2511" spans="5:25" x14ac:dyDescent="0.35">
      <c r="E2511" t="s">
        <v>215</v>
      </c>
      <c r="F2511" t="s">
        <v>449</v>
      </c>
      <c r="G2511" s="28"/>
      <c r="X2511" s="40"/>
      <c r="Y2511" s="40"/>
    </row>
    <row r="2512" spans="5:25" x14ac:dyDescent="0.35">
      <c r="E2512" t="s">
        <v>215</v>
      </c>
      <c r="F2512" t="s">
        <v>1854</v>
      </c>
      <c r="G2512" s="28"/>
      <c r="X2512" s="40"/>
      <c r="Y2512" s="40"/>
    </row>
    <row r="2513" spans="5:25" x14ac:dyDescent="0.35">
      <c r="E2513" t="s">
        <v>215</v>
      </c>
      <c r="F2513" t="s">
        <v>1855</v>
      </c>
      <c r="G2513" s="28"/>
      <c r="X2513" s="40"/>
      <c r="Y2513" s="40"/>
    </row>
    <row r="2514" spans="5:25" x14ac:dyDescent="0.35">
      <c r="E2514" t="s">
        <v>215</v>
      </c>
      <c r="F2514" t="s">
        <v>1856</v>
      </c>
      <c r="G2514" s="28"/>
      <c r="X2514" s="40"/>
      <c r="Y2514" s="40"/>
    </row>
    <row r="2515" spans="5:25" x14ac:dyDescent="0.35">
      <c r="E2515" t="s">
        <v>216</v>
      </c>
      <c r="F2515" t="s">
        <v>930</v>
      </c>
      <c r="G2515" s="28"/>
      <c r="X2515" s="40"/>
      <c r="Y2515" s="40"/>
    </row>
    <row r="2516" spans="5:25" x14ac:dyDescent="0.35">
      <c r="E2516" t="s">
        <v>216</v>
      </c>
      <c r="F2516" t="s">
        <v>1683</v>
      </c>
      <c r="G2516" s="28"/>
      <c r="X2516" s="40"/>
      <c r="Y2516" s="40"/>
    </row>
    <row r="2517" spans="5:25" x14ac:dyDescent="0.35">
      <c r="E2517" t="s">
        <v>216</v>
      </c>
      <c r="F2517" t="s">
        <v>400</v>
      </c>
      <c r="G2517" s="28"/>
      <c r="X2517" s="40"/>
      <c r="Y2517" s="40"/>
    </row>
    <row r="2518" spans="5:25" x14ac:dyDescent="0.35">
      <c r="E2518" t="s">
        <v>216</v>
      </c>
      <c r="F2518" t="s">
        <v>1857</v>
      </c>
      <c r="G2518" s="28"/>
      <c r="X2518" s="40"/>
      <c r="Y2518" s="40"/>
    </row>
    <row r="2519" spans="5:25" x14ac:dyDescent="0.35">
      <c r="E2519" t="s">
        <v>216</v>
      </c>
      <c r="F2519" t="s">
        <v>334</v>
      </c>
      <c r="G2519" s="28"/>
      <c r="X2519" s="40"/>
      <c r="Y2519" s="40"/>
    </row>
    <row r="2520" spans="5:25" x14ac:dyDescent="0.35">
      <c r="E2520" t="s">
        <v>216</v>
      </c>
      <c r="F2520" t="s">
        <v>402</v>
      </c>
      <c r="G2520" s="28"/>
      <c r="X2520" s="40"/>
      <c r="Y2520" s="40"/>
    </row>
    <row r="2521" spans="5:25" x14ac:dyDescent="0.35">
      <c r="E2521" t="s">
        <v>216</v>
      </c>
      <c r="F2521" t="s">
        <v>1009</v>
      </c>
      <c r="G2521" s="28"/>
      <c r="X2521" s="40"/>
      <c r="Y2521" s="40"/>
    </row>
    <row r="2522" spans="5:25" x14ac:dyDescent="0.35">
      <c r="E2522" t="s">
        <v>216</v>
      </c>
      <c r="F2522" t="s">
        <v>1858</v>
      </c>
      <c r="G2522" s="28"/>
      <c r="X2522" s="40"/>
      <c r="Y2522" s="40"/>
    </row>
    <row r="2523" spans="5:25" x14ac:dyDescent="0.35">
      <c r="E2523" t="s">
        <v>216</v>
      </c>
      <c r="F2523" t="s">
        <v>403</v>
      </c>
      <c r="G2523" s="28"/>
      <c r="X2523" s="40"/>
      <c r="Y2523" s="40"/>
    </row>
    <row r="2524" spans="5:25" x14ac:dyDescent="0.35">
      <c r="E2524" t="s">
        <v>216</v>
      </c>
      <c r="F2524" t="s">
        <v>1011</v>
      </c>
      <c r="G2524" s="28"/>
      <c r="X2524" s="40"/>
      <c r="Y2524" s="40"/>
    </row>
    <row r="2525" spans="5:25" x14ac:dyDescent="0.35">
      <c r="E2525" t="s">
        <v>216</v>
      </c>
      <c r="F2525" t="s">
        <v>1859</v>
      </c>
      <c r="G2525" s="28"/>
      <c r="X2525" s="40"/>
      <c r="Y2525" s="40"/>
    </row>
    <row r="2526" spans="5:25" x14ac:dyDescent="0.35">
      <c r="E2526" t="s">
        <v>216</v>
      </c>
      <c r="F2526" t="s">
        <v>1689</v>
      </c>
      <c r="G2526" s="28"/>
      <c r="X2526" s="40"/>
      <c r="Y2526" s="40"/>
    </row>
    <row r="2527" spans="5:25" x14ac:dyDescent="0.35">
      <c r="E2527" t="s">
        <v>216</v>
      </c>
      <c r="F2527" t="s">
        <v>1063</v>
      </c>
      <c r="G2527" s="28"/>
      <c r="X2527" s="40"/>
      <c r="Y2527" s="40"/>
    </row>
    <row r="2528" spans="5:25" x14ac:dyDescent="0.35">
      <c r="E2528" t="s">
        <v>216</v>
      </c>
      <c r="F2528" t="s">
        <v>343</v>
      </c>
      <c r="G2528" s="28"/>
      <c r="X2528" s="40"/>
      <c r="Y2528" s="40"/>
    </row>
    <row r="2529" spans="5:25" x14ac:dyDescent="0.35">
      <c r="E2529" t="s">
        <v>216</v>
      </c>
      <c r="F2529" t="s">
        <v>1860</v>
      </c>
      <c r="G2529" s="28"/>
      <c r="X2529" s="40"/>
      <c r="Y2529" s="40"/>
    </row>
    <row r="2530" spans="5:25" x14ac:dyDescent="0.35">
      <c r="E2530" t="s">
        <v>216</v>
      </c>
      <c r="F2530" t="s">
        <v>345</v>
      </c>
      <c r="G2530" s="28"/>
      <c r="X2530" s="40"/>
      <c r="Y2530" s="40"/>
    </row>
    <row r="2531" spans="5:25" x14ac:dyDescent="0.35">
      <c r="E2531" t="s">
        <v>216</v>
      </c>
      <c r="F2531" t="s">
        <v>1861</v>
      </c>
      <c r="G2531" s="28"/>
      <c r="X2531" s="40"/>
      <c r="Y2531" s="40"/>
    </row>
    <row r="2532" spans="5:25" x14ac:dyDescent="0.35">
      <c r="E2532" t="s">
        <v>216</v>
      </c>
      <c r="F2532" t="s">
        <v>849</v>
      </c>
      <c r="G2532" s="28"/>
      <c r="X2532" s="40"/>
      <c r="Y2532" s="40"/>
    </row>
    <row r="2533" spans="5:25" x14ac:dyDescent="0.35">
      <c r="E2533" t="s">
        <v>216</v>
      </c>
      <c r="F2533" t="s">
        <v>1390</v>
      </c>
      <c r="G2533" s="28"/>
      <c r="X2533" s="40"/>
      <c r="Y2533" s="40"/>
    </row>
    <row r="2534" spans="5:25" x14ac:dyDescent="0.35">
      <c r="E2534" t="s">
        <v>216</v>
      </c>
      <c r="F2534" t="s">
        <v>674</v>
      </c>
      <c r="G2534" s="28"/>
      <c r="X2534" s="40"/>
      <c r="Y2534" s="40"/>
    </row>
    <row r="2535" spans="5:25" x14ac:dyDescent="0.35">
      <c r="E2535" t="s">
        <v>216</v>
      </c>
      <c r="F2535" t="s">
        <v>675</v>
      </c>
      <c r="G2535" s="28"/>
      <c r="X2535" s="40"/>
      <c r="Y2535" s="40"/>
    </row>
    <row r="2536" spans="5:25" x14ac:dyDescent="0.35">
      <c r="E2536" t="s">
        <v>216</v>
      </c>
      <c r="F2536" t="s">
        <v>1862</v>
      </c>
      <c r="G2536" s="28"/>
      <c r="X2536" s="40"/>
      <c r="Y2536" s="40"/>
    </row>
    <row r="2537" spans="5:25" x14ac:dyDescent="0.35">
      <c r="E2537" t="s">
        <v>216</v>
      </c>
      <c r="F2537" t="s">
        <v>1863</v>
      </c>
      <c r="G2537" s="28"/>
      <c r="X2537" s="40"/>
      <c r="Y2537" s="40"/>
    </row>
    <row r="2538" spans="5:25" x14ac:dyDescent="0.35">
      <c r="E2538" t="s">
        <v>216</v>
      </c>
      <c r="F2538" t="s">
        <v>358</v>
      </c>
      <c r="G2538" s="28"/>
      <c r="X2538" s="40"/>
      <c r="Y2538" s="40"/>
    </row>
    <row r="2539" spans="5:25" x14ac:dyDescent="0.35">
      <c r="E2539" t="s">
        <v>216</v>
      </c>
      <c r="F2539" t="s">
        <v>1864</v>
      </c>
      <c r="G2539" s="28"/>
      <c r="X2539" s="40"/>
      <c r="Y2539" s="40"/>
    </row>
    <row r="2540" spans="5:25" x14ac:dyDescent="0.35">
      <c r="E2540" t="s">
        <v>216</v>
      </c>
      <c r="F2540" t="s">
        <v>359</v>
      </c>
      <c r="G2540" s="28"/>
      <c r="X2540" s="40"/>
      <c r="Y2540" s="40"/>
    </row>
    <row r="2541" spans="5:25" x14ac:dyDescent="0.35">
      <c r="E2541" t="s">
        <v>216</v>
      </c>
      <c r="F2541" t="s">
        <v>899</v>
      </c>
      <c r="G2541" s="28"/>
      <c r="X2541" s="40"/>
      <c r="Y2541" s="40"/>
    </row>
    <row r="2542" spans="5:25" x14ac:dyDescent="0.35">
      <c r="E2542" t="s">
        <v>216</v>
      </c>
      <c r="F2542" t="s">
        <v>1865</v>
      </c>
      <c r="G2542" s="28"/>
      <c r="X2542" s="40"/>
      <c r="Y2542" s="40"/>
    </row>
    <row r="2543" spans="5:25" x14ac:dyDescent="0.35">
      <c r="E2543" t="s">
        <v>216</v>
      </c>
      <c r="F2543" t="s">
        <v>1866</v>
      </c>
      <c r="G2543" s="28"/>
      <c r="X2543" s="40"/>
      <c r="Y2543" s="40"/>
    </row>
    <row r="2544" spans="5:25" x14ac:dyDescent="0.35">
      <c r="E2544" t="s">
        <v>216</v>
      </c>
      <c r="F2544" t="s">
        <v>361</v>
      </c>
      <c r="G2544" s="28"/>
      <c r="X2544" s="40"/>
      <c r="Y2544" s="40"/>
    </row>
    <row r="2545" spans="5:25" x14ac:dyDescent="0.35">
      <c r="E2545" t="s">
        <v>216</v>
      </c>
      <c r="F2545" t="s">
        <v>776</v>
      </c>
      <c r="G2545" s="28"/>
      <c r="X2545" s="40"/>
      <c r="Y2545" s="40"/>
    </row>
    <row r="2546" spans="5:25" x14ac:dyDescent="0.35">
      <c r="E2546" t="s">
        <v>216</v>
      </c>
      <c r="F2546" t="s">
        <v>1867</v>
      </c>
      <c r="G2546" s="28"/>
      <c r="X2546" s="40"/>
      <c r="Y2546" s="40"/>
    </row>
    <row r="2547" spans="5:25" x14ac:dyDescent="0.35">
      <c r="E2547" t="s">
        <v>216</v>
      </c>
      <c r="F2547" t="s">
        <v>610</v>
      </c>
      <c r="G2547" s="28"/>
      <c r="X2547" s="40"/>
      <c r="Y2547" s="40"/>
    </row>
    <row r="2548" spans="5:25" x14ac:dyDescent="0.35">
      <c r="E2548" t="s">
        <v>216</v>
      </c>
      <c r="F2548" t="s">
        <v>695</v>
      </c>
      <c r="G2548" s="28"/>
      <c r="X2548" s="40"/>
      <c r="Y2548" s="40"/>
    </row>
    <row r="2549" spans="5:25" x14ac:dyDescent="0.35">
      <c r="E2549" t="s">
        <v>216</v>
      </c>
      <c r="F2549" t="s">
        <v>1868</v>
      </c>
      <c r="G2549" s="28"/>
      <c r="X2549" s="40"/>
      <c r="Y2549" s="40"/>
    </row>
    <row r="2550" spans="5:25" x14ac:dyDescent="0.35">
      <c r="E2550" t="s">
        <v>216</v>
      </c>
      <c r="F2550" t="s">
        <v>778</v>
      </c>
      <c r="G2550" s="28"/>
      <c r="X2550" s="40"/>
      <c r="Y2550" s="40"/>
    </row>
    <row r="2551" spans="5:25" x14ac:dyDescent="0.35">
      <c r="E2551" t="s">
        <v>216</v>
      </c>
      <c r="F2551" t="s">
        <v>1869</v>
      </c>
      <c r="G2551" s="28"/>
      <c r="X2551" s="40"/>
      <c r="Y2551" s="40"/>
    </row>
    <row r="2552" spans="5:25" x14ac:dyDescent="0.35">
      <c r="E2552" t="s">
        <v>216</v>
      </c>
      <c r="F2552" t="s">
        <v>1401</v>
      </c>
      <c r="G2552" s="28"/>
      <c r="X2552" s="40"/>
      <c r="Y2552" s="40"/>
    </row>
    <row r="2553" spans="5:25" x14ac:dyDescent="0.35">
      <c r="E2553" t="s">
        <v>216</v>
      </c>
      <c r="F2553" t="s">
        <v>856</v>
      </c>
      <c r="G2553" s="28"/>
      <c r="X2553" s="40"/>
      <c r="Y2553" s="40"/>
    </row>
    <row r="2554" spans="5:25" x14ac:dyDescent="0.35">
      <c r="E2554" t="s">
        <v>216</v>
      </c>
      <c r="F2554" t="s">
        <v>363</v>
      </c>
      <c r="G2554" s="28"/>
      <c r="X2554" s="40"/>
      <c r="Y2554" s="40"/>
    </row>
    <row r="2555" spans="5:25" x14ac:dyDescent="0.35">
      <c r="E2555" t="s">
        <v>216</v>
      </c>
      <c r="F2555" t="s">
        <v>1023</v>
      </c>
      <c r="G2555" s="28"/>
      <c r="X2555" s="40"/>
      <c r="Y2555" s="40"/>
    </row>
    <row r="2556" spans="5:25" x14ac:dyDescent="0.35">
      <c r="E2556" t="s">
        <v>216</v>
      </c>
      <c r="F2556" t="s">
        <v>364</v>
      </c>
      <c r="G2556" s="28"/>
      <c r="X2556" s="40"/>
      <c r="Y2556" s="40"/>
    </row>
    <row r="2557" spans="5:25" x14ac:dyDescent="0.35">
      <c r="E2557" t="s">
        <v>216</v>
      </c>
      <c r="F2557" t="s">
        <v>1311</v>
      </c>
      <c r="G2557" s="28"/>
      <c r="X2557" s="40"/>
      <c r="Y2557" s="40"/>
    </row>
    <row r="2558" spans="5:25" x14ac:dyDescent="0.35">
      <c r="E2558" t="s">
        <v>216</v>
      </c>
      <c r="F2558" t="s">
        <v>365</v>
      </c>
      <c r="G2558" s="28"/>
      <c r="X2558" s="40"/>
      <c r="Y2558" s="40"/>
    </row>
    <row r="2559" spans="5:25" x14ac:dyDescent="0.35">
      <c r="E2559" t="s">
        <v>216</v>
      </c>
      <c r="F2559" t="s">
        <v>366</v>
      </c>
      <c r="G2559" s="28"/>
      <c r="X2559" s="40"/>
      <c r="Y2559" s="40"/>
    </row>
    <row r="2560" spans="5:25" x14ac:dyDescent="0.35">
      <c r="E2560" t="s">
        <v>216</v>
      </c>
      <c r="F2560" t="s">
        <v>424</v>
      </c>
      <c r="G2560" s="28"/>
      <c r="X2560" s="40"/>
      <c r="Y2560" s="40"/>
    </row>
    <row r="2561" spans="5:25" x14ac:dyDescent="0.35">
      <c r="E2561" t="s">
        <v>216</v>
      </c>
      <c r="F2561" t="s">
        <v>863</v>
      </c>
      <c r="G2561" s="28"/>
      <c r="X2561" s="40"/>
      <c r="Y2561" s="40"/>
    </row>
    <row r="2562" spans="5:25" x14ac:dyDescent="0.35">
      <c r="E2562" t="s">
        <v>216</v>
      </c>
      <c r="F2562" t="s">
        <v>486</v>
      </c>
      <c r="G2562" s="28"/>
      <c r="X2562" s="40"/>
      <c r="Y2562" s="40"/>
    </row>
    <row r="2563" spans="5:25" x14ac:dyDescent="0.35">
      <c r="E2563" t="s">
        <v>216</v>
      </c>
      <c r="F2563" t="s">
        <v>368</v>
      </c>
      <c r="G2563" s="28"/>
      <c r="X2563" s="40"/>
      <c r="Y2563" s="40"/>
    </row>
    <row r="2564" spans="5:25" x14ac:dyDescent="0.35">
      <c r="E2564" t="s">
        <v>216</v>
      </c>
      <c r="F2564" t="s">
        <v>369</v>
      </c>
      <c r="G2564" s="28"/>
      <c r="X2564" s="40"/>
      <c r="Y2564" s="40"/>
    </row>
    <row r="2565" spans="5:25" x14ac:dyDescent="0.35">
      <c r="E2565" t="s">
        <v>216</v>
      </c>
      <c r="F2565" t="s">
        <v>831</v>
      </c>
      <c r="G2565" s="28"/>
      <c r="X2565" s="40"/>
      <c r="Y2565" s="40"/>
    </row>
    <row r="2566" spans="5:25" x14ac:dyDescent="0.35">
      <c r="E2566" t="s">
        <v>216</v>
      </c>
      <c r="F2566" t="s">
        <v>426</v>
      </c>
      <c r="G2566" s="28"/>
      <c r="X2566" s="40"/>
      <c r="Y2566" s="40"/>
    </row>
    <row r="2567" spans="5:25" x14ac:dyDescent="0.35">
      <c r="E2567" t="s">
        <v>216</v>
      </c>
      <c r="F2567" t="s">
        <v>1870</v>
      </c>
      <c r="G2567" s="28"/>
      <c r="X2567" s="40"/>
      <c r="Y2567" s="40"/>
    </row>
    <row r="2568" spans="5:25" x14ac:dyDescent="0.35">
      <c r="E2568" t="s">
        <v>216</v>
      </c>
      <c r="F2568" t="s">
        <v>373</v>
      </c>
      <c r="G2568" s="28"/>
      <c r="X2568" s="40"/>
      <c r="Y2568" s="40"/>
    </row>
    <row r="2569" spans="5:25" x14ac:dyDescent="0.35">
      <c r="E2569" t="s">
        <v>216</v>
      </c>
      <c r="F2569" t="s">
        <v>374</v>
      </c>
      <c r="G2569" s="28"/>
      <c r="X2569" s="40"/>
      <c r="Y2569" s="40"/>
    </row>
    <row r="2570" spans="5:25" x14ac:dyDescent="0.35">
      <c r="E2570" t="s">
        <v>216</v>
      </c>
      <c r="F2570" t="s">
        <v>376</v>
      </c>
      <c r="G2570" s="28"/>
      <c r="X2570" s="40"/>
      <c r="Y2570" s="40"/>
    </row>
    <row r="2571" spans="5:25" x14ac:dyDescent="0.35">
      <c r="E2571" t="s">
        <v>216</v>
      </c>
      <c r="F2571" t="s">
        <v>377</v>
      </c>
      <c r="G2571" s="28"/>
      <c r="X2571" s="40"/>
      <c r="Y2571" s="40"/>
    </row>
    <row r="2572" spans="5:25" x14ac:dyDescent="0.35">
      <c r="E2572" t="s">
        <v>216</v>
      </c>
      <c r="F2572" t="s">
        <v>1871</v>
      </c>
      <c r="G2572" s="28"/>
      <c r="X2572" s="40"/>
      <c r="Y2572" s="40"/>
    </row>
    <row r="2573" spans="5:25" x14ac:dyDescent="0.35">
      <c r="E2573" t="s">
        <v>216</v>
      </c>
      <c r="F2573" t="s">
        <v>1872</v>
      </c>
      <c r="G2573" s="28"/>
      <c r="X2573" s="40"/>
      <c r="Y2573" s="40"/>
    </row>
    <row r="2574" spans="5:25" x14ac:dyDescent="0.35">
      <c r="E2574" t="s">
        <v>216</v>
      </c>
      <c r="F2574" t="s">
        <v>1873</v>
      </c>
      <c r="G2574" s="28"/>
      <c r="X2574" s="40"/>
      <c r="Y2574" s="40"/>
    </row>
    <row r="2575" spans="5:25" x14ac:dyDescent="0.35">
      <c r="E2575" t="s">
        <v>216</v>
      </c>
      <c r="F2575" t="s">
        <v>1609</v>
      </c>
      <c r="G2575" s="28"/>
      <c r="X2575" s="40"/>
      <c r="Y2575" s="40"/>
    </row>
    <row r="2576" spans="5:25" x14ac:dyDescent="0.35">
      <c r="E2576" t="s">
        <v>216</v>
      </c>
      <c r="F2576" t="s">
        <v>379</v>
      </c>
      <c r="G2576" s="28"/>
      <c r="X2576" s="40"/>
      <c r="Y2576" s="40"/>
    </row>
    <row r="2577" spans="5:25" x14ac:dyDescent="0.35">
      <c r="E2577" t="s">
        <v>216</v>
      </c>
      <c r="F2577" t="s">
        <v>380</v>
      </c>
      <c r="G2577" s="28"/>
      <c r="X2577" s="40"/>
      <c r="Y2577" s="40"/>
    </row>
    <row r="2578" spans="5:25" x14ac:dyDescent="0.35">
      <c r="E2578" t="s">
        <v>216</v>
      </c>
      <c r="F2578" t="s">
        <v>1410</v>
      </c>
      <c r="G2578" s="28"/>
      <c r="X2578" s="40"/>
      <c r="Y2578" s="40"/>
    </row>
    <row r="2579" spans="5:25" x14ac:dyDescent="0.35">
      <c r="E2579" t="s">
        <v>216</v>
      </c>
      <c r="F2579" t="s">
        <v>381</v>
      </c>
      <c r="G2579" s="28"/>
      <c r="X2579" s="40"/>
      <c r="Y2579" s="40"/>
    </row>
    <row r="2580" spans="5:25" x14ac:dyDescent="0.35">
      <c r="E2580" t="s">
        <v>216</v>
      </c>
      <c r="F2580" t="s">
        <v>1874</v>
      </c>
      <c r="G2580" s="28"/>
      <c r="X2580" s="40"/>
      <c r="Y2580" s="40"/>
    </row>
    <row r="2581" spans="5:25" x14ac:dyDescent="0.35">
      <c r="E2581" t="s">
        <v>216</v>
      </c>
      <c r="F2581" t="s">
        <v>1875</v>
      </c>
      <c r="G2581" s="28"/>
      <c r="X2581" s="40"/>
      <c r="Y2581" s="40"/>
    </row>
    <row r="2582" spans="5:25" x14ac:dyDescent="0.35">
      <c r="E2582" t="s">
        <v>216</v>
      </c>
      <c r="F2582" t="s">
        <v>382</v>
      </c>
      <c r="G2582" s="28"/>
      <c r="X2582" s="40"/>
      <c r="Y2582" s="40"/>
    </row>
    <row r="2583" spans="5:25" x14ac:dyDescent="0.35">
      <c r="E2583" t="s">
        <v>216</v>
      </c>
      <c r="F2583" t="s">
        <v>1876</v>
      </c>
      <c r="G2583" s="28"/>
      <c r="X2583" s="40"/>
      <c r="Y2583" s="40"/>
    </row>
    <row r="2584" spans="5:25" x14ac:dyDescent="0.35">
      <c r="E2584" t="s">
        <v>216</v>
      </c>
      <c r="F2584" t="s">
        <v>437</v>
      </c>
      <c r="G2584" s="28"/>
      <c r="X2584" s="40"/>
      <c r="Y2584" s="40"/>
    </row>
    <row r="2585" spans="5:25" x14ac:dyDescent="0.35">
      <c r="E2585" t="s">
        <v>216</v>
      </c>
      <c r="F2585" t="s">
        <v>631</v>
      </c>
      <c r="G2585" s="28"/>
      <c r="X2585" s="40"/>
      <c r="Y2585" s="40"/>
    </row>
    <row r="2586" spans="5:25" x14ac:dyDescent="0.35">
      <c r="E2586" t="s">
        <v>216</v>
      </c>
      <c r="F2586" t="s">
        <v>1877</v>
      </c>
      <c r="G2586" s="28"/>
      <c r="X2586" s="40"/>
      <c r="Y2586" s="40"/>
    </row>
    <row r="2587" spans="5:25" x14ac:dyDescent="0.35">
      <c r="E2587" t="s">
        <v>216</v>
      </c>
      <c r="F2587" t="s">
        <v>1878</v>
      </c>
      <c r="G2587" s="28"/>
      <c r="X2587" s="40"/>
      <c r="Y2587" s="40"/>
    </row>
    <row r="2588" spans="5:25" x14ac:dyDescent="0.35">
      <c r="E2588" t="s">
        <v>216</v>
      </c>
      <c r="F2588" t="s">
        <v>1044</v>
      </c>
      <c r="G2588" s="28"/>
      <c r="X2588" s="40"/>
      <c r="Y2588" s="40"/>
    </row>
    <row r="2589" spans="5:25" x14ac:dyDescent="0.35">
      <c r="E2589" t="s">
        <v>216</v>
      </c>
      <c r="F2589" t="s">
        <v>1423</v>
      </c>
      <c r="G2589" s="28"/>
      <c r="X2589" s="40"/>
      <c r="Y2589" s="40"/>
    </row>
    <row r="2590" spans="5:25" x14ac:dyDescent="0.35">
      <c r="E2590" t="s">
        <v>216</v>
      </c>
      <c r="F2590" t="s">
        <v>443</v>
      </c>
      <c r="G2590" s="28"/>
      <c r="X2590" s="40"/>
      <c r="Y2590" s="40"/>
    </row>
    <row r="2591" spans="5:25" x14ac:dyDescent="0.35">
      <c r="E2591" t="s">
        <v>216</v>
      </c>
      <c r="F2591" t="s">
        <v>1879</v>
      </c>
      <c r="G2591" s="28"/>
      <c r="X2591" s="40"/>
      <c r="Y2591" s="40"/>
    </row>
    <row r="2592" spans="5:25" x14ac:dyDescent="0.35">
      <c r="E2592" t="s">
        <v>216</v>
      </c>
      <c r="F2592" t="s">
        <v>446</v>
      </c>
      <c r="G2592" s="28"/>
      <c r="X2592" s="40"/>
      <c r="Y2592" s="40"/>
    </row>
    <row r="2593" spans="5:25" x14ac:dyDescent="0.35">
      <c r="E2593" t="s">
        <v>216</v>
      </c>
      <c r="F2593" t="s">
        <v>388</v>
      </c>
      <c r="G2593" s="28"/>
      <c r="X2593" s="40"/>
      <c r="Y2593" s="40"/>
    </row>
    <row r="2594" spans="5:25" x14ac:dyDescent="0.35">
      <c r="E2594" t="s">
        <v>216</v>
      </c>
      <c r="F2594" t="s">
        <v>985</v>
      </c>
      <c r="G2594" s="28"/>
      <c r="X2594" s="40"/>
      <c r="Y2594" s="40"/>
    </row>
    <row r="2595" spans="5:25" x14ac:dyDescent="0.35">
      <c r="E2595" t="s">
        <v>216</v>
      </c>
      <c r="F2595" t="s">
        <v>728</v>
      </c>
      <c r="G2595" s="28"/>
      <c r="X2595" s="40"/>
      <c r="Y2595" s="40"/>
    </row>
    <row r="2596" spans="5:25" x14ac:dyDescent="0.35">
      <c r="E2596" t="s">
        <v>216</v>
      </c>
      <c r="F2596" t="s">
        <v>920</v>
      </c>
      <c r="G2596" s="28"/>
      <c r="X2596" s="40"/>
      <c r="Y2596" s="40"/>
    </row>
    <row r="2597" spans="5:25" x14ac:dyDescent="0.35">
      <c r="E2597" t="s">
        <v>216</v>
      </c>
      <c r="F2597" t="s">
        <v>989</v>
      </c>
      <c r="G2597" s="28"/>
      <c r="X2597" s="40"/>
      <c r="Y2597" s="40"/>
    </row>
    <row r="2598" spans="5:25" x14ac:dyDescent="0.35">
      <c r="E2598" t="s">
        <v>216</v>
      </c>
      <c r="F2598" t="s">
        <v>923</v>
      </c>
      <c r="G2598" s="28"/>
      <c r="X2598" s="40"/>
      <c r="Y2598" s="40"/>
    </row>
    <row r="2599" spans="5:25" x14ac:dyDescent="0.35">
      <c r="E2599" t="s">
        <v>216</v>
      </c>
      <c r="F2599" t="s">
        <v>1880</v>
      </c>
      <c r="G2599" s="28"/>
      <c r="X2599" s="40"/>
      <c r="Y2599" s="40"/>
    </row>
    <row r="2600" spans="5:25" x14ac:dyDescent="0.35">
      <c r="E2600" t="s">
        <v>216</v>
      </c>
      <c r="F2600" t="s">
        <v>1881</v>
      </c>
      <c r="G2600" s="28"/>
      <c r="X2600" s="40"/>
      <c r="Y2600" s="40"/>
    </row>
    <row r="2601" spans="5:25" x14ac:dyDescent="0.35">
      <c r="E2601" t="s">
        <v>216</v>
      </c>
      <c r="F2601" t="s">
        <v>449</v>
      </c>
      <c r="G2601" s="28"/>
      <c r="X2601" s="40"/>
      <c r="Y2601" s="40"/>
    </row>
    <row r="2602" spans="5:25" x14ac:dyDescent="0.35">
      <c r="E2602" t="s">
        <v>216</v>
      </c>
      <c r="F2602" t="s">
        <v>450</v>
      </c>
      <c r="G2602" s="28"/>
      <c r="X2602" s="40"/>
      <c r="Y2602" s="40"/>
    </row>
    <row r="2603" spans="5:25" x14ac:dyDescent="0.35">
      <c r="E2603" t="s">
        <v>216</v>
      </c>
      <c r="F2603" t="s">
        <v>744</v>
      </c>
      <c r="G2603" s="28"/>
      <c r="X2603" s="40"/>
      <c r="Y2603" s="40"/>
    </row>
    <row r="2604" spans="5:25" x14ac:dyDescent="0.35">
      <c r="E2604" t="s">
        <v>216</v>
      </c>
      <c r="F2604" t="s">
        <v>394</v>
      </c>
      <c r="G2604" s="28"/>
      <c r="X2604" s="40"/>
      <c r="Y2604" s="40"/>
    </row>
    <row r="2605" spans="5:25" x14ac:dyDescent="0.35">
      <c r="E2605" t="s">
        <v>216</v>
      </c>
      <c r="F2605" t="s">
        <v>745</v>
      </c>
      <c r="G2605" s="28"/>
      <c r="X2605" s="40"/>
      <c r="Y2605" s="40"/>
    </row>
    <row r="2606" spans="5:25" x14ac:dyDescent="0.35">
      <c r="E2606" t="s">
        <v>216</v>
      </c>
      <c r="F2606" t="s">
        <v>1882</v>
      </c>
      <c r="G2606" s="28"/>
      <c r="X2606" s="40"/>
      <c r="Y2606" s="40"/>
    </row>
    <row r="2607" spans="5:25" x14ac:dyDescent="0.35">
      <c r="E2607" t="s">
        <v>216</v>
      </c>
      <c r="F2607" t="s">
        <v>451</v>
      </c>
      <c r="G2607" s="28"/>
      <c r="X2607" s="40"/>
      <c r="Y2607" s="40"/>
    </row>
    <row r="2608" spans="5:25" x14ac:dyDescent="0.35">
      <c r="E2608" t="s">
        <v>216</v>
      </c>
      <c r="F2608" t="s">
        <v>889</v>
      </c>
      <c r="G2608" s="28"/>
      <c r="X2608" s="40"/>
      <c r="Y2608" s="40"/>
    </row>
    <row r="2609" spans="5:25" x14ac:dyDescent="0.35">
      <c r="E2609" t="s">
        <v>216</v>
      </c>
      <c r="F2609" t="s">
        <v>994</v>
      </c>
      <c r="G2609" s="28"/>
      <c r="X2609" s="40"/>
      <c r="Y2609" s="40"/>
    </row>
    <row r="2610" spans="5:25" x14ac:dyDescent="0.35">
      <c r="E2610" t="s">
        <v>217</v>
      </c>
      <c r="F2610" t="s">
        <v>930</v>
      </c>
      <c r="G2610" s="28"/>
      <c r="X2610" s="40"/>
      <c r="Y2610" s="40"/>
    </row>
    <row r="2611" spans="5:25" x14ac:dyDescent="0.35">
      <c r="E2611" t="s">
        <v>217</v>
      </c>
      <c r="F2611" t="s">
        <v>1883</v>
      </c>
      <c r="G2611" s="28"/>
      <c r="X2611" s="40"/>
      <c r="Y2611" s="40"/>
    </row>
    <row r="2612" spans="5:25" x14ac:dyDescent="0.35">
      <c r="E2612" t="s">
        <v>217</v>
      </c>
      <c r="F2612" t="s">
        <v>1884</v>
      </c>
      <c r="G2612" s="28"/>
      <c r="X2612" s="40"/>
      <c r="Y2612" s="40"/>
    </row>
    <row r="2613" spans="5:25" x14ac:dyDescent="0.35">
      <c r="E2613" t="s">
        <v>217</v>
      </c>
      <c r="F2613" t="s">
        <v>1885</v>
      </c>
      <c r="G2613" s="28"/>
      <c r="X2613" s="40"/>
      <c r="Y2613" s="40"/>
    </row>
    <row r="2614" spans="5:25" x14ac:dyDescent="0.35">
      <c r="E2614" t="s">
        <v>217</v>
      </c>
      <c r="F2614" t="s">
        <v>1886</v>
      </c>
      <c r="G2614" s="28"/>
      <c r="X2614" s="40"/>
      <c r="Y2614" s="40"/>
    </row>
    <row r="2615" spans="5:25" x14ac:dyDescent="0.35">
      <c r="E2615" t="s">
        <v>217</v>
      </c>
      <c r="F2615" t="s">
        <v>1682</v>
      </c>
      <c r="G2615" s="28"/>
      <c r="X2615" s="40"/>
      <c r="Y2615" s="40"/>
    </row>
    <row r="2616" spans="5:25" x14ac:dyDescent="0.35">
      <c r="E2616" t="s">
        <v>217</v>
      </c>
      <c r="F2616" t="s">
        <v>1887</v>
      </c>
      <c r="G2616" s="28"/>
      <c r="X2616" s="40"/>
      <c r="Y2616" s="40"/>
    </row>
    <row r="2617" spans="5:25" x14ac:dyDescent="0.35">
      <c r="E2617" t="s">
        <v>217</v>
      </c>
      <c r="F2617" t="s">
        <v>1888</v>
      </c>
      <c r="G2617" s="28"/>
      <c r="X2617" s="40"/>
      <c r="Y2617" s="40"/>
    </row>
    <row r="2618" spans="5:25" x14ac:dyDescent="0.35">
      <c r="E2618" t="s">
        <v>217</v>
      </c>
      <c r="F2618" t="s">
        <v>1889</v>
      </c>
      <c r="G2618" s="28"/>
      <c r="X2618" s="40"/>
      <c r="Y2618" s="40"/>
    </row>
    <row r="2619" spans="5:25" x14ac:dyDescent="0.35">
      <c r="E2619" t="s">
        <v>217</v>
      </c>
      <c r="F2619" t="s">
        <v>1890</v>
      </c>
      <c r="G2619" s="28"/>
      <c r="X2619" s="40"/>
      <c r="Y2619" s="40"/>
    </row>
    <row r="2620" spans="5:25" x14ac:dyDescent="0.35">
      <c r="E2620" t="s">
        <v>217</v>
      </c>
      <c r="F2620" t="s">
        <v>1891</v>
      </c>
      <c r="G2620" s="28"/>
      <c r="X2620" s="40"/>
      <c r="Y2620" s="40"/>
    </row>
    <row r="2621" spans="5:25" x14ac:dyDescent="0.35">
      <c r="E2621" t="s">
        <v>217</v>
      </c>
      <c r="F2621" t="s">
        <v>1892</v>
      </c>
      <c r="G2621" s="28"/>
      <c r="X2621" s="40"/>
      <c r="Y2621" s="40"/>
    </row>
    <row r="2622" spans="5:25" x14ac:dyDescent="0.35">
      <c r="E2622" t="s">
        <v>217</v>
      </c>
      <c r="F2622" t="s">
        <v>1893</v>
      </c>
      <c r="G2622" s="28"/>
      <c r="X2622" s="40"/>
      <c r="Y2622" s="40"/>
    </row>
    <row r="2623" spans="5:25" x14ac:dyDescent="0.35">
      <c r="E2623" t="s">
        <v>217</v>
      </c>
      <c r="F2623" t="s">
        <v>1000</v>
      </c>
      <c r="G2623" s="28"/>
      <c r="X2623" s="40"/>
      <c r="Y2623" s="40"/>
    </row>
    <row r="2624" spans="5:25" x14ac:dyDescent="0.35">
      <c r="E2624" t="s">
        <v>217</v>
      </c>
      <c r="F2624" t="s">
        <v>1894</v>
      </c>
      <c r="G2624" s="28"/>
      <c r="X2624" s="40"/>
      <c r="Y2624" s="40"/>
    </row>
    <row r="2625" spans="5:25" x14ac:dyDescent="0.35">
      <c r="E2625" t="s">
        <v>217</v>
      </c>
      <c r="F2625" t="s">
        <v>1895</v>
      </c>
      <c r="G2625" s="28"/>
      <c r="X2625" s="40"/>
      <c r="Y2625" s="40"/>
    </row>
    <row r="2626" spans="5:25" x14ac:dyDescent="0.35">
      <c r="E2626" t="s">
        <v>217</v>
      </c>
      <c r="F2626" t="s">
        <v>1896</v>
      </c>
      <c r="G2626" s="28"/>
      <c r="X2626" s="40"/>
      <c r="Y2626" s="40"/>
    </row>
    <row r="2627" spans="5:25" x14ac:dyDescent="0.35">
      <c r="E2627" t="s">
        <v>217</v>
      </c>
      <c r="F2627" t="s">
        <v>1897</v>
      </c>
      <c r="G2627" s="28"/>
      <c r="X2627" s="40"/>
      <c r="Y2627" s="40"/>
    </row>
    <row r="2628" spans="5:25" x14ac:dyDescent="0.35">
      <c r="E2628" t="s">
        <v>217</v>
      </c>
      <c r="F2628" t="s">
        <v>1898</v>
      </c>
      <c r="G2628" s="28"/>
      <c r="X2628" s="40"/>
      <c r="Y2628" s="40"/>
    </row>
    <row r="2629" spans="5:25" x14ac:dyDescent="0.35">
      <c r="E2629" t="s">
        <v>217</v>
      </c>
      <c r="F2629" t="s">
        <v>1899</v>
      </c>
      <c r="G2629" s="28"/>
      <c r="X2629" s="40"/>
      <c r="Y2629" s="40"/>
    </row>
    <row r="2630" spans="5:25" x14ac:dyDescent="0.35">
      <c r="E2630" t="s">
        <v>217</v>
      </c>
      <c r="F2630" t="s">
        <v>1900</v>
      </c>
      <c r="G2630" s="28"/>
      <c r="X2630" s="40"/>
      <c r="Y2630" s="40"/>
    </row>
    <row r="2631" spans="5:25" x14ac:dyDescent="0.35">
      <c r="E2631" t="s">
        <v>217</v>
      </c>
      <c r="F2631" t="s">
        <v>1901</v>
      </c>
      <c r="G2631" s="28"/>
      <c r="X2631" s="40"/>
      <c r="Y2631" s="40"/>
    </row>
    <row r="2632" spans="5:25" x14ac:dyDescent="0.35">
      <c r="E2632" t="s">
        <v>217</v>
      </c>
      <c r="F2632" t="s">
        <v>1902</v>
      </c>
      <c r="G2632" s="28"/>
      <c r="X2632" s="40"/>
      <c r="Y2632" s="40"/>
    </row>
    <row r="2633" spans="5:25" x14ac:dyDescent="0.35">
      <c r="E2633" t="s">
        <v>217</v>
      </c>
      <c r="F2633" t="s">
        <v>653</v>
      </c>
      <c r="G2633" s="28"/>
      <c r="X2633" s="40"/>
      <c r="Y2633" s="40"/>
    </row>
    <row r="2634" spans="5:25" x14ac:dyDescent="0.35">
      <c r="E2634" t="s">
        <v>217</v>
      </c>
      <c r="F2634" t="s">
        <v>844</v>
      </c>
      <c r="G2634" s="28"/>
      <c r="X2634" s="40"/>
      <c r="Y2634" s="40"/>
    </row>
    <row r="2635" spans="5:25" x14ac:dyDescent="0.35">
      <c r="E2635" t="s">
        <v>217</v>
      </c>
      <c r="F2635" t="s">
        <v>1903</v>
      </c>
      <c r="G2635" s="28"/>
      <c r="X2635" s="40"/>
      <c r="Y2635" s="40"/>
    </row>
    <row r="2636" spans="5:25" x14ac:dyDescent="0.35">
      <c r="E2636" t="s">
        <v>217</v>
      </c>
      <c r="F2636" t="s">
        <v>1904</v>
      </c>
      <c r="G2636" s="28"/>
      <c r="X2636" s="40"/>
      <c r="Y2636" s="40"/>
    </row>
    <row r="2637" spans="5:25" x14ac:dyDescent="0.35">
      <c r="E2637" t="s">
        <v>217</v>
      </c>
      <c r="F2637" t="s">
        <v>1007</v>
      </c>
      <c r="G2637" s="28"/>
      <c r="X2637" s="40"/>
      <c r="Y2637" s="40"/>
    </row>
    <row r="2638" spans="5:25" x14ac:dyDescent="0.35">
      <c r="E2638" t="s">
        <v>217</v>
      </c>
      <c r="F2638" t="s">
        <v>337</v>
      </c>
      <c r="G2638" s="28"/>
      <c r="X2638" s="40"/>
      <c r="Y2638" s="40"/>
    </row>
    <row r="2639" spans="5:25" x14ac:dyDescent="0.35">
      <c r="E2639" t="s">
        <v>217</v>
      </c>
      <c r="F2639" t="s">
        <v>1905</v>
      </c>
      <c r="G2639" s="28"/>
      <c r="X2639" s="40"/>
      <c r="Y2639" s="40"/>
    </row>
    <row r="2640" spans="5:25" x14ac:dyDescent="0.35">
      <c r="E2640" t="s">
        <v>217</v>
      </c>
      <c r="F2640" t="s">
        <v>1061</v>
      </c>
      <c r="G2640" s="28"/>
      <c r="X2640" s="40"/>
      <c r="Y2640" s="40"/>
    </row>
    <row r="2641" spans="5:25" x14ac:dyDescent="0.35">
      <c r="E2641" t="s">
        <v>217</v>
      </c>
      <c r="F2641" t="s">
        <v>1906</v>
      </c>
      <c r="G2641" s="28"/>
      <c r="X2641" s="40"/>
      <c r="Y2641" s="40"/>
    </row>
    <row r="2642" spans="5:25" x14ac:dyDescent="0.35">
      <c r="E2642" t="s">
        <v>217</v>
      </c>
      <c r="F2642" t="s">
        <v>1907</v>
      </c>
      <c r="G2642" s="28"/>
      <c r="X2642" s="40"/>
      <c r="Y2642" s="40"/>
    </row>
    <row r="2643" spans="5:25" x14ac:dyDescent="0.35">
      <c r="E2643" t="s">
        <v>217</v>
      </c>
      <c r="F2643" t="s">
        <v>765</v>
      </c>
      <c r="G2643" s="28"/>
      <c r="X2643" s="40"/>
      <c r="Y2643" s="40"/>
    </row>
    <row r="2644" spans="5:25" x14ac:dyDescent="0.35">
      <c r="E2644" t="s">
        <v>217</v>
      </c>
      <c r="F2644" t="s">
        <v>1908</v>
      </c>
      <c r="G2644" s="28"/>
      <c r="X2644" s="40"/>
      <c r="Y2644" s="40"/>
    </row>
    <row r="2645" spans="5:25" x14ac:dyDescent="0.35">
      <c r="E2645" t="s">
        <v>217</v>
      </c>
      <c r="F2645" t="s">
        <v>338</v>
      </c>
      <c r="G2645" s="28"/>
      <c r="X2645" s="40"/>
      <c r="Y2645" s="40"/>
    </row>
    <row r="2646" spans="5:25" x14ac:dyDescent="0.35">
      <c r="E2646" t="s">
        <v>217</v>
      </c>
      <c r="F2646" t="s">
        <v>339</v>
      </c>
      <c r="G2646" s="28"/>
      <c r="X2646" s="40"/>
      <c r="Y2646" s="40"/>
    </row>
    <row r="2647" spans="5:25" x14ac:dyDescent="0.35">
      <c r="E2647" t="s">
        <v>217</v>
      </c>
      <c r="F2647" t="s">
        <v>1909</v>
      </c>
      <c r="G2647" s="28"/>
      <c r="X2647" s="40"/>
      <c r="Y2647" s="40"/>
    </row>
    <row r="2648" spans="5:25" x14ac:dyDescent="0.35">
      <c r="E2648" t="s">
        <v>217</v>
      </c>
      <c r="F2648" t="s">
        <v>343</v>
      </c>
      <c r="G2648" s="28"/>
      <c r="X2648" s="40"/>
      <c r="Y2648" s="40"/>
    </row>
    <row r="2649" spans="5:25" x14ac:dyDescent="0.35">
      <c r="E2649" t="s">
        <v>217</v>
      </c>
      <c r="F2649" t="s">
        <v>1910</v>
      </c>
      <c r="G2649" s="28"/>
      <c r="X2649" s="40"/>
      <c r="Y2649" s="40"/>
    </row>
    <row r="2650" spans="5:25" x14ac:dyDescent="0.35">
      <c r="E2650" t="s">
        <v>217</v>
      </c>
      <c r="F2650" t="s">
        <v>1911</v>
      </c>
      <c r="G2650" s="28"/>
      <c r="X2650" s="40"/>
      <c r="Y2650" s="40"/>
    </row>
    <row r="2651" spans="5:25" x14ac:dyDescent="0.35">
      <c r="E2651" t="s">
        <v>217</v>
      </c>
      <c r="F2651" t="s">
        <v>1912</v>
      </c>
      <c r="G2651" s="28"/>
      <c r="X2651" s="40"/>
      <c r="Y2651" s="40"/>
    </row>
    <row r="2652" spans="5:25" x14ac:dyDescent="0.35">
      <c r="E2652" t="s">
        <v>217</v>
      </c>
      <c r="F2652" t="s">
        <v>1913</v>
      </c>
      <c r="G2652" s="28"/>
      <c r="X2652" s="40"/>
      <c r="Y2652" s="40"/>
    </row>
    <row r="2653" spans="5:25" x14ac:dyDescent="0.35">
      <c r="E2653" t="s">
        <v>217</v>
      </c>
      <c r="F2653" t="s">
        <v>1914</v>
      </c>
      <c r="G2653" s="28"/>
      <c r="X2653" s="40"/>
      <c r="Y2653" s="40"/>
    </row>
    <row r="2654" spans="5:25" x14ac:dyDescent="0.35">
      <c r="E2654" t="s">
        <v>217</v>
      </c>
      <c r="F2654" t="s">
        <v>1915</v>
      </c>
      <c r="G2654" s="28"/>
      <c r="X2654" s="40"/>
      <c r="Y2654" s="40"/>
    </row>
    <row r="2655" spans="5:25" x14ac:dyDescent="0.35">
      <c r="E2655" t="s">
        <v>217</v>
      </c>
      <c r="F2655" t="s">
        <v>1916</v>
      </c>
      <c r="G2655" s="28"/>
      <c r="X2655" s="40"/>
      <c r="Y2655" s="40"/>
    </row>
    <row r="2656" spans="5:25" x14ac:dyDescent="0.35">
      <c r="E2656" t="s">
        <v>217</v>
      </c>
      <c r="F2656" t="s">
        <v>939</v>
      </c>
      <c r="G2656" s="28"/>
      <c r="X2656" s="40"/>
      <c r="Y2656" s="40"/>
    </row>
    <row r="2657" spans="5:25" x14ac:dyDescent="0.35">
      <c r="E2657" t="s">
        <v>217</v>
      </c>
      <c r="F2657" t="s">
        <v>1917</v>
      </c>
      <c r="G2657" s="28"/>
      <c r="X2657" s="40"/>
      <c r="Y2657" s="40"/>
    </row>
    <row r="2658" spans="5:25" x14ac:dyDescent="0.35">
      <c r="E2658" t="s">
        <v>217</v>
      </c>
      <c r="F2658" t="s">
        <v>1918</v>
      </c>
      <c r="G2658" s="28"/>
      <c r="X2658" s="40"/>
      <c r="Y2658" s="40"/>
    </row>
    <row r="2659" spans="5:25" x14ac:dyDescent="0.35">
      <c r="E2659" t="s">
        <v>217</v>
      </c>
      <c r="F2659" t="s">
        <v>1919</v>
      </c>
      <c r="G2659" s="28"/>
      <c r="X2659" s="40"/>
      <c r="Y2659" s="40"/>
    </row>
    <row r="2660" spans="5:25" x14ac:dyDescent="0.35">
      <c r="E2660" t="s">
        <v>217</v>
      </c>
      <c r="F2660" t="s">
        <v>1920</v>
      </c>
      <c r="G2660" s="28"/>
      <c r="X2660" s="40"/>
      <c r="Y2660" s="40"/>
    </row>
    <row r="2661" spans="5:25" x14ac:dyDescent="0.35">
      <c r="E2661" t="s">
        <v>217</v>
      </c>
      <c r="F2661" t="s">
        <v>1921</v>
      </c>
      <c r="G2661" s="28"/>
      <c r="X2661" s="40"/>
      <c r="Y2661" s="40"/>
    </row>
    <row r="2662" spans="5:25" x14ac:dyDescent="0.35">
      <c r="E2662" t="s">
        <v>217</v>
      </c>
      <c r="F2662" t="s">
        <v>1861</v>
      </c>
      <c r="G2662" s="28"/>
      <c r="X2662" s="40"/>
      <c r="Y2662" s="40"/>
    </row>
    <row r="2663" spans="5:25" x14ac:dyDescent="0.35">
      <c r="E2663" t="s">
        <v>217</v>
      </c>
      <c r="F2663" t="s">
        <v>1922</v>
      </c>
      <c r="G2663" s="28"/>
      <c r="X2663" s="40"/>
      <c r="Y2663" s="40"/>
    </row>
    <row r="2664" spans="5:25" x14ac:dyDescent="0.35">
      <c r="E2664" t="s">
        <v>217</v>
      </c>
      <c r="F2664" t="s">
        <v>1923</v>
      </c>
      <c r="G2664" s="28"/>
      <c r="X2664" s="40"/>
      <c r="Y2664" s="40"/>
    </row>
    <row r="2665" spans="5:25" x14ac:dyDescent="0.35">
      <c r="E2665" t="s">
        <v>217</v>
      </c>
      <c r="F2665" t="s">
        <v>1924</v>
      </c>
      <c r="G2665" s="28"/>
      <c r="X2665" s="40"/>
      <c r="Y2665" s="40"/>
    </row>
    <row r="2666" spans="5:25" x14ac:dyDescent="0.35">
      <c r="E2666" t="s">
        <v>217</v>
      </c>
      <c r="F2666" t="s">
        <v>353</v>
      </c>
      <c r="G2666" s="28"/>
      <c r="X2666" s="40"/>
      <c r="Y2666" s="40"/>
    </row>
    <row r="2667" spans="5:25" x14ac:dyDescent="0.35">
      <c r="E2667" t="s">
        <v>217</v>
      </c>
      <c r="F2667" t="s">
        <v>673</v>
      </c>
      <c r="G2667" s="28"/>
      <c r="X2667" s="40"/>
      <c r="Y2667" s="40"/>
    </row>
    <row r="2668" spans="5:25" x14ac:dyDescent="0.35">
      <c r="E2668" t="s">
        <v>217</v>
      </c>
      <c r="F2668" t="s">
        <v>1925</v>
      </c>
      <c r="G2668" s="28"/>
      <c r="X2668" s="40"/>
      <c r="Y2668" s="40"/>
    </row>
    <row r="2669" spans="5:25" x14ac:dyDescent="0.35">
      <c r="E2669" t="s">
        <v>217</v>
      </c>
      <c r="F2669" t="s">
        <v>1926</v>
      </c>
      <c r="G2669" s="28"/>
      <c r="X2669" s="40"/>
      <c r="Y2669" s="40"/>
    </row>
    <row r="2670" spans="5:25" x14ac:dyDescent="0.35">
      <c r="E2670" t="s">
        <v>217</v>
      </c>
      <c r="F2670" t="s">
        <v>541</v>
      </c>
      <c r="G2670" s="28"/>
      <c r="X2670" s="40"/>
      <c r="Y2670" s="40"/>
    </row>
    <row r="2671" spans="5:25" x14ac:dyDescent="0.35">
      <c r="E2671" t="s">
        <v>217</v>
      </c>
      <c r="F2671" t="s">
        <v>1927</v>
      </c>
      <c r="G2671" s="28"/>
      <c r="X2671" s="40"/>
      <c r="Y2671" s="40"/>
    </row>
    <row r="2672" spans="5:25" x14ac:dyDescent="0.35">
      <c r="E2672" t="s">
        <v>217</v>
      </c>
      <c r="F2672" t="s">
        <v>1928</v>
      </c>
      <c r="G2672" s="28"/>
      <c r="X2672" s="40"/>
      <c r="Y2672" s="40"/>
    </row>
    <row r="2673" spans="5:25" x14ac:dyDescent="0.35">
      <c r="E2673" t="s">
        <v>217</v>
      </c>
      <c r="F2673" t="s">
        <v>1929</v>
      </c>
      <c r="G2673" s="28"/>
      <c r="X2673" s="40"/>
      <c r="Y2673" s="40"/>
    </row>
    <row r="2674" spans="5:25" x14ac:dyDescent="0.35">
      <c r="E2674" t="s">
        <v>217</v>
      </c>
      <c r="F2674" t="s">
        <v>1930</v>
      </c>
      <c r="G2674" s="28"/>
      <c r="X2674" s="40"/>
      <c r="Y2674" s="40"/>
    </row>
    <row r="2675" spans="5:25" x14ac:dyDescent="0.35">
      <c r="E2675" t="s">
        <v>217</v>
      </c>
      <c r="F2675" t="s">
        <v>604</v>
      </c>
      <c r="G2675" s="28"/>
      <c r="X2675" s="40"/>
      <c r="Y2675" s="40"/>
    </row>
    <row r="2676" spans="5:25" x14ac:dyDescent="0.35">
      <c r="E2676" t="s">
        <v>217</v>
      </c>
      <c r="F2676" t="s">
        <v>1931</v>
      </c>
      <c r="G2676" s="28"/>
      <c r="X2676" s="40"/>
      <c r="Y2676" s="40"/>
    </row>
    <row r="2677" spans="5:25" x14ac:dyDescent="0.35">
      <c r="E2677" t="s">
        <v>217</v>
      </c>
      <c r="F2677" t="s">
        <v>1932</v>
      </c>
      <c r="G2677" s="28"/>
      <c r="X2677" s="40"/>
      <c r="Y2677" s="40"/>
    </row>
    <row r="2678" spans="5:25" x14ac:dyDescent="0.35">
      <c r="E2678" t="s">
        <v>217</v>
      </c>
      <c r="F2678" t="s">
        <v>853</v>
      </c>
      <c r="G2678" s="28"/>
      <c r="X2678" s="40"/>
      <c r="Y2678" s="40"/>
    </row>
    <row r="2679" spans="5:25" x14ac:dyDescent="0.35">
      <c r="E2679" t="s">
        <v>217</v>
      </c>
      <c r="F2679" t="s">
        <v>546</v>
      </c>
      <c r="G2679" s="28"/>
      <c r="X2679" s="40"/>
      <c r="Y2679" s="40"/>
    </row>
    <row r="2680" spans="5:25" x14ac:dyDescent="0.35">
      <c r="E2680" t="s">
        <v>217</v>
      </c>
      <c r="F2680" t="s">
        <v>943</v>
      </c>
      <c r="G2680" s="28"/>
      <c r="X2680" s="40"/>
      <c r="Y2680" s="40"/>
    </row>
    <row r="2681" spans="5:25" x14ac:dyDescent="0.35">
      <c r="E2681" t="s">
        <v>217</v>
      </c>
      <c r="F2681" t="s">
        <v>1933</v>
      </c>
      <c r="G2681" s="28"/>
      <c r="X2681" s="40"/>
      <c r="Y2681" s="40"/>
    </row>
    <row r="2682" spans="5:25" x14ac:dyDescent="0.35">
      <c r="E2682" t="s">
        <v>217</v>
      </c>
      <c r="F2682" t="s">
        <v>1934</v>
      </c>
      <c r="G2682" s="28"/>
      <c r="X2682" s="40"/>
      <c r="Y2682" s="40"/>
    </row>
    <row r="2683" spans="5:25" x14ac:dyDescent="0.35">
      <c r="E2683" t="s">
        <v>217</v>
      </c>
      <c r="F2683" t="s">
        <v>684</v>
      </c>
      <c r="G2683" s="28"/>
      <c r="X2683" s="40"/>
      <c r="Y2683" s="40"/>
    </row>
    <row r="2684" spans="5:25" x14ac:dyDescent="0.35">
      <c r="E2684" t="s">
        <v>217</v>
      </c>
      <c r="F2684" t="s">
        <v>358</v>
      </c>
      <c r="G2684" s="28"/>
      <c r="X2684" s="40"/>
      <c r="Y2684" s="40"/>
    </row>
    <row r="2685" spans="5:25" x14ac:dyDescent="0.35">
      <c r="E2685" t="s">
        <v>217</v>
      </c>
      <c r="F2685" t="s">
        <v>1935</v>
      </c>
      <c r="G2685" s="28"/>
      <c r="X2685" s="40"/>
      <c r="Y2685" s="40"/>
    </row>
    <row r="2686" spans="5:25" x14ac:dyDescent="0.35">
      <c r="E2686" t="s">
        <v>217</v>
      </c>
      <c r="F2686" t="s">
        <v>685</v>
      </c>
      <c r="G2686" s="28"/>
      <c r="X2686" s="40"/>
      <c r="Y2686" s="40"/>
    </row>
    <row r="2687" spans="5:25" x14ac:dyDescent="0.35">
      <c r="E2687" t="s">
        <v>217</v>
      </c>
      <c r="F2687" t="s">
        <v>1936</v>
      </c>
      <c r="G2687" s="28"/>
      <c r="X2687" s="40"/>
      <c r="Y2687" s="40"/>
    </row>
    <row r="2688" spans="5:25" x14ac:dyDescent="0.35">
      <c r="E2688" t="s">
        <v>217</v>
      </c>
      <c r="F2688" t="s">
        <v>1937</v>
      </c>
      <c r="G2688" s="28"/>
      <c r="X2688" s="40"/>
      <c r="Y2688" s="40"/>
    </row>
    <row r="2689" spans="5:25" x14ac:dyDescent="0.35">
      <c r="E2689" t="s">
        <v>217</v>
      </c>
      <c r="F2689" t="s">
        <v>359</v>
      </c>
      <c r="G2689" s="28"/>
      <c r="X2689" s="40"/>
      <c r="Y2689" s="40"/>
    </row>
    <row r="2690" spans="5:25" x14ac:dyDescent="0.35">
      <c r="E2690" t="s">
        <v>217</v>
      </c>
      <c r="F2690" t="s">
        <v>1938</v>
      </c>
      <c r="G2690" s="28"/>
      <c r="X2690" s="40"/>
      <c r="Y2690" s="40"/>
    </row>
    <row r="2691" spans="5:25" x14ac:dyDescent="0.35">
      <c r="E2691" t="s">
        <v>217</v>
      </c>
      <c r="F2691" t="s">
        <v>1939</v>
      </c>
      <c r="G2691" s="28"/>
      <c r="X2691" s="40"/>
      <c r="Y2691" s="40"/>
    </row>
    <row r="2692" spans="5:25" x14ac:dyDescent="0.35">
      <c r="E2692" t="s">
        <v>217</v>
      </c>
      <c r="F2692" t="s">
        <v>1940</v>
      </c>
      <c r="G2692" s="28"/>
      <c r="X2692" s="40"/>
      <c r="Y2692" s="40"/>
    </row>
    <row r="2693" spans="5:25" x14ac:dyDescent="0.35">
      <c r="E2693" t="s">
        <v>217</v>
      </c>
      <c r="F2693" t="s">
        <v>1941</v>
      </c>
      <c r="G2693" s="28"/>
      <c r="X2693" s="40"/>
      <c r="Y2693" s="40"/>
    </row>
    <row r="2694" spans="5:25" x14ac:dyDescent="0.35">
      <c r="E2694" t="s">
        <v>217</v>
      </c>
      <c r="F2694" t="s">
        <v>1942</v>
      </c>
      <c r="G2694" s="28"/>
      <c r="X2694" s="40"/>
      <c r="Y2694" s="40"/>
    </row>
    <row r="2695" spans="5:25" x14ac:dyDescent="0.35">
      <c r="E2695" t="s">
        <v>217</v>
      </c>
      <c r="F2695" t="s">
        <v>1943</v>
      </c>
      <c r="G2695" s="28"/>
      <c r="X2695" s="40"/>
      <c r="Y2695" s="40"/>
    </row>
    <row r="2696" spans="5:25" x14ac:dyDescent="0.35">
      <c r="E2696" t="s">
        <v>217</v>
      </c>
      <c r="F2696" t="s">
        <v>1944</v>
      </c>
      <c r="G2696" s="28"/>
      <c r="X2696" s="40"/>
      <c r="Y2696" s="40"/>
    </row>
    <row r="2697" spans="5:25" x14ac:dyDescent="0.35">
      <c r="E2697" t="s">
        <v>217</v>
      </c>
      <c r="F2697" t="s">
        <v>1945</v>
      </c>
      <c r="G2697" s="28"/>
      <c r="X2697" s="40"/>
      <c r="Y2697" s="40"/>
    </row>
    <row r="2698" spans="5:25" x14ac:dyDescent="0.35">
      <c r="E2698" t="s">
        <v>217</v>
      </c>
      <c r="F2698" t="s">
        <v>1946</v>
      </c>
      <c r="G2698" s="28"/>
      <c r="X2698" s="40"/>
      <c r="Y2698" s="40"/>
    </row>
    <row r="2699" spans="5:25" x14ac:dyDescent="0.35">
      <c r="E2699" t="s">
        <v>217</v>
      </c>
      <c r="F2699" t="s">
        <v>948</v>
      </c>
      <c r="G2699" s="28"/>
      <c r="X2699" s="40"/>
      <c r="Y2699" s="40"/>
    </row>
    <row r="2700" spans="5:25" x14ac:dyDescent="0.35">
      <c r="E2700" t="s">
        <v>217</v>
      </c>
      <c r="F2700" t="s">
        <v>1019</v>
      </c>
      <c r="G2700" s="28"/>
      <c r="X2700" s="40"/>
      <c r="Y2700" s="40"/>
    </row>
    <row r="2701" spans="5:25" x14ac:dyDescent="0.35">
      <c r="E2701" t="s">
        <v>217</v>
      </c>
      <c r="F2701" t="s">
        <v>1947</v>
      </c>
      <c r="G2701" s="28"/>
      <c r="X2701" s="40"/>
      <c r="Y2701" s="40"/>
    </row>
    <row r="2702" spans="5:25" x14ac:dyDescent="0.35">
      <c r="E2702" t="s">
        <v>217</v>
      </c>
      <c r="F2702" t="s">
        <v>1948</v>
      </c>
      <c r="G2702" s="28"/>
      <c r="X2702" s="40"/>
      <c r="Y2702" s="40"/>
    </row>
    <row r="2703" spans="5:25" x14ac:dyDescent="0.35">
      <c r="E2703" t="s">
        <v>217</v>
      </c>
      <c r="F2703" t="s">
        <v>1532</v>
      </c>
      <c r="G2703" s="28"/>
      <c r="X2703" s="40"/>
      <c r="Y2703" s="40"/>
    </row>
    <row r="2704" spans="5:25" x14ac:dyDescent="0.35">
      <c r="E2704" t="s">
        <v>217</v>
      </c>
      <c r="F2704" t="s">
        <v>362</v>
      </c>
      <c r="G2704" s="28"/>
      <c r="X2704" s="40"/>
      <c r="Y2704" s="40"/>
    </row>
    <row r="2705" spans="5:25" x14ac:dyDescent="0.35">
      <c r="E2705" t="s">
        <v>217</v>
      </c>
      <c r="F2705" t="s">
        <v>694</v>
      </c>
      <c r="G2705" s="28"/>
      <c r="X2705" s="40"/>
      <c r="Y2705" s="40"/>
    </row>
    <row r="2706" spans="5:25" x14ac:dyDescent="0.35">
      <c r="E2706" t="s">
        <v>217</v>
      </c>
      <c r="F2706" t="s">
        <v>610</v>
      </c>
      <c r="G2706" s="28"/>
      <c r="X2706" s="40"/>
      <c r="Y2706" s="40"/>
    </row>
    <row r="2707" spans="5:25" x14ac:dyDescent="0.35">
      <c r="E2707" t="s">
        <v>217</v>
      </c>
      <c r="F2707" t="s">
        <v>1949</v>
      </c>
      <c r="G2707" s="28"/>
      <c r="X2707" s="40"/>
      <c r="Y2707" s="40"/>
    </row>
    <row r="2708" spans="5:25" x14ac:dyDescent="0.35">
      <c r="E2708" t="s">
        <v>217</v>
      </c>
      <c r="F2708" t="s">
        <v>1868</v>
      </c>
      <c r="G2708" s="28"/>
      <c r="X2708" s="40"/>
      <c r="Y2708" s="40"/>
    </row>
    <row r="2709" spans="5:25" x14ac:dyDescent="0.35">
      <c r="E2709" t="s">
        <v>217</v>
      </c>
      <c r="F2709" t="s">
        <v>778</v>
      </c>
      <c r="G2709" s="28"/>
      <c r="X2709" s="40"/>
      <c r="Y2709" s="40"/>
    </row>
    <row r="2710" spans="5:25" x14ac:dyDescent="0.35">
      <c r="E2710" t="s">
        <v>217</v>
      </c>
      <c r="F2710" t="s">
        <v>697</v>
      </c>
      <c r="G2710" s="28"/>
      <c r="X2710" s="40"/>
      <c r="Y2710" s="40"/>
    </row>
    <row r="2711" spans="5:25" x14ac:dyDescent="0.35">
      <c r="E2711" t="s">
        <v>217</v>
      </c>
      <c r="F2711" t="s">
        <v>779</v>
      </c>
      <c r="G2711" s="28"/>
      <c r="X2711" s="40"/>
      <c r="Y2711" s="40"/>
    </row>
    <row r="2712" spans="5:25" x14ac:dyDescent="0.35">
      <c r="E2712" t="s">
        <v>217</v>
      </c>
      <c r="F2712" t="s">
        <v>1950</v>
      </c>
      <c r="G2712" s="28"/>
      <c r="X2712" s="40"/>
      <c r="Y2712" s="40"/>
    </row>
    <row r="2713" spans="5:25" x14ac:dyDescent="0.35">
      <c r="E2713" t="s">
        <v>217</v>
      </c>
      <c r="F2713" t="s">
        <v>953</v>
      </c>
      <c r="G2713" s="28"/>
      <c r="X2713" s="40"/>
      <c r="Y2713" s="40"/>
    </row>
    <row r="2714" spans="5:25" x14ac:dyDescent="0.35">
      <c r="E2714" t="s">
        <v>217</v>
      </c>
      <c r="F2714" t="s">
        <v>1951</v>
      </c>
      <c r="G2714" s="28"/>
      <c r="X2714" s="40"/>
      <c r="Y2714" s="40"/>
    </row>
    <row r="2715" spans="5:25" x14ac:dyDescent="0.35">
      <c r="E2715" t="s">
        <v>217</v>
      </c>
      <c r="F2715" t="s">
        <v>1952</v>
      </c>
      <c r="G2715" s="28"/>
      <c r="X2715" s="40"/>
      <c r="Y2715" s="40"/>
    </row>
    <row r="2716" spans="5:25" x14ac:dyDescent="0.35">
      <c r="E2716" t="s">
        <v>217</v>
      </c>
      <c r="F2716" t="s">
        <v>856</v>
      </c>
      <c r="G2716" s="28"/>
      <c r="X2716" s="40"/>
      <c r="Y2716" s="40"/>
    </row>
    <row r="2717" spans="5:25" x14ac:dyDescent="0.35">
      <c r="E2717" t="s">
        <v>217</v>
      </c>
      <c r="F2717" t="s">
        <v>1534</v>
      </c>
      <c r="G2717" s="28"/>
      <c r="X2717" s="40"/>
      <c r="Y2717" s="40"/>
    </row>
    <row r="2718" spans="5:25" x14ac:dyDescent="0.35">
      <c r="E2718" t="s">
        <v>217</v>
      </c>
      <c r="F2718" t="s">
        <v>1349</v>
      </c>
      <c r="G2718" s="28"/>
      <c r="X2718" s="40"/>
      <c r="Y2718" s="40"/>
    </row>
    <row r="2719" spans="5:25" x14ac:dyDescent="0.35">
      <c r="E2719" t="s">
        <v>217</v>
      </c>
      <c r="F2719" t="s">
        <v>1953</v>
      </c>
      <c r="G2719" s="28"/>
      <c r="X2719" s="40"/>
      <c r="Y2719" s="40"/>
    </row>
    <row r="2720" spans="5:25" x14ac:dyDescent="0.35">
      <c r="E2720" t="s">
        <v>217</v>
      </c>
      <c r="F2720" t="s">
        <v>1954</v>
      </c>
      <c r="G2720" s="28"/>
      <c r="X2720" s="40"/>
      <c r="Y2720" s="40"/>
    </row>
    <row r="2721" spans="5:25" x14ac:dyDescent="0.35">
      <c r="E2721" t="s">
        <v>217</v>
      </c>
      <c r="F2721" t="s">
        <v>1024</v>
      </c>
      <c r="G2721" s="28"/>
      <c r="X2721" s="40"/>
      <c r="Y2721" s="40"/>
    </row>
    <row r="2722" spans="5:25" x14ac:dyDescent="0.35">
      <c r="E2722" t="s">
        <v>217</v>
      </c>
      <c r="F2722" t="s">
        <v>364</v>
      </c>
      <c r="G2722" s="28"/>
      <c r="X2722" s="40"/>
      <c r="Y2722" s="40"/>
    </row>
    <row r="2723" spans="5:25" x14ac:dyDescent="0.35">
      <c r="E2723" t="s">
        <v>217</v>
      </c>
      <c r="F2723" t="s">
        <v>421</v>
      </c>
      <c r="G2723" s="28"/>
      <c r="X2723" s="40"/>
      <c r="Y2723" s="40"/>
    </row>
    <row r="2724" spans="5:25" x14ac:dyDescent="0.35">
      <c r="E2724" t="s">
        <v>217</v>
      </c>
      <c r="F2724" t="s">
        <v>1955</v>
      </c>
      <c r="G2724" s="28"/>
      <c r="X2724" s="40"/>
      <c r="Y2724" s="40"/>
    </row>
    <row r="2725" spans="5:25" x14ac:dyDescent="0.35">
      <c r="E2725" t="s">
        <v>217</v>
      </c>
      <c r="F2725" t="s">
        <v>1956</v>
      </c>
      <c r="G2725" s="28"/>
      <c r="X2725" s="40"/>
      <c r="Y2725" s="40"/>
    </row>
    <row r="2726" spans="5:25" x14ac:dyDescent="0.35">
      <c r="E2726" t="s">
        <v>217</v>
      </c>
      <c r="F2726" t="s">
        <v>1838</v>
      </c>
      <c r="G2726" s="28"/>
      <c r="X2726" s="40"/>
      <c r="Y2726" s="40"/>
    </row>
    <row r="2727" spans="5:25" x14ac:dyDescent="0.35">
      <c r="E2727" t="s">
        <v>217</v>
      </c>
      <c r="F2727" t="s">
        <v>1957</v>
      </c>
      <c r="G2727" s="28"/>
      <c r="X2727" s="40"/>
      <c r="Y2727" s="40"/>
    </row>
    <row r="2728" spans="5:25" x14ac:dyDescent="0.35">
      <c r="E2728" t="s">
        <v>217</v>
      </c>
      <c r="F2728" t="s">
        <v>1958</v>
      </c>
      <c r="G2728" s="28"/>
      <c r="X2728" s="40"/>
      <c r="Y2728" s="40"/>
    </row>
    <row r="2729" spans="5:25" x14ac:dyDescent="0.35">
      <c r="E2729" t="s">
        <v>217</v>
      </c>
      <c r="F2729" t="s">
        <v>365</v>
      </c>
      <c r="G2729" s="28"/>
      <c r="X2729" s="40"/>
      <c r="Y2729" s="40"/>
    </row>
    <row r="2730" spans="5:25" x14ac:dyDescent="0.35">
      <c r="E2730" t="s">
        <v>217</v>
      </c>
      <c r="F2730" t="s">
        <v>701</v>
      </c>
      <c r="G2730" s="28"/>
      <c r="X2730" s="40"/>
      <c r="Y2730" s="40"/>
    </row>
    <row r="2731" spans="5:25" x14ac:dyDescent="0.35">
      <c r="E2731" t="s">
        <v>217</v>
      </c>
      <c r="F2731" t="s">
        <v>702</v>
      </c>
      <c r="G2731" s="28"/>
      <c r="X2731" s="40"/>
      <c r="Y2731" s="40"/>
    </row>
    <row r="2732" spans="5:25" x14ac:dyDescent="0.35">
      <c r="E2732" t="s">
        <v>217</v>
      </c>
      <c r="F2732" t="s">
        <v>366</v>
      </c>
      <c r="G2732" s="28"/>
      <c r="X2732" s="40"/>
      <c r="Y2732" s="40"/>
    </row>
    <row r="2733" spans="5:25" x14ac:dyDescent="0.35">
      <c r="E2733" t="s">
        <v>217</v>
      </c>
      <c r="F2733" t="s">
        <v>1959</v>
      </c>
      <c r="G2733" s="28"/>
      <c r="X2733" s="40"/>
      <c r="Y2733" s="40"/>
    </row>
    <row r="2734" spans="5:25" x14ac:dyDescent="0.35">
      <c r="E2734" t="s">
        <v>217</v>
      </c>
      <c r="F2734" t="s">
        <v>1960</v>
      </c>
      <c r="G2734" s="28"/>
      <c r="X2734" s="40"/>
      <c r="Y2734" s="40"/>
    </row>
    <row r="2735" spans="5:25" x14ac:dyDescent="0.35">
      <c r="E2735" t="s">
        <v>217</v>
      </c>
      <c r="F2735" t="s">
        <v>424</v>
      </c>
      <c r="G2735" s="28"/>
      <c r="X2735" s="40"/>
      <c r="Y2735" s="40"/>
    </row>
    <row r="2736" spans="5:25" x14ac:dyDescent="0.35">
      <c r="E2736" t="s">
        <v>217</v>
      </c>
      <c r="F2736" t="s">
        <v>704</v>
      </c>
      <c r="G2736" s="28"/>
      <c r="X2736" s="40"/>
      <c r="Y2736" s="40"/>
    </row>
    <row r="2737" spans="5:25" x14ac:dyDescent="0.35">
      <c r="E2737" t="s">
        <v>217</v>
      </c>
      <c r="F2737" t="s">
        <v>1961</v>
      </c>
      <c r="G2737" s="28"/>
      <c r="X2737" s="40"/>
      <c r="Y2737" s="40"/>
    </row>
    <row r="2738" spans="5:25" x14ac:dyDescent="0.35">
      <c r="E2738" t="s">
        <v>217</v>
      </c>
      <c r="F2738" t="s">
        <v>1962</v>
      </c>
      <c r="G2738" s="28"/>
      <c r="X2738" s="40"/>
      <c r="Y2738" s="40"/>
    </row>
    <row r="2739" spans="5:25" x14ac:dyDescent="0.35">
      <c r="E2739" t="s">
        <v>217</v>
      </c>
      <c r="F2739" t="s">
        <v>862</v>
      </c>
      <c r="G2739" s="28"/>
      <c r="X2739" s="40"/>
      <c r="Y2739" s="40"/>
    </row>
    <row r="2740" spans="5:25" x14ac:dyDescent="0.35">
      <c r="E2740" t="s">
        <v>217</v>
      </c>
      <c r="F2740" t="s">
        <v>1963</v>
      </c>
      <c r="G2740" s="28"/>
      <c r="X2740" s="40"/>
      <c r="Y2740" s="40"/>
    </row>
    <row r="2741" spans="5:25" x14ac:dyDescent="0.35">
      <c r="E2741" t="s">
        <v>217</v>
      </c>
      <c r="F2741" t="s">
        <v>590</v>
      </c>
      <c r="G2741" s="28"/>
      <c r="X2741" s="40"/>
      <c r="Y2741" s="40"/>
    </row>
    <row r="2742" spans="5:25" x14ac:dyDescent="0.35">
      <c r="E2742" t="s">
        <v>217</v>
      </c>
      <c r="F2742" t="s">
        <v>1964</v>
      </c>
      <c r="G2742" s="28"/>
      <c r="X2742" s="40"/>
      <c r="Y2742" s="40"/>
    </row>
    <row r="2743" spans="5:25" x14ac:dyDescent="0.35">
      <c r="E2743" t="s">
        <v>217</v>
      </c>
      <c r="F2743" t="s">
        <v>1965</v>
      </c>
      <c r="G2743" s="28"/>
      <c r="X2743" s="40"/>
      <c r="Y2743" s="40"/>
    </row>
    <row r="2744" spans="5:25" x14ac:dyDescent="0.35">
      <c r="E2744" t="s">
        <v>217</v>
      </c>
      <c r="F2744" t="s">
        <v>1966</v>
      </c>
      <c r="G2744" s="28"/>
      <c r="X2744" s="40"/>
      <c r="Y2744" s="40"/>
    </row>
    <row r="2745" spans="5:25" x14ac:dyDescent="0.35">
      <c r="E2745" t="s">
        <v>217</v>
      </c>
      <c r="F2745" t="s">
        <v>1967</v>
      </c>
      <c r="G2745" s="28"/>
      <c r="X2745" s="40"/>
      <c r="Y2745" s="40"/>
    </row>
    <row r="2746" spans="5:25" x14ac:dyDescent="0.35">
      <c r="E2746" t="s">
        <v>217</v>
      </c>
      <c r="F2746" t="s">
        <v>1968</v>
      </c>
      <c r="G2746" s="28"/>
      <c r="X2746" s="40"/>
      <c r="Y2746" s="40"/>
    </row>
    <row r="2747" spans="5:25" x14ac:dyDescent="0.35">
      <c r="E2747" t="s">
        <v>217</v>
      </c>
      <c r="F2747" t="s">
        <v>863</v>
      </c>
      <c r="G2747" s="28"/>
      <c r="X2747" s="40"/>
      <c r="Y2747" s="40"/>
    </row>
    <row r="2748" spans="5:25" x14ac:dyDescent="0.35">
      <c r="E2748" t="s">
        <v>217</v>
      </c>
      <c r="F2748" t="s">
        <v>864</v>
      </c>
      <c r="G2748" s="28"/>
      <c r="X2748" s="40"/>
      <c r="Y2748" s="40"/>
    </row>
    <row r="2749" spans="5:25" x14ac:dyDescent="0.35">
      <c r="E2749" t="s">
        <v>217</v>
      </c>
      <c r="F2749" t="s">
        <v>367</v>
      </c>
      <c r="G2749" s="28"/>
      <c r="X2749" s="40"/>
      <c r="Y2749" s="40"/>
    </row>
    <row r="2750" spans="5:25" x14ac:dyDescent="0.35">
      <c r="E2750" t="s">
        <v>217</v>
      </c>
      <c r="F2750" t="s">
        <v>1969</v>
      </c>
      <c r="G2750" s="28"/>
      <c r="X2750" s="40"/>
      <c r="Y2750" s="40"/>
    </row>
    <row r="2751" spans="5:25" x14ac:dyDescent="0.35">
      <c r="E2751" t="s">
        <v>217</v>
      </c>
      <c r="F2751" t="s">
        <v>1970</v>
      </c>
      <c r="G2751" s="28"/>
      <c r="X2751" s="40"/>
      <c r="Y2751" s="40"/>
    </row>
    <row r="2752" spans="5:25" x14ac:dyDescent="0.35">
      <c r="E2752" t="s">
        <v>217</v>
      </c>
      <c r="F2752" t="s">
        <v>1971</v>
      </c>
      <c r="G2752" s="28"/>
      <c r="X2752" s="40"/>
      <c r="Y2752" s="40"/>
    </row>
    <row r="2753" spans="5:25" x14ac:dyDescent="0.35">
      <c r="E2753" t="s">
        <v>217</v>
      </c>
      <c r="F2753" t="s">
        <v>370</v>
      </c>
      <c r="G2753" s="28"/>
      <c r="X2753" s="40"/>
      <c r="Y2753" s="40"/>
    </row>
    <row r="2754" spans="5:25" x14ac:dyDescent="0.35">
      <c r="E2754" t="s">
        <v>217</v>
      </c>
      <c r="F2754" t="s">
        <v>618</v>
      </c>
      <c r="G2754" s="28"/>
      <c r="X2754" s="40"/>
      <c r="Y2754" s="40"/>
    </row>
    <row r="2755" spans="5:25" x14ac:dyDescent="0.35">
      <c r="E2755" t="s">
        <v>217</v>
      </c>
      <c r="F2755" t="s">
        <v>620</v>
      </c>
      <c r="G2755" s="28"/>
      <c r="X2755" s="40"/>
      <c r="Y2755" s="40"/>
    </row>
    <row r="2756" spans="5:25" x14ac:dyDescent="0.35">
      <c r="E2756" t="s">
        <v>217</v>
      </c>
      <c r="F2756" t="s">
        <v>371</v>
      </c>
      <c r="G2756" s="28"/>
      <c r="X2756" s="40"/>
      <c r="Y2756" s="40"/>
    </row>
    <row r="2757" spans="5:25" x14ac:dyDescent="0.35">
      <c r="E2757" t="s">
        <v>217</v>
      </c>
      <c r="F2757" t="s">
        <v>1972</v>
      </c>
      <c r="G2757" s="28"/>
      <c r="X2757" s="40"/>
      <c r="Y2757" s="40"/>
    </row>
    <row r="2758" spans="5:25" x14ac:dyDescent="0.35">
      <c r="E2758" t="s">
        <v>217</v>
      </c>
      <c r="F2758" t="s">
        <v>1973</v>
      </c>
      <c r="G2758" s="28"/>
      <c r="X2758" s="40"/>
      <c r="Y2758" s="40"/>
    </row>
    <row r="2759" spans="5:25" x14ac:dyDescent="0.35">
      <c r="E2759" t="s">
        <v>217</v>
      </c>
      <c r="F2759" t="s">
        <v>1974</v>
      </c>
      <c r="G2759" s="28"/>
      <c r="X2759" s="40"/>
      <c r="Y2759" s="40"/>
    </row>
    <row r="2760" spans="5:25" x14ac:dyDescent="0.35">
      <c r="E2760" t="s">
        <v>217</v>
      </c>
      <c r="F2760" t="s">
        <v>1975</v>
      </c>
      <c r="G2760" s="28"/>
      <c r="X2760" s="40"/>
      <c r="Y2760" s="40"/>
    </row>
    <row r="2761" spans="5:25" x14ac:dyDescent="0.35">
      <c r="E2761" t="s">
        <v>217</v>
      </c>
      <c r="F2761" t="s">
        <v>1976</v>
      </c>
      <c r="G2761" s="28"/>
      <c r="X2761" s="40"/>
      <c r="Y2761" s="40"/>
    </row>
    <row r="2762" spans="5:25" x14ac:dyDescent="0.35">
      <c r="E2762" t="s">
        <v>217</v>
      </c>
      <c r="F2762" t="s">
        <v>1977</v>
      </c>
      <c r="G2762" s="28"/>
      <c r="X2762" s="40"/>
      <c r="Y2762" s="40"/>
    </row>
    <row r="2763" spans="5:25" x14ac:dyDescent="0.35">
      <c r="E2763" t="s">
        <v>217</v>
      </c>
      <c r="F2763" t="s">
        <v>374</v>
      </c>
      <c r="G2763" s="28"/>
      <c r="X2763" s="40"/>
      <c r="Y2763" s="40"/>
    </row>
    <row r="2764" spans="5:25" x14ac:dyDescent="0.35">
      <c r="E2764" t="s">
        <v>217</v>
      </c>
      <c r="F2764" t="s">
        <v>376</v>
      </c>
      <c r="G2764" s="28"/>
      <c r="X2764" s="40"/>
      <c r="Y2764" s="40"/>
    </row>
    <row r="2765" spans="5:25" x14ac:dyDescent="0.35">
      <c r="E2765" t="s">
        <v>217</v>
      </c>
      <c r="F2765" t="s">
        <v>622</v>
      </c>
      <c r="G2765" s="28"/>
      <c r="X2765" s="40"/>
      <c r="Y2765" s="40"/>
    </row>
    <row r="2766" spans="5:25" x14ac:dyDescent="0.35">
      <c r="E2766" t="s">
        <v>217</v>
      </c>
      <c r="F2766" t="s">
        <v>867</v>
      </c>
      <c r="G2766" s="28"/>
      <c r="X2766" s="40"/>
      <c r="Y2766" s="40"/>
    </row>
    <row r="2767" spans="5:25" x14ac:dyDescent="0.35">
      <c r="E2767" t="s">
        <v>217</v>
      </c>
      <c r="F2767" t="s">
        <v>1978</v>
      </c>
      <c r="G2767" s="28"/>
      <c r="X2767" s="40"/>
      <c r="Y2767" s="40"/>
    </row>
    <row r="2768" spans="5:25" x14ac:dyDescent="0.35">
      <c r="E2768" t="s">
        <v>217</v>
      </c>
      <c r="F2768" t="s">
        <v>1979</v>
      </c>
      <c r="G2768" s="28"/>
      <c r="X2768" s="40"/>
      <c r="Y2768" s="40"/>
    </row>
    <row r="2769" spans="5:25" x14ac:dyDescent="0.35">
      <c r="E2769" t="s">
        <v>217</v>
      </c>
      <c r="F2769" t="s">
        <v>1980</v>
      </c>
      <c r="G2769" s="28"/>
      <c r="X2769" s="40"/>
      <c r="Y2769" s="40"/>
    </row>
    <row r="2770" spans="5:25" x14ac:dyDescent="0.35">
      <c r="E2770" t="s">
        <v>217</v>
      </c>
      <c r="F2770" t="s">
        <v>1981</v>
      </c>
      <c r="G2770" s="28"/>
      <c r="X2770" s="40"/>
      <c r="Y2770" s="40"/>
    </row>
    <row r="2771" spans="5:25" x14ac:dyDescent="0.35">
      <c r="E2771" t="s">
        <v>217</v>
      </c>
      <c r="F2771" t="s">
        <v>1982</v>
      </c>
      <c r="G2771" s="28"/>
      <c r="X2771" s="40"/>
      <c r="Y2771" s="40"/>
    </row>
    <row r="2772" spans="5:25" x14ac:dyDescent="0.35">
      <c r="E2772" t="s">
        <v>217</v>
      </c>
      <c r="F2772" t="s">
        <v>1608</v>
      </c>
      <c r="G2772" s="28"/>
      <c r="X2772" s="40"/>
      <c r="Y2772" s="40"/>
    </row>
    <row r="2773" spans="5:25" x14ac:dyDescent="0.35">
      <c r="E2773" t="s">
        <v>217</v>
      </c>
      <c r="F2773" t="s">
        <v>872</v>
      </c>
      <c r="G2773" s="28"/>
      <c r="X2773" s="40"/>
      <c r="Y2773" s="40"/>
    </row>
    <row r="2774" spans="5:25" x14ac:dyDescent="0.35">
      <c r="E2774" t="s">
        <v>217</v>
      </c>
      <c r="F2774" t="s">
        <v>1177</v>
      </c>
      <c r="G2774" s="28"/>
      <c r="X2774" s="40"/>
      <c r="Y2774" s="40"/>
    </row>
    <row r="2775" spans="5:25" x14ac:dyDescent="0.35">
      <c r="E2775" t="s">
        <v>217</v>
      </c>
      <c r="F2775" t="s">
        <v>1983</v>
      </c>
      <c r="G2775" s="28"/>
      <c r="X2775" s="40"/>
      <c r="Y2775" s="40"/>
    </row>
    <row r="2776" spans="5:25" x14ac:dyDescent="0.35">
      <c r="E2776" t="s">
        <v>217</v>
      </c>
      <c r="F2776" t="s">
        <v>789</v>
      </c>
      <c r="G2776" s="28"/>
      <c r="X2776" s="40"/>
      <c r="Y2776" s="40"/>
    </row>
    <row r="2777" spans="5:25" x14ac:dyDescent="0.35">
      <c r="E2777" t="s">
        <v>217</v>
      </c>
      <c r="F2777" t="s">
        <v>712</v>
      </c>
      <c r="G2777" s="28"/>
      <c r="X2777" s="40"/>
      <c r="Y2777" s="40"/>
    </row>
    <row r="2778" spans="5:25" x14ac:dyDescent="0.35">
      <c r="E2778" t="s">
        <v>217</v>
      </c>
      <c r="F2778" t="s">
        <v>1984</v>
      </c>
      <c r="G2778" s="28"/>
      <c r="X2778" s="40"/>
      <c r="Y2778" s="40"/>
    </row>
    <row r="2779" spans="5:25" x14ac:dyDescent="0.35">
      <c r="E2779" t="s">
        <v>217</v>
      </c>
      <c r="F2779" t="s">
        <v>380</v>
      </c>
      <c r="G2779" s="28"/>
      <c r="X2779" s="40"/>
      <c r="Y2779" s="40"/>
    </row>
    <row r="2780" spans="5:25" x14ac:dyDescent="0.35">
      <c r="E2780" t="s">
        <v>217</v>
      </c>
      <c r="F2780" t="s">
        <v>1410</v>
      </c>
      <c r="G2780" s="28"/>
      <c r="X2780" s="40"/>
      <c r="Y2780" s="40"/>
    </row>
    <row r="2781" spans="5:25" x14ac:dyDescent="0.35">
      <c r="E2781" t="s">
        <v>217</v>
      </c>
      <c r="F2781" t="s">
        <v>963</v>
      </c>
      <c r="G2781" s="28"/>
      <c r="X2781" s="40"/>
      <c r="Y2781" s="40"/>
    </row>
    <row r="2782" spans="5:25" x14ac:dyDescent="0.35">
      <c r="E2782" t="s">
        <v>217</v>
      </c>
      <c r="F2782" t="s">
        <v>1985</v>
      </c>
      <c r="G2782" s="28"/>
      <c r="X2782" s="40"/>
      <c r="Y2782" s="40"/>
    </row>
    <row r="2783" spans="5:25" x14ac:dyDescent="0.35">
      <c r="E2783" t="s">
        <v>217</v>
      </c>
      <c r="F2783" t="s">
        <v>1986</v>
      </c>
      <c r="G2783" s="28"/>
      <c r="X2783" s="40"/>
      <c r="Y2783" s="40"/>
    </row>
    <row r="2784" spans="5:25" x14ac:dyDescent="0.35">
      <c r="E2784" t="s">
        <v>217</v>
      </c>
      <c r="F2784" t="s">
        <v>1987</v>
      </c>
      <c r="G2784" s="28"/>
      <c r="X2784" s="40"/>
      <c r="Y2784" s="40"/>
    </row>
    <row r="2785" spans="5:25" x14ac:dyDescent="0.35">
      <c r="E2785" t="s">
        <v>217</v>
      </c>
      <c r="F2785" t="s">
        <v>433</v>
      </c>
      <c r="G2785" s="28"/>
      <c r="X2785" s="40"/>
      <c r="Y2785" s="40"/>
    </row>
    <row r="2786" spans="5:25" x14ac:dyDescent="0.35">
      <c r="E2786" t="s">
        <v>217</v>
      </c>
      <c r="F2786" t="s">
        <v>1988</v>
      </c>
      <c r="G2786" s="28"/>
      <c r="X2786" s="40"/>
      <c r="Y2786" s="40"/>
    </row>
    <row r="2787" spans="5:25" x14ac:dyDescent="0.35">
      <c r="E2787" t="s">
        <v>217</v>
      </c>
      <c r="F2787" t="s">
        <v>1989</v>
      </c>
      <c r="G2787" s="28"/>
      <c r="X2787" s="40"/>
      <c r="Y2787" s="40"/>
    </row>
    <row r="2788" spans="5:25" x14ac:dyDescent="0.35">
      <c r="E2788" t="s">
        <v>217</v>
      </c>
      <c r="F2788" t="s">
        <v>1990</v>
      </c>
      <c r="G2788" s="28"/>
      <c r="X2788" s="40"/>
      <c r="Y2788" s="40"/>
    </row>
    <row r="2789" spans="5:25" x14ac:dyDescent="0.35">
      <c r="E2789" t="s">
        <v>217</v>
      </c>
      <c r="F2789" t="s">
        <v>1040</v>
      </c>
      <c r="G2789" s="28"/>
      <c r="X2789" s="40"/>
      <c r="Y2789" s="40"/>
    </row>
    <row r="2790" spans="5:25" x14ac:dyDescent="0.35">
      <c r="E2790" t="s">
        <v>217</v>
      </c>
      <c r="F2790" t="s">
        <v>498</v>
      </c>
      <c r="G2790" s="28"/>
      <c r="X2790" s="40"/>
      <c r="Y2790" s="40"/>
    </row>
    <row r="2791" spans="5:25" x14ac:dyDescent="0.35">
      <c r="E2791" t="s">
        <v>217</v>
      </c>
      <c r="F2791" t="s">
        <v>1991</v>
      </c>
      <c r="G2791" s="28"/>
      <c r="X2791" s="40"/>
      <c r="Y2791" s="40"/>
    </row>
    <row r="2792" spans="5:25" x14ac:dyDescent="0.35">
      <c r="E2792" t="s">
        <v>217</v>
      </c>
      <c r="F2792" t="s">
        <v>1320</v>
      </c>
      <c r="G2792" s="28"/>
      <c r="X2792" s="40"/>
      <c r="Y2792" s="40"/>
    </row>
    <row r="2793" spans="5:25" x14ac:dyDescent="0.35">
      <c r="E2793" t="s">
        <v>217</v>
      </c>
      <c r="F2793" t="s">
        <v>1992</v>
      </c>
      <c r="G2793" s="28"/>
      <c r="X2793" s="40"/>
      <c r="Y2793" s="40"/>
    </row>
    <row r="2794" spans="5:25" x14ac:dyDescent="0.35">
      <c r="E2794" t="s">
        <v>217</v>
      </c>
      <c r="F2794" t="s">
        <v>1993</v>
      </c>
      <c r="G2794" s="28"/>
      <c r="X2794" s="40"/>
      <c r="Y2794" s="40"/>
    </row>
    <row r="2795" spans="5:25" x14ac:dyDescent="0.35">
      <c r="E2795" t="s">
        <v>217</v>
      </c>
      <c r="F2795" t="s">
        <v>1994</v>
      </c>
      <c r="G2795" s="28"/>
      <c r="X2795" s="40"/>
      <c r="Y2795" s="40"/>
    </row>
    <row r="2796" spans="5:25" x14ac:dyDescent="0.35">
      <c r="E2796" t="s">
        <v>217</v>
      </c>
      <c r="F2796" t="s">
        <v>437</v>
      </c>
      <c r="G2796" s="28"/>
      <c r="X2796" s="40"/>
      <c r="Y2796" s="40"/>
    </row>
    <row r="2797" spans="5:25" x14ac:dyDescent="0.35">
      <c r="E2797" t="s">
        <v>217</v>
      </c>
      <c r="F2797" t="s">
        <v>1707</v>
      </c>
      <c r="G2797" s="28"/>
      <c r="X2797" s="40"/>
      <c r="Y2797" s="40"/>
    </row>
    <row r="2798" spans="5:25" x14ac:dyDescent="0.35">
      <c r="E2798" t="s">
        <v>217</v>
      </c>
      <c r="F2798" t="s">
        <v>1995</v>
      </c>
      <c r="G2798" s="28"/>
      <c r="X2798" s="40"/>
      <c r="Y2798" s="40"/>
    </row>
    <row r="2799" spans="5:25" x14ac:dyDescent="0.35">
      <c r="E2799" t="s">
        <v>217</v>
      </c>
      <c r="F2799" t="s">
        <v>1996</v>
      </c>
      <c r="G2799" s="28"/>
      <c r="X2799" s="40"/>
      <c r="Y2799" s="40"/>
    </row>
    <row r="2800" spans="5:25" x14ac:dyDescent="0.35">
      <c r="E2800" t="s">
        <v>217</v>
      </c>
      <c r="F2800" t="s">
        <v>1997</v>
      </c>
      <c r="G2800" s="28"/>
      <c r="X2800" s="40"/>
      <c r="Y2800" s="40"/>
    </row>
    <row r="2801" spans="5:25" x14ac:dyDescent="0.35">
      <c r="E2801" t="s">
        <v>217</v>
      </c>
      <c r="F2801" t="s">
        <v>1998</v>
      </c>
      <c r="G2801" s="28"/>
      <c r="X2801" s="40"/>
      <c r="Y2801" s="40"/>
    </row>
    <row r="2802" spans="5:25" x14ac:dyDescent="0.35">
      <c r="E2802" t="s">
        <v>217</v>
      </c>
      <c r="F2802" t="s">
        <v>1999</v>
      </c>
      <c r="G2802" s="28"/>
      <c r="X2802" s="40"/>
      <c r="Y2802" s="40"/>
    </row>
    <row r="2803" spans="5:25" x14ac:dyDescent="0.35">
      <c r="E2803" t="s">
        <v>217</v>
      </c>
      <c r="F2803" t="s">
        <v>1079</v>
      </c>
      <c r="G2803" s="28"/>
      <c r="X2803" s="40"/>
      <c r="Y2803" s="40"/>
    </row>
    <row r="2804" spans="5:25" x14ac:dyDescent="0.35">
      <c r="E2804" t="s">
        <v>217</v>
      </c>
      <c r="F2804" t="s">
        <v>2000</v>
      </c>
      <c r="G2804" s="28"/>
      <c r="X2804" s="40"/>
      <c r="Y2804" s="40"/>
    </row>
    <row r="2805" spans="5:25" x14ac:dyDescent="0.35">
      <c r="E2805" t="s">
        <v>217</v>
      </c>
      <c r="F2805" t="s">
        <v>2001</v>
      </c>
      <c r="G2805" s="28"/>
      <c r="X2805" s="40"/>
      <c r="Y2805" s="40"/>
    </row>
    <row r="2806" spans="5:25" x14ac:dyDescent="0.35">
      <c r="E2806" t="s">
        <v>217</v>
      </c>
      <c r="F2806" t="s">
        <v>1848</v>
      </c>
      <c r="G2806" s="28"/>
      <c r="X2806" s="40"/>
      <c r="Y2806" s="40"/>
    </row>
    <row r="2807" spans="5:25" x14ac:dyDescent="0.35">
      <c r="E2807" t="s">
        <v>217</v>
      </c>
      <c r="F2807" t="s">
        <v>1044</v>
      </c>
      <c r="G2807" s="28"/>
      <c r="X2807" s="40"/>
      <c r="Y2807" s="40"/>
    </row>
    <row r="2808" spans="5:25" x14ac:dyDescent="0.35">
      <c r="E2808" t="s">
        <v>217</v>
      </c>
      <c r="F2808" t="s">
        <v>2002</v>
      </c>
      <c r="G2808" s="28"/>
      <c r="X2808" s="40"/>
      <c r="Y2808" s="40"/>
    </row>
    <row r="2809" spans="5:25" x14ac:dyDescent="0.35">
      <c r="E2809" t="s">
        <v>217</v>
      </c>
      <c r="F2809" t="s">
        <v>2003</v>
      </c>
      <c r="G2809" s="28"/>
      <c r="X2809" s="40"/>
      <c r="Y2809" s="40"/>
    </row>
    <row r="2810" spans="5:25" x14ac:dyDescent="0.35">
      <c r="E2810" t="s">
        <v>217</v>
      </c>
      <c r="F2810" t="s">
        <v>2004</v>
      </c>
      <c r="G2810" s="28"/>
      <c r="X2810" s="40"/>
      <c r="Y2810" s="40"/>
    </row>
    <row r="2811" spans="5:25" x14ac:dyDescent="0.35">
      <c r="E2811" t="s">
        <v>217</v>
      </c>
      <c r="F2811" t="s">
        <v>1080</v>
      </c>
      <c r="G2811" s="28"/>
      <c r="X2811" s="40"/>
      <c r="Y2811" s="40"/>
    </row>
    <row r="2812" spans="5:25" x14ac:dyDescent="0.35">
      <c r="E2812" t="s">
        <v>217</v>
      </c>
      <c r="F2812" t="s">
        <v>2005</v>
      </c>
      <c r="G2812" s="28"/>
      <c r="X2812" s="40"/>
      <c r="Y2812" s="40"/>
    </row>
    <row r="2813" spans="5:25" x14ac:dyDescent="0.35">
      <c r="E2813" t="s">
        <v>217</v>
      </c>
      <c r="F2813" t="s">
        <v>2006</v>
      </c>
      <c r="G2813" s="28"/>
      <c r="X2813" s="40"/>
      <c r="Y2813" s="40"/>
    </row>
    <row r="2814" spans="5:25" x14ac:dyDescent="0.35">
      <c r="E2814" t="s">
        <v>217</v>
      </c>
      <c r="F2814" t="s">
        <v>2007</v>
      </c>
      <c r="G2814" s="28"/>
      <c r="X2814" s="40"/>
      <c r="Y2814" s="40"/>
    </row>
    <row r="2815" spans="5:25" x14ac:dyDescent="0.35">
      <c r="E2815" t="s">
        <v>217</v>
      </c>
      <c r="F2815" t="s">
        <v>2008</v>
      </c>
      <c r="G2815" s="28"/>
      <c r="X2815" s="40"/>
      <c r="Y2815" s="40"/>
    </row>
    <row r="2816" spans="5:25" x14ac:dyDescent="0.35">
      <c r="E2816" t="s">
        <v>217</v>
      </c>
      <c r="F2816" t="s">
        <v>2009</v>
      </c>
      <c r="G2816" s="28"/>
      <c r="X2816" s="40"/>
      <c r="Y2816" s="40"/>
    </row>
    <row r="2817" spans="5:25" x14ac:dyDescent="0.35">
      <c r="E2817" t="s">
        <v>217</v>
      </c>
      <c r="F2817" t="s">
        <v>2010</v>
      </c>
      <c r="G2817" s="28"/>
      <c r="X2817" s="40"/>
      <c r="Y2817" s="40"/>
    </row>
    <row r="2818" spans="5:25" x14ac:dyDescent="0.35">
      <c r="E2818" t="s">
        <v>217</v>
      </c>
      <c r="F2818" t="s">
        <v>2011</v>
      </c>
      <c r="G2818" s="28"/>
      <c r="X2818" s="40"/>
      <c r="Y2818" s="40"/>
    </row>
    <row r="2819" spans="5:25" x14ac:dyDescent="0.35">
      <c r="E2819" t="s">
        <v>217</v>
      </c>
      <c r="F2819" t="s">
        <v>388</v>
      </c>
      <c r="G2819" s="28"/>
      <c r="X2819" s="40"/>
      <c r="Y2819" s="40"/>
    </row>
    <row r="2820" spans="5:25" x14ac:dyDescent="0.35">
      <c r="E2820" t="s">
        <v>217</v>
      </c>
      <c r="F2820" t="s">
        <v>984</v>
      </c>
      <c r="G2820" s="28"/>
      <c r="X2820" s="40"/>
      <c r="Y2820" s="40"/>
    </row>
    <row r="2821" spans="5:25" x14ac:dyDescent="0.35">
      <c r="E2821" t="s">
        <v>217</v>
      </c>
      <c r="F2821" t="s">
        <v>985</v>
      </c>
      <c r="G2821" s="28"/>
      <c r="X2821" s="40"/>
      <c r="Y2821" s="40"/>
    </row>
    <row r="2822" spans="5:25" x14ac:dyDescent="0.35">
      <c r="E2822" t="s">
        <v>217</v>
      </c>
      <c r="F2822" t="s">
        <v>2012</v>
      </c>
      <c r="G2822" s="28"/>
      <c r="X2822" s="40"/>
      <c r="Y2822" s="40"/>
    </row>
    <row r="2823" spans="5:25" x14ac:dyDescent="0.35">
      <c r="E2823" t="s">
        <v>217</v>
      </c>
      <c r="F2823" t="s">
        <v>2013</v>
      </c>
      <c r="G2823" s="28"/>
      <c r="X2823" s="40"/>
      <c r="Y2823" s="40"/>
    </row>
    <row r="2824" spans="5:25" x14ac:dyDescent="0.35">
      <c r="E2824" t="s">
        <v>217</v>
      </c>
      <c r="F2824" t="s">
        <v>727</v>
      </c>
      <c r="G2824" s="28"/>
      <c r="X2824" s="40"/>
      <c r="Y2824" s="40"/>
    </row>
    <row r="2825" spans="5:25" x14ac:dyDescent="0.35">
      <c r="E2825" t="s">
        <v>217</v>
      </c>
      <c r="F2825" t="s">
        <v>2014</v>
      </c>
      <c r="G2825" s="28"/>
      <c r="X2825" s="40"/>
      <c r="Y2825" s="40"/>
    </row>
    <row r="2826" spans="5:25" x14ac:dyDescent="0.35">
      <c r="E2826" t="s">
        <v>217</v>
      </c>
      <c r="F2826" t="s">
        <v>2015</v>
      </c>
      <c r="G2826" s="28"/>
      <c r="X2826" s="40"/>
      <c r="Y2826" s="40"/>
    </row>
    <row r="2827" spans="5:25" x14ac:dyDescent="0.35">
      <c r="E2827" t="s">
        <v>217</v>
      </c>
      <c r="F2827" t="s">
        <v>2016</v>
      </c>
      <c r="G2827" s="28"/>
      <c r="X2827" s="40"/>
      <c r="Y2827" s="40"/>
    </row>
    <row r="2828" spans="5:25" x14ac:dyDescent="0.35">
      <c r="E2828" t="s">
        <v>217</v>
      </c>
      <c r="F2828" t="s">
        <v>2017</v>
      </c>
      <c r="G2828" s="28"/>
      <c r="X2828" s="40"/>
      <c r="Y2828" s="40"/>
    </row>
    <row r="2829" spans="5:25" x14ac:dyDescent="0.35">
      <c r="E2829" t="s">
        <v>217</v>
      </c>
      <c r="F2829" t="s">
        <v>2018</v>
      </c>
      <c r="G2829" s="28"/>
      <c r="X2829" s="40"/>
      <c r="Y2829" s="40"/>
    </row>
    <row r="2830" spans="5:25" x14ac:dyDescent="0.35">
      <c r="E2830" t="s">
        <v>217</v>
      </c>
      <c r="F2830" t="s">
        <v>638</v>
      </c>
      <c r="G2830" s="28"/>
      <c r="X2830" s="40"/>
      <c r="Y2830" s="40"/>
    </row>
    <row r="2831" spans="5:25" x14ac:dyDescent="0.35">
      <c r="E2831" t="s">
        <v>217</v>
      </c>
      <c r="F2831" t="s">
        <v>733</v>
      </c>
      <c r="G2831" s="28"/>
      <c r="X2831" s="40"/>
      <c r="Y2831" s="40"/>
    </row>
    <row r="2832" spans="5:25" x14ac:dyDescent="0.35">
      <c r="E2832" t="s">
        <v>217</v>
      </c>
      <c r="F2832" t="s">
        <v>2019</v>
      </c>
      <c r="G2832" s="28"/>
      <c r="X2832" s="40"/>
      <c r="Y2832" s="40"/>
    </row>
    <row r="2833" spans="5:25" x14ac:dyDescent="0.35">
      <c r="E2833" t="s">
        <v>217</v>
      </c>
      <c r="F2833" t="s">
        <v>2020</v>
      </c>
      <c r="G2833" s="28"/>
      <c r="X2833" s="40"/>
      <c r="Y2833" s="40"/>
    </row>
    <row r="2834" spans="5:25" x14ac:dyDescent="0.35">
      <c r="E2834" t="s">
        <v>217</v>
      </c>
      <c r="F2834" t="s">
        <v>2021</v>
      </c>
      <c r="G2834" s="28"/>
      <c r="X2834" s="40"/>
      <c r="Y2834" s="40"/>
    </row>
    <row r="2835" spans="5:25" x14ac:dyDescent="0.35">
      <c r="E2835" t="s">
        <v>217</v>
      </c>
      <c r="F2835" t="s">
        <v>2022</v>
      </c>
      <c r="G2835" s="28"/>
      <c r="X2835" s="40"/>
      <c r="Y2835" s="40"/>
    </row>
    <row r="2836" spans="5:25" x14ac:dyDescent="0.35">
      <c r="E2836" t="s">
        <v>217</v>
      </c>
      <c r="F2836" t="s">
        <v>2023</v>
      </c>
      <c r="G2836" s="28"/>
      <c r="X2836" s="40"/>
      <c r="Y2836" s="40"/>
    </row>
    <row r="2837" spans="5:25" x14ac:dyDescent="0.35">
      <c r="E2837" t="s">
        <v>217</v>
      </c>
      <c r="F2837" t="s">
        <v>520</v>
      </c>
      <c r="G2837" s="28"/>
      <c r="X2837" s="40"/>
      <c r="Y2837" s="40"/>
    </row>
    <row r="2838" spans="5:25" x14ac:dyDescent="0.35">
      <c r="E2838" t="s">
        <v>217</v>
      </c>
      <c r="F2838" t="s">
        <v>2024</v>
      </c>
      <c r="G2838" s="28"/>
      <c r="X2838" s="40"/>
      <c r="Y2838" s="40"/>
    </row>
    <row r="2839" spans="5:25" x14ac:dyDescent="0.35">
      <c r="E2839" t="s">
        <v>217</v>
      </c>
      <c r="F2839" t="s">
        <v>2025</v>
      </c>
      <c r="G2839" s="28"/>
      <c r="X2839" s="40"/>
      <c r="Y2839" s="40"/>
    </row>
    <row r="2840" spans="5:25" x14ac:dyDescent="0.35">
      <c r="E2840" t="s">
        <v>217</v>
      </c>
      <c r="F2840" t="s">
        <v>2026</v>
      </c>
      <c r="G2840" s="28"/>
      <c r="X2840" s="40"/>
      <c r="Y2840" s="40"/>
    </row>
    <row r="2841" spans="5:25" x14ac:dyDescent="0.35">
      <c r="E2841" t="s">
        <v>217</v>
      </c>
      <c r="F2841" t="s">
        <v>2027</v>
      </c>
      <c r="G2841" s="28"/>
      <c r="X2841" s="40"/>
      <c r="Y2841" s="40"/>
    </row>
    <row r="2842" spans="5:25" x14ac:dyDescent="0.35">
      <c r="E2842" t="s">
        <v>217</v>
      </c>
      <c r="F2842" t="s">
        <v>2028</v>
      </c>
      <c r="G2842" s="28"/>
      <c r="X2842" s="40"/>
      <c r="Y2842" s="40"/>
    </row>
    <row r="2843" spans="5:25" x14ac:dyDescent="0.35">
      <c r="E2843" t="s">
        <v>217</v>
      </c>
      <c r="F2843" t="s">
        <v>2029</v>
      </c>
      <c r="G2843" s="28"/>
      <c r="X2843" s="40"/>
      <c r="Y2843" s="40"/>
    </row>
    <row r="2844" spans="5:25" x14ac:dyDescent="0.35">
      <c r="E2844" t="s">
        <v>217</v>
      </c>
      <c r="F2844" t="s">
        <v>2030</v>
      </c>
      <c r="G2844" s="28"/>
      <c r="X2844" s="40"/>
      <c r="Y2844" s="40"/>
    </row>
    <row r="2845" spans="5:25" x14ac:dyDescent="0.35">
      <c r="E2845" t="s">
        <v>217</v>
      </c>
      <c r="F2845" t="s">
        <v>393</v>
      </c>
      <c r="G2845" s="28"/>
      <c r="X2845" s="40"/>
      <c r="Y2845" s="40"/>
    </row>
    <row r="2846" spans="5:25" x14ac:dyDescent="0.35">
      <c r="E2846" t="s">
        <v>217</v>
      </c>
      <c r="F2846" t="s">
        <v>2031</v>
      </c>
      <c r="G2846" s="28"/>
      <c r="X2846" s="40"/>
      <c r="Y2846" s="40"/>
    </row>
    <row r="2847" spans="5:25" x14ac:dyDescent="0.35">
      <c r="E2847" t="s">
        <v>217</v>
      </c>
      <c r="F2847" t="s">
        <v>1466</v>
      </c>
      <c r="G2847" s="28"/>
      <c r="X2847" s="40"/>
      <c r="Y2847" s="40"/>
    </row>
    <row r="2848" spans="5:25" x14ac:dyDescent="0.35">
      <c r="E2848" t="s">
        <v>217</v>
      </c>
      <c r="F2848" t="s">
        <v>394</v>
      </c>
      <c r="G2848" s="28"/>
      <c r="X2848" s="40"/>
      <c r="Y2848" s="40"/>
    </row>
    <row r="2849" spans="5:25" x14ac:dyDescent="0.35">
      <c r="E2849" t="s">
        <v>217</v>
      </c>
      <c r="F2849" t="s">
        <v>2032</v>
      </c>
      <c r="G2849" s="28"/>
      <c r="X2849" s="40"/>
      <c r="Y2849" s="40"/>
    </row>
    <row r="2850" spans="5:25" x14ac:dyDescent="0.35">
      <c r="E2850" t="s">
        <v>217</v>
      </c>
      <c r="F2850" t="s">
        <v>2033</v>
      </c>
      <c r="G2850" s="28"/>
      <c r="X2850" s="40"/>
      <c r="Y2850" s="40"/>
    </row>
    <row r="2851" spans="5:25" x14ac:dyDescent="0.35">
      <c r="E2851" t="s">
        <v>217</v>
      </c>
      <c r="F2851" t="s">
        <v>747</v>
      </c>
      <c r="G2851" s="28"/>
      <c r="X2851" s="40"/>
      <c r="Y2851" s="40"/>
    </row>
    <row r="2852" spans="5:25" x14ac:dyDescent="0.35">
      <c r="E2852" t="s">
        <v>217</v>
      </c>
      <c r="F2852" t="s">
        <v>993</v>
      </c>
      <c r="G2852" s="28"/>
      <c r="X2852" s="40"/>
      <c r="Y2852" s="40"/>
    </row>
    <row r="2853" spans="5:25" x14ac:dyDescent="0.35">
      <c r="E2853" t="s">
        <v>217</v>
      </c>
      <c r="F2853" t="s">
        <v>2034</v>
      </c>
      <c r="G2853" s="28"/>
      <c r="X2853" s="40"/>
      <c r="Y2853" s="40"/>
    </row>
    <row r="2854" spans="5:25" x14ac:dyDescent="0.35">
      <c r="E2854" t="s">
        <v>217</v>
      </c>
      <c r="F2854" t="s">
        <v>2035</v>
      </c>
      <c r="G2854" s="28"/>
      <c r="X2854" s="40"/>
      <c r="Y2854" s="40"/>
    </row>
    <row r="2855" spans="5:25" x14ac:dyDescent="0.35">
      <c r="E2855" t="s">
        <v>217</v>
      </c>
      <c r="F2855" t="s">
        <v>889</v>
      </c>
      <c r="G2855" s="28"/>
      <c r="X2855" s="40"/>
      <c r="Y2855" s="40"/>
    </row>
    <row r="2856" spans="5:25" x14ac:dyDescent="0.35">
      <c r="E2856" t="s">
        <v>217</v>
      </c>
      <c r="F2856" t="s">
        <v>994</v>
      </c>
      <c r="G2856" s="28"/>
      <c r="X2856" s="40"/>
      <c r="Y2856" s="40"/>
    </row>
    <row r="2857" spans="5:25" x14ac:dyDescent="0.35">
      <c r="E2857" t="s">
        <v>217</v>
      </c>
      <c r="F2857" t="s">
        <v>2036</v>
      </c>
      <c r="G2857" s="28"/>
      <c r="X2857" s="40"/>
      <c r="Y2857" s="40"/>
    </row>
    <row r="2858" spans="5:25" x14ac:dyDescent="0.35">
      <c r="E2858" t="s">
        <v>217</v>
      </c>
      <c r="F2858" t="s">
        <v>2037</v>
      </c>
      <c r="G2858" s="28"/>
      <c r="X2858" s="40"/>
      <c r="Y2858" s="40"/>
    </row>
    <row r="2859" spans="5:25" x14ac:dyDescent="0.35">
      <c r="E2859" t="s">
        <v>217</v>
      </c>
      <c r="F2859" t="s">
        <v>1622</v>
      </c>
      <c r="G2859" s="28"/>
      <c r="X2859" s="40"/>
      <c r="Y2859" s="40"/>
    </row>
    <row r="2860" spans="5:25" x14ac:dyDescent="0.35">
      <c r="E2860" t="s">
        <v>217</v>
      </c>
      <c r="F2860" t="s">
        <v>2038</v>
      </c>
      <c r="G2860" s="28"/>
      <c r="X2860" s="40"/>
      <c r="Y2860" s="40"/>
    </row>
    <row r="2861" spans="5:25" x14ac:dyDescent="0.35">
      <c r="E2861" t="s">
        <v>217</v>
      </c>
      <c r="F2861" t="s">
        <v>2039</v>
      </c>
      <c r="G2861" s="28"/>
      <c r="X2861" s="40"/>
      <c r="Y2861" s="40"/>
    </row>
    <row r="2862" spans="5:25" x14ac:dyDescent="0.35">
      <c r="E2862" t="s">
        <v>217</v>
      </c>
      <c r="F2862" t="s">
        <v>2040</v>
      </c>
      <c r="G2862" s="28"/>
      <c r="X2862" s="40"/>
      <c r="Y2862" s="40"/>
    </row>
    <row r="2863" spans="5:25" x14ac:dyDescent="0.35">
      <c r="E2863" t="s">
        <v>217</v>
      </c>
      <c r="F2863" t="s">
        <v>2041</v>
      </c>
      <c r="G2863" s="28"/>
      <c r="X2863" s="40"/>
      <c r="Y2863" s="40"/>
    </row>
    <row r="2864" spans="5:25" x14ac:dyDescent="0.35">
      <c r="E2864" t="s">
        <v>218</v>
      </c>
      <c r="F2864" t="s">
        <v>1626</v>
      </c>
      <c r="G2864" s="28"/>
      <c r="X2864" s="40"/>
      <c r="Y2864" s="40"/>
    </row>
    <row r="2865" spans="5:25" x14ac:dyDescent="0.35">
      <c r="E2865" t="s">
        <v>218</v>
      </c>
      <c r="F2865" t="s">
        <v>2042</v>
      </c>
      <c r="G2865" s="28"/>
      <c r="X2865" s="40"/>
      <c r="Y2865" s="40"/>
    </row>
    <row r="2866" spans="5:25" x14ac:dyDescent="0.35">
      <c r="E2866" t="s">
        <v>218</v>
      </c>
      <c r="F2866" t="s">
        <v>2043</v>
      </c>
      <c r="G2866" s="28"/>
      <c r="X2866" s="40"/>
      <c r="Y2866" s="40"/>
    </row>
    <row r="2867" spans="5:25" x14ac:dyDescent="0.35">
      <c r="E2867" t="s">
        <v>218</v>
      </c>
      <c r="F2867" t="s">
        <v>1338</v>
      </c>
      <c r="G2867" s="28"/>
      <c r="X2867" s="40"/>
      <c r="Y2867" s="40"/>
    </row>
    <row r="2868" spans="5:25" x14ac:dyDescent="0.35">
      <c r="E2868" t="s">
        <v>218</v>
      </c>
      <c r="F2868" t="s">
        <v>2044</v>
      </c>
      <c r="G2868" s="28"/>
      <c r="X2868" s="40"/>
      <c r="Y2868" s="40"/>
    </row>
    <row r="2869" spans="5:25" x14ac:dyDescent="0.35">
      <c r="E2869" t="s">
        <v>218</v>
      </c>
      <c r="F2869" t="s">
        <v>770</v>
      </c>
      <c r="G2869" s="28"/>
      <c r="X2869" s="40"/>
      <c r="Y2869" s="40"/>
    </row>
    <row r="2870" spans="5:25" x14ac:dyDescent="0.35">
      <c r="E2870" t="s">
        <v>218</v>
      </c>
      <c r="F2870" t="s">
        <v>2045</v>
      </c>
      <c r="G2870" s="28"/>
      <c r="X2870" s="40"/>
      <c r="Y2870" s="40"/>
    </row>
    <row r="2871" spans="5:25" x14ac:dyDescent="0.35">
      <c r="E2871" t="s">
        <v>218</v>
      </c>
      <c r="F2871" t="s">
        <v>2046</v>
      </c>
      <c r="G2871" s="28"/>
      <c r="X2871" s="40"/>
      <c r="Y2871" s="40"/>
    </row>
    <row r="2872" spans="5:25" x14ac:dyDescent="0.35">
      <c r="E2872" t="s">
        <v>218</v>
      </c>
      <c r="F2872" t="s">
        <v>549</v>
      </c>
      <c r="G2872" s="28"/>
      <c r="X2872" s="40"/>
      <c r="Y2872" s="40"/>
    </row>
    <row r="2873" spans="5:25" x14ac:dyDescent="0.35">
      <c r="E2873" t="s">
        <v>218</v>
      </c>
      <c r="F2873" t="s">
        <v>551</v>
      </c>
      <c r="G2873" s="28"/>
      <c r="X2873" s="40"/>
      <c r="Y2873" s="40"/>
    </row>
    <row r="2874" spans="5:25" x14ac:dyDescent="0.35">
      <c r="E2874" t="s">
        <v>218</v>
      </c>
      <c r="F2874" t="s">
        <v>1162</v>
      </c>
      <c r="G2874" s="28"/>
      <c r="X2874" s="40"/>
      <c r="Y2874" s="40"/>
    </row>
    <row r="2875" spans="5:25" x14ac:dyDescent="0.35">
      <c r="E2875" t="s">
        <v>218</v>
      </c>
      <c r="F2875" t="s">
        <v>2047</v>
      </c>
      <c r="G2875" s="28"/>
      <c r="X2875" s="40"/>
      <c r="Y2875" s="40"/>
    </row>
    <row r="2876" spans="5:25" x14ac:dyDescent="0.35">
      <c r="E2876" t="s">
        <v>218</v>
      </c>
      <c r="F2876" t="s">
        <v>860</v>
      </c>
      <c r="G2876" s="28"/>
      <c r="X2876" s="40"/>
      <c r="Y2876" s="40"/>
    </row>
    <row r="2877" spans="5:25" x14ac:dyDescent="0.35">
      <c r="E2877" t="s">
        <v>218</v>
      </c>
      <c r="F2877" t="s">
        <v>2048</v>
      </c>
      <c r="G2877" s="28"/>
      <c r="X2877" s="40"/>
      <c r="Y2877" s="40"/>
    </row>
    <row r="2878" spans="5:25" x14ac:dyDescent="0.35">
      <c r="E2878" t="s">
        <v>218</v>
      </c>
      <c r="F2878" t="s">
        <v>381</v>
      </c>
      <c r="G2878" s="28"/>
      <c r="X2878" s="40"/>
      <c r="Y2878" s="40"/>
    </row>
    <row r="2879" spans="5:25" x14ac:dyDescent="0.35">
      <c r="E2879" t="s">
        <v>218</v>
      </c>
      <c r="F2879" t="s">
        <v>2049</v>
      </c>
      <c r="G2879" s="28"/>
      <c r="X2879" s="40"/>
      <c r="Y2879" s="40"/>
    </row>
    <row r="2880" spans="5:25" x14ac:dyDescent="0.35">
      <c r="E2880" t="s">
        <v>218</v>
      </c>
      <c r="F2880" t="s">
        <v>2050</v>
      </c>
      <c r="G2880" s="28"/>
      <c r="X2880" s="40"/>
      <c r="Y2880" s="40"/>
    </row>
    <row r="2881" spans="5:25" x14ac:dyDescent="0.35">
      <c r="E2881" t="s">
        <v>218</v>
      </c>
      <c r="F2881" t="s">
        <v>2051</v>
      </c>
      <c r="G2881" s="28"/>
      <c r="X2881" s="40"/>
      <c r="Y2881" s="40"/>
    </row>
    <row r="2882" spans="5:25" x14ac:dyDescent="0.35">
      <c r="E2882" t="s">
        <v>218</v>
      </c>
      <c r="F2882" t="s">
        <v>575</v>
      </c>
      <c r="G2882" s="28"/>
      <c r="X2882" s="40"/>
      <c r="Y2882" s="40"/>
    </row>
    <row r="2883" spans="5:25" x14ac:dyDescent="0.35">
      <c r="E2883" t="s">
        <v>218</v>
      </c>
      <c r="F2883" t="s">
        <v>2052</v>
      </c>
      <c r="G2883" s="28"/>
      <c r="X2883" s="40"/>
      <c r="Y2883" s="40"/>
    </row>
    <row r="2884" spans="5:25" x14ac:dyDescent="0.35">
      <c r="E2884" t="s">
        <v>218</v>
      </c>
      <c r="F2884" t="s">
        <v>446</v>
      </c>
      <c r="G2884" s="28"/>
      <c r="X2884" s="40"/>
      <c r="Y2884" s="40"/>
    </row>
    <row r="2885" spans="5:25" x14ac:dyDescent="0.35">
      <c r="E2885" t="s">
        <v>218</v>
      </c>
      <c r="F2885" t="s">
        <v>578</v>
      </c>
      <c r="G2885" s="28"/>
      <c r="X2885" s="40"/>
      <c r="Y2885" s="40"/>
    </row>
    <row r="2886" spans="5:25" x14ac:dyDescent="0.35">
      <c r="E2886" t="s">
        <v>218</v>
      </c>
      <c r="F2886" t="s">
        <v>2053</v>
      </c>
      <c r="G2886" s="28"/>
      <c r="X2886" s="40"/>
      <c r="Y2886" s="40"/>
    </row>
    <row r="2887" spans="5:25" x14ac:dyDescent="0.35">
      <c r="E2887" t="s">
        <v>218</v>
      </c>
      <c r="F2887" t="s">
        <v>2054</v>
      </c>
      <c r="G2887" s="28"/>
      <c r="X2887" s="40"/>
      <c r="Y2887" s="40"/>
    </row>
    <row r="2888" spans="5:25" x14ac:dyDescent="0.35">
      <c r="E2888" t="s">
        <v>218</v>
      </c>
      <c r="F2888" t="s">
        <v>2055</v>
      </c>
      <c r="G2888" s="28"/>
      <c r="X2888" s="40"/>
      <c r="Y2888" s="40"/>
    </row>
    <row r="2889" spans="5:25" x14ac:dyDescent="0.35">
      <c r="E2889" t="s">
        <v>218</v>
      </c>
      <c r="F2889" t="s">
        <v>2056</v>
      </c>
      <c r="G2889" s="28"/>
      <c r="X2889" s="40"/>
      <c r="Y2889" s="40"/>
    </row>
    <row r="2890" spans="5:25" x14ac:dyDescent="0.35">
      <c r="E2890" t="s">
        <v>218</v>
      </c>
      <c r="F2890" t="s">
        <v>394</v>
      </c>
      <c r="G2890" s="28"/>
      <c r="X2890" s="40"/>
      <c r="Y2890" s="40"/>
    </row>
    <row r="2891" spans="5:25" x14ac:dyDescent="0.35">
      <c r="E2891" t="s">
        <v>218</v>
      </c>
      <c r="F2891" t="s">
        <v>745</v>
      </c>
      <c r="G2891" s="28"/>
      <c r="X2891" s="40"/>
      <c r="Y2891" s="40"/>
    </row>
    <row r="2892" spans="5:25" x14ac:dyDescent="0.35">
      <c r="E2892" t="s">
        <v>218</v>
      </c>
      <c r="F2892" t="s">
        <v>2057</v>
      </c>
      <c r="G2892" s="28"/>
      <c r="X2892" s="40"/>
      <c r="Y2892" s="40"/>
    </row>
    <row r="2893" spans="5:25" x14ac:dyDescent="0.35">
      <c r="E2893" t="s">
        <v>219</v>
      </c>
      <c r="F2893" t="s">
        <v>2058</v>
      </c>
      <c r="G2893" s="28"/>
      <c r="X2893" s="40"/>
      <c r="Y2893" s="40"/>
    </row>
    <row r="2894" spans="5:25" x14ac:dyDescent="0.35">
      <c r="E2894" t="s">
        <v>219</v>
      </c>
      <c r="F2894" t="s">
        <v>2059</v>
      </c>
      <c r="G2894" s="28"/>
      <c r="X2894" s="40"/>
      <c r="Y2894" s="40"/>
    </row>
    <row r="2895" spans="5:25" x14ac:dyDescent="0.35">
      <c r="E2895" t="s">
        <v>219</v>
      </c>
      <c r="F2895" t="s">
        <v>2060</v>
      </c>
      <c r="G2895" s="28"/>
      <c r="X2895" s="40"/>
      <c r="Y2895" s="40"/>
    </row>
    <row r="2896" spans="5:25" x14ac:dyDescent="0.35">
      <c r="E2896" t="s">
        <v>219</v>
      </c>
      <c r="F2896" t="s">
        <v>1372</v>
      </c>
      <c r="G2896" s="28"/>
      <c r="X2896" s="40"/>
      <c r="Y2896" s="40"/>
    </row>
    <row r="2897" spans="5:25" x14ac:dyDescent="0.35">
      <c r="E2897" t="s">
        <v>219</v>
      </c>
      <c r="F2897" t="s">
        <v>2061</v>
      </c>
      <c r="G2897" s="28"/>
      <c r="X2897" s="40"/>
      <c r="Y2897" s="40"/>
    </row>
    <row r="2898" spans="5:25" x14ac:dyDescent="0.35">
      <c r="E2898" t="s">
        <v>219</v>
      </c>
      <c r="F2898" t="s">
        <v>2062</v>
      </c>
      <c r="G2898" s="28"/>
      <c r="X2898" s="40"/>
      <c r="Y2898" s="40"/>
    </row>
    <row r="2899" spans="5:25" x14ac:dyDescent="0.35">
      <c r="E2899" t="s">
        <v>219</v>
      </c>
      <c r="F2899" t="s">
        <v>2063</v>
      </c>
      <c r="G2899" s="28"/>
      <c r="X2899" s="40"/>
      <c r="Y2899" s="40"/>
    </row>
    <row r="2900" spans="5:25" x14ac:dyDescent="0.35">
      <c r="E2900" t="s">
        <v>219</v>
      </c>
      <c r="F2900" t="s">
        <v>2064</v>
      </c>
      <c r="G2900" s="28"/>
      <c r="X2900" s="40"/>
      <c r="Y2900" s="40"/>
    </row>
    <row r="2901" spans="5:25" x14ac:dyDescent="0.35">
      <c r="E2901" t="s">
        <v>219</v>
      </c>
      <c r="F2901" t="s">
        <v>2065</v>
      </c>
      <c r="G2901" s="28"/>
      <c r="X2901" s="40"/>
      <c r="Y2901" s="40"/>
    </row>
    <row r="2902" spans="5:25" x14ac:dyDescent="0.35">
      <c r="E2902" t="s">
        <v>219</v>
      </c>
      <c r="F2902" t="s">
        <v>999</v>
      </c>
      <c r="G2902" s="28"/>
      <c r="X2902" s="40"/>
      <c r="Y2902" s="40"/>
    </row>
    <row r="2903" spans="5:25" x14ac:dyDescent="0.35">
      <c r="E2903" t="s">
        <v>219</v>
      </c>
      <c r="F2903" t="s">
        <v>1683</v>
      </c>
      <c r="G2903" s="28"/>
      <c r="X2903" s="40"/>
      <c r="Y2903" s="40"/>
    </row>
    <row r="2904" spans="5:25" x14ac:dyDescent="0.35">
      <c r="E2904" t="s">
        <v>219</v>
      </c>
      <c r="F2904" t="s">
        <v>2066</v>
      </c>
      <c r="G2904" s="28"/>
      <c r="X2904" s="40"/>
      <c r="Y2904" s="40"/>
    </row>
    <row r="2905" spans="5:25" x14ac:dyDescent="0.35">
      <c r="E2905" t="s">
        <v>219</v>
      </c>
      <c r="F2905" t="s">
        <v>2067</v>
      </c>
      <c r="G2905" s="28"/>
      <c r="X2905" s="40"/>
      <c r="Y2905" s="40"/>
    </row>
    <row r="2906" spans="5:25" x14ac:dyDescent="0.35">
      <c r="E2906" t="s">
        <v>219</v>
      </c>
      <c r="F2906" t="s">
        <v>2068</v>
      </c>
      <c r="G2906" s="28"/>
      <c r="X2906" s="40"/>
      <c r="Y2906" s="40"/>
    </row>
    <row r="2907" spans="5:25" x14ac:dyDescent="0.35">
      <c r="E2907" t="s">
        <v>219</v>
      </c>
      <c r="F2907" t="s">
        <v>2069</v>
      </c>
      <c r="G2907" s="28"/>
      <c r="X2907" s="40"/>
      <c r="Y2907" s="40"/>
    </row>
    <row r="2908" spans="5:25" x14ac:dyDescent="0.35">
      <c r="E2908" t="s">
        <v>219</v>
      </c>
      <c r="F2908" t="s">
        <v>1379</v>
      </c>
      <c r="G2908" s="28"/>
      <c r="X2908" s="40"/>
      <c r="Y2908" s="40"/>
    </row>
    <row r="2909" spans="5:25" x14ac:dyDescent="0.35">
      <c r="E2909" t="s">
        <v>219</v>
      </c>
      <c r="F2909" t="s">
        <v>763</v>
      </c>
      <c r="G2909" s="28"/>
      <c r="X2909" s="40"/>
      <c r="Y2909" s="40"/>
    </row>
    <row r="2910" spans="5:25" x14ac:dyDescent="0.35">
      <c r="E2910" t="s">
        <v>219</v>
      </c>
      <c r="F2910" t="s">
        <v>2070</v>
      </c>
      <c r="G2910" s="28"/>
      <c r="X2910" s="40"/>
      <c r="Y2910" s="40"/>
    </row>
    <row r="2911" spans="5:25" x14ac:dyDescent="0.35">
      <c r="E2911" t="s">
        <v>219</v>
      </c>
      <c r="F2911" t="s">
        <v>2071</v>
      </c>
      <c r="G2911" s="28"/>
      <c r="X2911" s="40"/>
      <c r="Y2911" s="40"/>
    </row>
    <row r="2912" spans="5:25" x14ac:dyDescent="0.35">
      <c r="E2912" t="s">
        <v>219</v>
      </c>
      <c r="F2912" t="s">
        <v>1009</v>
      </c>
      <c r="G2912" s="28"/>
      <c r="X2912" s="40"/>
      <c r="Y2912" s="40"/>
    </row>
    <row r="2913" spans="5:25" x14ac:dyDescent="0.35">
      <c r="E2913" t="s">
        <v>219</v>
      </c>
      <c r="F2913" t="s">
        <v>1114</v>
      </c>
      <c r="G2913" s="28"/>
      <c r="X2913" s="40"/>
      <c r="Y2913" s="40"/>
    </row>
    <row r="2914" spans="5:25" x14ac:dyDescent="0.35">
      <c r="E2914" t="s">
        <v>219</v>
      </c>
      <c r="F2914" t="s">
        <v>403</v>
      </c>
      <c r="G2914" s="28"/>
      <c r="X2914" s="40"/>
      <c r="Y2914" s="40"/>
    </row>
    <row r="2915" spans="5:25" x14ac:dyDescent="0.35">
      <c r="E2915" t="s">
        <v>219</v>
      </c>
      <c r="F2915" t="s">
        <v>2072</v>
      </c>
      <c r="G2915" s="28"/>
      <c r="X2915" s="40"/>
      <c r="Y2915" s="40"/>
    </row>
    <row r="2916" spans="5:25" x14ac:dyDescent="0.35">
      <c r="E2916" t="s">
        <v>219</v>
      </c>
      <c r="F2916" t="s">
        <v>599</v>
      </c>
      <c r="G2916" s="28"/>
      <c r="X2916" s="40"/>
      <c r="Y2916" s="40"/>
    </row>
    <row r="2917" spans="5:25" x14ac:dyDescent="0.35">
      <c r="E2917" t="s">
        <v>219</v>
      </c>
      <c r="F2917" t="s">
        <v>2073</v>
      </c>
      <c r="G2917" s="28"/>
      <c r="X2917" s="40"/>
      <c r="Y2917" s="40"/>
    </row>
    <row r="2918" spans="5:25" x14ac:dyDescent="0.35">
      <c r="E2918" t="s">
        <v>219</v>
      </c>
      <c r="F2918" t="s">
        <v>2074</v>
      </c>
      <c r="G2918" s="28"/>
      <c r="X2918" s="40"/>
      <c r="Y2918" s="40"/>
    </row>
    <row r="2919" spans="5:25" x14ac:dyDescent="0.35">
      <c r="E2919" t="s">
        <v>219</v>
      </c>
      <c r="F2919" t="s">
        <v>1799</v>
      </c>
      <c r="G2919" s="28"/>
      <c r="X2919" s="40"/>
      <c r="Y2919" s="40"/>
    </row>
    <row r="2920" spans="5:25" x14ac:dyDescent="0.35">
      <c r="E2920" t="s">
        <v>219</v>
      </c>
      <c r="F2920" t="s">
        <v>342</v>
      </c>
      <c r="G2920" s="28"/>
      <c r="X2920" s="40"/>
      <c r="Y2920" s="40"/>
    </row>
    <row r="2921" spans="5:25" x14ac:dyDescent="0.35">
      <c r="E2921" t="s">
        <v>219</v>
      </c>
      <c r="F2921" t="s">
        <v>2075</v>
      </c>
      <c r="G2921" s="28"/>
      <c r="X2921" s="40"/>
      <c r="Y2921" s="40"/>
    </row>
    <row r="2922" spans="5:25" x14ac:dyDescent="0.35">
      <c r="E2922" t="s">
        <v>219</v>
      </c>
      <c r="F2922" t="s">
        <v>2076</v>
      </c>
      <c r="G2922" s="28"/>
      <c r="X2922" s="40"/>
      <c r="Y2922" s="40"/>
    </row>
    <row r="2923" spans="5:25" x14ac:dyDescent="0.35">
      <c r="E2923" t="s">
        <v>219</v>
      </c>
      <c r="F2923" t="s">
        <v>1632</v>
      </c>
      <c r="G2923" s="28"/>
      <c r="X2923" s="40"/>
      <c r="Y2923" s="40"/>
    </row>
    <row r="2924" spans="5:25" x14ac:dyDescent="0.35">
      <c r="E2924" t="s">
        <v>219</v>
      </c>
      <c r="F2924" t="s">
        <v>2077</v>
      </c>
      <c r="G2924" s="28"/>
      <c r="X2924" s="40"/>
      <c r="Y2924" s="40"/>
    </row>
    <row r="2925" spans="5:25" x14ac:dyDescent="0.35">
      <c r="E2925" t="s">
        <v>219</v>
      </c>
      <c r="F2925" t="s">
        <v>849</v>
      </c>
      <c r="G2925" s="28"/>
      <c r="X2925" s="40"/>
      <c r="Y2925" s="40"/>
    </row>
    <row r="2926" spans="5:25" x14ac:dyDescent="0.35">
      <c r="E2926" t="s">
        <v>219</v>
      </c>
      <c r="F2926" t="s">
        <v>2078</v>
      </c>
      <c r="G2926" s="28"/>
      <c r="X2926" s="40"/>
      <c r="Y2926" s="40"/>
    </row>
    <row r="2927" spans="5:25" x14ac:dyDescent="0.35">
      <c r="E2927" t="s">
        <v>219</v>
      </c>
      <c r="F2927" t="s">
        <v>2079</v>
      </c>
      <c r="G2927" s="28"/>
      <c r="X2927" s="40"/>
      <c r="Y2927" s="40"/>
    </row>
    <row r="2928" spans="5:25" x14ac:dyDescent="0.35">
      <c r="E2928" t="s">
        <v>219</v>
      </c>
      <c r="F2928" t="s">
        <v>2080</v>
      </c>
      <c r="G2928" s="28"/>
      <c r="X2928" s="40"/>
      <c r="Y2928" s="40"/>
    </row>
    <row r="2929" spans="5:25" x14ac:dyDescent="0.35">
      <c r="E2929" t="s">
        <v>219</v>
      </c>
      <c r="F2929" t="s">
        <v>2081</v>
      </c>
      <c r="G2929" s="28"/>
      <c r="X2929" s="40"/>
      <c r="Y2929" s="40"/>
    </row>
    <row r="2930" spans="5:25" x14ac:dyDescent="0.35">
      <c r="E2930" t="s">
        <v>219</v>
      </c>
      <c r="F2930" t="s">
        <v>1102</v>
      </c>
      <c r="G2930" s="28"/>
      <c r="X2930" s="40"/>
      <c r="Y2930" s="40"/>
    </row>
    <row r="2931" spans="5:25" x14ac:dyDescent="0.35">
      <c r="E2931" t="s">
        <v>219</v>
      </c>
      <c r="F2931" t="s">
        <v>2082</v>
      </c>
      <c r="G2931" s="28"/>
      <c r="X2931" s="40"/>
      <c r="Y2931" s="40"/>
    </row>
    <row r="2932" spans="5:25" x14ac:dyDescent="0.35">
      <c r="E2932" t="s">
        <v>219</v>
      </c>
      <c r="F2932" t="s">
        <v>2083</v>
      </c>
      <c r="G2932" s="28"/>
      <c r="X2932" s="40"/>
      <c r="Y2932" s="40"/>
    </row>
    <row r="2933" spans="5:25" x14ac:dyDescent="0.35">
      <c r="E2933" t="s">
        <v>219</v>
      </c>
      <c r="F2933" t="s">
        <v>2084</v>
      </c>
      <c r="G2933" s="28"/>
      <c r="X2933" s="40"/>
      <c r="Y2933" s="40"/>
    </row>
    <row r="2934" spans="5:25" x14ac:dyDescent="0.35">
      <c r="E2934" t="s">
        <v>219</v>
      </c>
      <c r="F2934" t="s">
        <v>2085</v>
      </c>
      <c r="G2934" s="28"/>
      <c r="X2934" s="40"/>
      <c r="Y2934" s="40"/>
    </row>
    <row r="2935" spans="5:25" x14ac:dyDescent="0.35">
      <c r="E2935" t="s">
        <v>219</v>
      </c>
      <c r="F2935" t="s">
        <v>685</v>
      </c>
      <c r="G2935" s="28"/>
      <c r="X2935" s="40"/>
      <c r="Y2935" s="40"/>
    </row>
    <row r="2936" spans="5:25" x14ac:dyDescent="0.35">
      <c r="E2936" t="s">
        <v>219</v>
      </c>
      <c r="F2936" t="s">
        <v>2086</v>
      </c>
      <c r="G2936" s="28"/>
      <c r="X2936" s="40"/>
      <c r="Y2936" s="40"/>
    </row>
    <row r="2937" spans="5:25" x14ac:dyDescent="0.35">
      <c r="E2937" t="s">
        <v>219</v>
      </c>
      <c r="F2937" t="s">
        <v>359</v>
      </c>
      <c r="G2937" s="28"/>
      <c r="X2937" s="40"/>
      <c r="Y2937" s="40"/>
    </row>
    <row r="2938" spans="5:25" x14ac:dyDescent="0.35">
      <c r="E2938" t="s">
        <v>219</v>
      </c>
      <c r="F2938" t="s">
        <v>2087</v>
      </c>
      <c r="G2938" s="28"/>
      <c r="X2938" s="40"/>
      <c r="Y2938" s="40"/>
    </row>
    <row r="2939" spans="5:25" x14ac:dyDescent="0.35">
      <c r="E2939" t="s">
        <v>219</v>
      </c>
      <c r="F2939" t="s">
        <v>1118</v>
      </c>
      <c r="G2939" s="28"/>
      <c r="X2939" s="40"/>
      <c r="Y2939" s="40"/>
    </row>
    <row r="2940" spans="5:25" x14ac:dyDescent="0.35">
      <c r="E2940" t="s">
        <v>219</v>
      </c>
      <c r="F2940" t="s">
        <v>2088</v>
      </c>
      <c r="G2940" s="28"/>
      <c r="X2940" s="40"/>
      <c r="Y2940" s="40"/>
    </row>
    <row r="2941" spans="5:25" x14ac:dyDescent="0.35">
      <c r="E2941" t="s">
        <v>219</v>
      </c>
      <c r="F2941" t="s">
        <v>2089</v>
      </c>
      <c r="G2941" s="28"/>
      <c r="X2941" s="40"/>
      <c r="Y2941" s="40"/>
    </row>
    <row r="2942" spans="5:25" x14ac:dyDescent="0.35">
      <c r="E2942" t="s">
        <v>219</v>
      </c>
      <c r="F2942" t="s">
        <v>1865</v>
      </c>
      <c r="G2942" s="28"/>
      <c r="X2942" s="40"/>
      <c r="Y2942" s="40"/>
    </row>
    <row r="2943" spans="5:25" x14ac:dyDescent="0.35">
      <c r="E2943" t="s">
        <v>219</v>
      </c>
      <c r="F2943" t="s">
        <v>1518</v>
      </c>
      <c r="G2943" s="28"/>
      <c r="X2943" s="40"/>
      <c r="Y2943" s="40"/>
    </row>
    <row r="2944" spans="5:25" x14ac:dyDescent="0.35">
      <c r="E2944" t="s">
        <v>219</v>
      </c>
      <c r="F2944" t="s">
        <v>2090</v>
      </c>
      <c r="G2944" s="28"/>
      <c r="X2944" s="40"/>
      <c r="Y2944" s="40"/>
    </row>
    <row r="2945" spans="5:25" x14ac:dyDescent="0.35">
      <c r="E2945" t="s">
        <v>219</v>
      </c>
      <c r="F2945" t="s">
        <v>1019</v>
      </c>
      <c r="G2945" s="28"/>
      <c r="X2945" s="40"/>
      <c r="Y2945" s="40"/>
    </row>
    <row r="2946" spans="5:25" x14ac:dyDescent="0.35">
      <c r="E2946" t="s">
        <v>219</v>
      </c>
      <c r="F2946" t="s">
        <v>361</v>
      </c>
      <c r="G2946" s="28"/>
      <c r="X2946" s="40"/>
      <c r="Y2946" s="40"/>
    </row>
    <row r="2947" spans="5:25" x14ac:dyDescent="0.35">
      <c r="E2947" t="s">
        <v>219</v>
      </c>
      <c r="F2947" t="s">
        <v>2091</v>
      </c>
      <c r="G2947" s="28"/>
      <c r="X2947" s="40"/>
      <c r="Y2947" s="40"/>
    </row>
    <row r="2948" spans="5:25" x14ac:dyDescent="0.35">
      <c r="E2948" t="s">
        <v>219</v>
      </c>
      <c r="F2948" t="s">
        <v>1399</v>
      </c>
      <c r="G2948" s="28"/>
      <c r="X2948" s="40"/>
      <c r="Y2948" s="40"/>
    </row>
    <row r="2949" spans="5:25" x14ac:dyDescent="0.35">
      <c r="E2949" t="s">
        <v>219</v>
      </c>
      <c r="F2949" t="s">
        <v>2092</v>
      </c>
      <c r="G2949" s="28"/>
      <c r="X2949" s="40"/>
      <c r="Y2949" s="40"/>
    </row>
    <row r="2950" spans="5:25" x14ac:dyDescent="0.35">
      <c r="E2950" t="s">
        <v>219</v>
      </c>
      <c r="F2950" t="s">
        <v>2093</v>
      </c>
      <c r="G2950" s="28"/>
      <c r="X2950" s="40"/>
      <c r="Y2950" s="40"/>
    </row>
    <row r="2951" spans="5:25" x14ac:dyDescent="0.35">
      <c r="E2951" t="s">
        <v>219</v>
      </c>
      <c r="F2951" t="s">
        <v>2094</v>
      </c>
      <c r="G2951" s="28"/>
      <c r="X2951" s="40"/>
      <c r="Y2951" s="40"/>
    </row>
    <row r="2952" spans="5:25" x14ac:dyDescent="0.35">
      <c r="E2952" t="s">
        <v>219</v>
      </c>
      <c r="F2952" t="s">
        <v>2095</v>
      </c>
      <c r="G2952" s="28"/>
      <c r="X2952" s="40"/>
      <c r="Y2952" s="40"/>
    </row>
    <row r="2953" spans="5:25" x14ac:dyDescent="0.35">
      <c r="E2953" t="s">
        <v>219</v>
      </c>
      <c r="F2953" t="s">
        <v>363</v>
      </c>
      <c r="G2953" s="28"/>
      <c r="X2953" s="40"/>
      <c r="Y2953" s="40"/>
    </row>
    <row r="2954" spans="5:25" x14ac:dyDescent="0.35">
      <c r="E2954" t="s">
        <v>219</v>
      </c>
      <c r="F2954" t="s">
        <v>1603</v>
      </c>
      <c r="G2954" s="28"/>
      <c r="X2954" s="40"/>
      <c r="Y2954" s="40"/>
    </row>
    <row r="2955" spans="5:25" x14ac:dyDescent="0.35">
      <c r="E2955" t="s">
        <v>219</v>
      </c>
      <c r="F2955" t="s">
        <v>2096</v>
      </c>
      <c r="G2955" s="28"/>
      <c r="X2955" s="40"/>
      <c r="Y2955" s="40"/>
    </row>
    <row r="2956" spans="5:25" x14ac:dyDescent="0.35">
      <c r="E2956" t="s">
        <v>219</v>
      </c>
      <c r="F2956" t="s">
        <v>2097</v>
      </c>
      <c r="G2956" s="28"/>
      <c r="X2956" s="40"/>
      <c r="Y2956" s="40"/>
    </row>
    <row r="2957" spans="5:25" x14ac:dyDescent="0.35">
      <c r="E2957" t="s">
        <v>219</v>
      </c>
      <c r="F2957" t="s">
        <v>2098</v>
      </c>
      <c r="G2957" s="28"/>
      <c r="X2957" s="40"/>
      <c r="Y2957" s="40"/>
    </row>
    <row r="2958" spans="5:25" x14ac:dyDescent="0.35">
      <c r="E2958" t="s">
        <v>219</v>
      </c>
      <c r="F2958" t="s">
        <v>2099</v>
      </c>
      <c r="G2958" s="28"/>
      <c r="X2958" s="40"/>
      <c r="Y2958" s="40"/>
    </row>
    <row r="2959" spans="5:25" x14ac:dyDescent="0.35">
      <c r="E2959" t="s">
        <v>219</v>
      </c>
      <c r="F2959" t="s">
        <v>2100</v>
      </c>
      <c r="G2959" s="28"/>
      <c r="X2959" s="40"/>
      <c r="Y2959" s="40"/>
    </row>
    <row r="2960" spans="5:25" x14ac:dyDescent="0.35">
      <c r="E2960" t="s">
        <v>219</v>
      </c>
      <c r="F2960" t="s">
        <v>2101</v>
      </c>
      <c r="G2960" s="28"/>
      <c r="X2960" s="40"/>
      <c r="Y2960" s="40"/>
    </row>
    <row r="2961" spans="5:25" x14ac:dyDescent="0.35">
      <c r="E2961" t="s">
        <v>219</v>
      </c>
      <c r="F2961" t="s">
        <v>1493</v>
      </c>
      <c r="G2961" s="28"/>
      <c r="X2961" s="40"/>
      <c r="Y2961" s="40"/>
    </row>
    <row r="2962" spans="5:25" x14ac:dyDescent="0.35">
      <c r="E2962" t="s">
        <v>219</v>
      </c>
      <c r="F2962" t="s">
        <v>370</v>
      </c>
      <c r="G2962" s="28"/>
      <c r="X2962" s="40"/>
      <c r="Y2962" s="40"/>
    </row>
    <row r="2963" spans="5:25" x14ac:dyDescent="0.35">
      <c r="E2963" t="s">
        <v>219</v>
      </c>
      <c r="F2963" t="s">
        <v>2102</v>
      </c>
      <c r="G2963" s="28"/>
      <c r="X2963" s="40"/>
      <c r="Y2963" s="40"/>
    </row>
    <row r="2964" spans="5:25" x14ac:dyDescent="0.35">
      <c r="E2964" t="s">
        <v>219</v>
      </c>
      <c r="F2964" t="s">
        <v>2103</v>
      </c>
      <c r="G2964" s="28"/>
      <c r="X2964" s="40"/>
      <c r="Y2964" s="40"/>
    </row>
    <row r="2965" spans="5:25" x14ac:dyDescent="0.35">
      <c r="E2965" t="s">
        <v>219</v>
      </c>
      <c r="F2965" t="s">
        <v>785</v>
      </c>
      <c r="G2965" s="28"/>
      <c r="X2965" s="40"/>
      <c r="Y2965" s="40"/>
    </row>
    <row r="2966" spans="5:25" x14ac:dyDescent="0.35">
      <c r="E2966" t="s">
        <v>219</v>
      </c>
      <c r="F2966" t="s">
        <v>2104</v>
      </c>
      <c r="G2966" s="28"/>
      <c r="X2966" s="40"/>
      <c r="Y2966" s="40"/>
    </row>
    <row r="2967" spans="5:25" x14ac:dyDescent="0.35">
      <c r="E2967" t="s">
        <v>219</v>
      </c>
      <c r="F2967" t="s">
        <v>2105</v>
      </c>
      <c r="G2967" s="28"/>
      <c r="X2967" s="40"/>
      <c r="Y2967" s="40"/>
    </row>
    <row r="2968" spans="5:25" x14ac:dyDescent="0.35">
      <c r="E2968" t="s">
        <v>219</v>
      </c>
      <c r="F2968" t="s">
        <v>374</v>
      </c>
      <c r="G2968" s="28"/>
      <c r="X2968" s="40"/>
      <c r="Y2968" s="40"/>
    </row>
    <row r="2969" spans="5:25" x14ac:dyDescent="0.35">
      <c r="E2969" t="s">
        <v>219</v>
      </c>
      <c r="F2969" t="s">
        <v>2106</v>
      </c>
      <c r="G2969" s="28"/>
      <c r="X2969" s="40"/>
      <c r="Y2969" s="40"/>
    </row>
    <row r="2970" spans="5:25" x14ac:dyDescent="0.35">
      <c r="E2970" t="s">
        <v>219</v>
      </c>
      <c r="F2970" t="s">
        <v>2107</v>
      </c>
      <c r="G2970" s="28"/>
      <c r="X2970" s="40"/>
      <c r="Y2970" s="40"/>
    </row>
    <row r="2971" spans="5:25" x14ac:dyDescent="0.35">
      <c r="E2971" t="s">
        <v>219</v>
      </c>
      <c r="F2971" t="s">
        <v>2108</v>
      </c>
      <c r="G2971" s="28"/>
      <c r="X2971" s="40"/>
      <c r="Y2971" s="40"/>
    </row>
    <row r="2972" spans="5:25" x14ac:dyDescent="0.35">
      <c r="E2972" t="s">
        <v>219</v>
      </c>
      <c r="F2972" t="s">
        <v>2109</v>
      </c>
      <c r="G2972" s="28"/>
      <c r="X2972" s="40"/>
      <c r="Y2972" s="40"/>
    </row>
    <row r="2973" spans="5:25" x14ac:dyDescent="0.35">
      <c r="E2973" t="s">
        <v>219</v>
      </c>
      <c r="F2973" t="s">
        <v>1409</v>
      </c>
      <c r="G2973" s="28"/>
      <c r="X2973" s="40"/>
      <c r="Y2973" s="40"/>
    </row>
    <row r="2974" spans="5:25" x14ac:dyDescent="0.35">
      <c r="E2974" t="s">
        <v>219</v>
      </c>
      <c r="F2974" t="s">
        <v>584</v>
      </c>
      <c r="G2974" s="28"/>
      <c r="X2974" s="40"/>
      <c r="Y2974" s="40"/>
    </row>
    <row r="2975" spans="5:25" x14ac:dyDescent="0.35">
      <c r="E2975" t="s">
        <v>219</v>
      </c>
      <c r="F2975" t="s">
        <v>380</v>
      </c>
      <c r="G2975" s="28"/>
      <c r="X2975" s="40"/>
      <c r="Y2975" s="40"/>
    </row>
    <row r="2976" spans="5:25" x14ac:dyDescent="0.35">
      <c r="E2976" t="s">
        <v>219</v>
      </c>
      <c r="F2976" t="s">
        <v>1038</v>
      </c>
      <c r="G2976" s="28"/>
      <c r="X2976" s="40"/>
      <c r="Y2976" s="40"/>
    </row>
    <row r="2977" spans="5:25" x14ac:dyDescent="0.35">
      <c r="E2977" t="s">
        <v>219</v>
      </c>
      <c r="F2977" t="s">
        <v>2110</v>
      </c>
      <c r="G2977" s="28"/>
      <c r="X2977" s="40"/>
      <c r="Y2977" s="40"/>
    </row>
    <row r="2978" spans="5:25" x14ac:dyDescent="0.35">
      <c r="E2978" t="s">
        <v>219</v>
      </c>
      <c r="F2978" t="s">
        <v>2111</v>
      </c>
      <c r="G2978" s="28"/>
      <c r="X2978" s="40"/>
      <c r="Y2978" s="40"/>
    </row>
    <row r="2979" spans="5:25" x14ac:dyDescent="0.35">
      <c r="E2979" t="s">
        <v>219</v>
      </c>
      <c r="F2979" t="s">
        <v>2112</v>
      </c>
      <c r="G2979" s="28"/>
      <c r="X2979" s="40"/>
      <c r="Y2979" s="40"/>
    </row>
    <row r="2980" spans="5:25" x14ac:dyDescent="0.35">
      <c r="E2980" t="s">
        <v>219</v>
      </c>
      <c r="F2980" t="s">
        <v>1413</v>
      </c>
      <c r="G2980" s="28"/>
      <c r="X2980" s="40"/>
      <c r="Y2980" s="40"/>
    </row>
    <row r="2981" spans="5:25" x14ac:dyDescent="0.35">
      <c r="E2981" t="s">
        <v>219</v>
      </c>
      <c r="F2981" t="s">
        <v>1705</v>
      </c>
      <c r="G2981" s="28"/>
      <c r="X2981" s="40"/>
      <c r="Y2981" s="40"/>
    </row>
    <row r="2982" spans="5:25" x14ac:dyDescent="0.35">
      <c r="E2982" t="s">
        <v>219</v>
      </c>
      <c r="F2982" t="s">
        <v>2113</v>
      </c>
      <c r="G2982" s="28"/>
      <c r="X2982" s="40"/>
      <c r="Y2982" s="40"/>
    </row>
    <row r="2983" spans="5:25" x14ac:dyDescent="0.35">
      <c r="E2983" t="s">
        <v>219</v>
      </c>
      <c r="F2983" t="s">
        <v>2114</v>
      </c>
      <c r="G2983" s="28"/>
      <c r="X2983" s="40"/>
      <c r="Y2983" s="40"/>
    </row>
    <row r="2984" spans="5:25" x14ac:dyDescent="0.35">
      <c r="E2984" t="s">
        <v>219</v>
      </c>
      <c r="F2984" t="s">
        <v>498</v>
      </c>
      <c r="G2984" s="28"/>
      <c r="X2984" s="40"/>
      <c r="Y2984" s="40"/>
    </row>
    <row r="2985" spans="5:25" x14ac:dyDescent="0.35">
      <c r="E2985" t="s">
        <v>219</v>
      </c>
      <c r="F2985" t="s">
        <v>793</v>
      </c>
      <c r="G2985" s="28"/>
      <c r="X2985" s="40"/>
      <c r="Y2985" s="40"/>
    </row>
    <row r="2986" spans="5:25" x14ac:dyDescent="0.35">
      <c r="E2986" t="s">
        <v>219</v>
      </c>
      <c r="F2986" t="s">
        <v>2115</v>
      </c>
      <c r="G2986" s="28"/>
      <c r="X2986" s="40"/>
      <c r="Y2986" s="40"/>
    </row>
    <row r="2987" spans="5:25" x14ac:dyDescent="0.35">
      <c r="E2987" t="s">
        <v>219</v>
      </c>
      <c r="F2987" t="s">
        <v>2116</v>
      </c>
      <c r="G2987" s="28"/>
      <c r="X2987" s="40"/>
      <c r="Y2987" s="40"/>
    </row>
    <row r="2988" spans="5:25" x14ac:dyDescent="0.35">
      <c r="E2988" t="s">
        <v>219</v>
      </c>
      <c r="F2988" t="s">
        <v>2117</v>
      </c>
      <c r="G2988" s="28"/>
      <c r="X2988" s="40"/>
      <c r="Y2988" s="40"/>
    </row>
    <row r="2989" spans="5:25" x14ac:dyDescent="0.35">
      <c r="E2989" t="s">
        <v>219</v>
      </c>
      <c r="F2989" t="s">
        <v>2118</v>
      </c>
      <c r="G2989" s="28"/>
      <c r="X2989" s="40"/>
      <c r="Y2989" s="40"/>
    </row>
    <row r="2990" spans="5:25" x14ac:dyDescent="0.35">
      <c r="E2990" t="s">
        <v>219</v>
      </c>
      <c r="F2990" t="s">
        <v>2119</v>
      </c>
      <c r="G2990" s="28"/>
      <c r="X2990" s="40"/>
      <c r="Y2990" s="40"/>
    </row>
    <row r="2991" spans="5:25" x14ac:dyDescent="0.35">
      <c r="E2991" t="s">
        <v>219</v>
      </c>
      <c r="F2991" t="s">
        <v>2120</v>
      </c>
      <c r="G2991" s="28"/>
      <c r="X2991" s="40"/>
      <c r="Y2991" s="40"/>
    </row>
    <row r="2992" spans="5:25" x14ac:dyDescent="0.35">
      <c r="E2992" t="s">
        <v>219</v>
      </c>
      <c r="F2992" t="s">
        <v>2121</v>
      </c>
      <c r="G2992" s="28"/>
      <c r="X2992" s="40"/>
      <c r="Y2992" s="40"/>
    </row>
    <row r="2993" spans="5:25" x14ac:dyDescent="0.35">
      <c r="E2993" t="s">
        <v>219</v>
      </c>
      <c r="F2993" t="s">
        <v>2122</v>
      </c>
      <c r="G2993" s="28"/>
      <c r="X2993" s="40"/>
      <c r="Y2993" s="40"/>
    </row>
    <row r="2994" spans="5:25" x14ac:dyDescent="0.35">
      <c r="E2994" t="s">
        <v>219</v>
      </c>
      <c r="F2994" t="s">
        <v>2123</v>
      </c>
      <c r="G2994" s="28"/>
      <c r="X2994" s="40"/>
      <c r="Y2994" s="40"/>
    </row>
    <row r="2995" spans="5:25" x14ac:dyDescent="0.35">
      <c r="E2995" t="s">
        <v>219</v>
      </c>
      <c r="F2995" t="s">
        <v>440</v>
      </c>
      <c r="G2995" s="28"/>
      <c r="X2995" s="40"/>
      <c r="Y2995" s="40"/>
    </row>
    <row r="2996" spans="5:25" x14ac:dyDescent="0.35">
      <c r="E2996" t="s">
        <v>219</v>
      </c>
      <c r="F2996" t="s">
        <v>2124</v>
      </c>
      <c r="G2996" s="28"/>
      <c r="X2996" s="40"/>
      <c r="Y2996" s="40"/>
    </row>
    <row r="2997" spans="5:25" x14ac:dyDescent="0.35">
      <c r="E2997" t="s">
        <v>219</v>
      </c>
      <c r="F2997" t="s">
        <v>2125</v>
      </c>
      <c r="G2997" s="28"/>
      <c r="X2997" s="40"/>
      <c r="Y2997" s="40"/>
    </row>
    <row r="2998" spans="5:25" x14ac:dyDescent="0.35">
      <c r="E2998" t="s">
        <v>219</v>
      </c>
      <c r="F2998" t="s">
        <v>722</v>
      </c>
      <c r="G2998" s="28"/>
      <c r="X2998" s="40"/>
      <c r="Y2998" s="40"/>
    </row>
    <row r="2999" spans="5:25" x14ac:dyDescent="0.35">
      <c r="E2999" t="s">
        <v>219</v>
      </c>
      <c r="F2999" t="s">
        <v>2126</v>
      </c>
      <c r="G2999" s="28"/>
      <c r="X2999" s="40"/>
      <c r="Y2999" s="40"/>
    </row>
    <row r="3000" spans="5:25" x14ac:dyDescent="0.35">
      <c r="E3000" t="s">
        <v>219</v>
      </c>
      <c r="F3000" t="s">
        <v>2127</v>
      </c>
      <c r="G3000" s="28"/>
      <c r="X3000" s="40"/>
      <c r="Y3000" s="40"/>
    </row>
    <row r="3001" spans="5:25" x14ac:dyDescent="0.35">
      <c r="E3001" t="s">
        <v>219</v>
      </c>
      <c r="F3001" t="s">
        <v>2128</v>
      </c>
      <c r="G3001" s="28"/>
      <c r="X3001" s="40"/>
      <c r="Y3001" s="40"/>
    </row>
    <row r="3002" spans="5:25" x14ac:dyDescent="0.35">
      <c r="E3002" t="s">
        <v>219</v>
      </c>
      <c r="F3002" t="s">
        <v>2129</v>
      </c>
      <c r="G3002" s="28"/>
      <c r="X3002" s="40"/>
      <c r="Y3002" s="40"/>
    </row>
    <row r="3003" spans="5:25" x14ac:dyDescent="0.35">
      <c r="E3003" t="s">
        <v>219</v>
      </c>
      <c r="F3003" t="s">
        <v>1422</v>
      </c>
      <c r="G3003" s="28"/>
      <c r="X3003" s="40"/>
      <c r="Y3003" s="40"/>
    </row>
    <row r="3004" spans="5:25" x14ac:dyDescent="0.35">
      <c r="E3004" t="s">
        <v>219</v>
      </c>
      <c r="F3004" t="s">
        <v>386</v>
      </c>
      <c r="G3004" s="28"/>
      <c r="X3004" s="40"/>
      <c r="Y3004" s="40"/>
    </row>
    <row r="3005" spans="5:25" x14ac:dyDescent="0.35">
      <c r="E3005" t="s">
        <v>219</v>
      </c>
      <c r="F3005" t="s">
        <v>1524</v>
      </c>
      <c r="G3005" s="28"/>
      <c r="X3005" s="40"/>
      <c r="Y3005" s="40"/>
    </row>
    <row r="3006" spans="5:25" x14ac:dyDescent="0.35">
      <c r="E3006" t="s">
        <v>219</v>
      </c>
      <c r="F3006" t="s">
        <v>443</v>
      </c>
      <c r="G3006" s="28"/>
      <c r="X3006" s="40"/>
      <c r="Y3006" s="40"/>
    </row>
    <row r="3007" spans="5:25" x14ac:dyDescent="0.35">
      <c r="E3007" t="s">
        <v>219</v>
      </c>
      <c r="F3007" t="s">
        <v>2130</v>
      </c>
      <c r="G3007" s="28"/>
      <c r="X3007" s="40"/>
      <c r="Y3007" s="40"/>
    </row>
    <row r="3008" spans="5:25" x14ac:dyDescent="0.35">
      <c r="E3008" t="s">
        <v>219</v>
      </c>
      <c r="F3008" t="s">
        <v>2131</v>
      </c>
      <c r="G3008" s="28"/>
      <c r="X3008" s="40"/>
      <c r="Y3008" s="40"/>
    </row>
    <row r="3009" spans="5:25" x14ac:dyDescent="0.35">
      <c r="E3009" t="s">
        <v>219</v>
      </c>
      <c r="F3009" t="s">
        <v>2132</v>
      </c>
      <c r="G3009" s="28"/>
      <c r="X3009" s="40"/>
      <c r="Y3009" s="40"/>
    </row>
    <row r="3010" spans="5:25" x14ac:dyDescent="0.35">
      <c r="E3010" t="s">
        <v>219</v>
      </c>
      <c r="F3010" t="s">
        <v>2133</v>
      </c>
      <c r="G3010" s="28"/>
      <c r="X3010" s="40"/>
      <c r="Y3010" s="40"/>
    </row>
    <row r="3011" spans="5:25" x14ac:dyDescent="0.35">
      <c r="E3011" t="s">
        <v>219</v>
      </c>
      <c r="F3011" t="s">
        <v>986</v>
      </c>
      <c r="G3011" s="28"/>
      <c r="X3011" s="40"/>
      <c r="Y3011" s="40"/>
    </row>
    <row r="3012" spans="5:25" x14ac:dyDescent="0.35">
      <c r="E3012" t="s">
        <v>219</v>
      </c>
      <c r="F3012" t="s">
        <v>2134</v>
      </c>
      <c r="G3012" s="28"/>
      <c r="X3012" s="40"/>
      <c r="Y3012" s="40"/>
    </row>
    <row r="3013" spans="5:25" x14ac:dyDescent="0.35">
      <c r="E3013" t="s">
        <v>219</v>
      </c>
      <c r="F3013" t="s">
        <v>2135</v>
      </c>
      <c r="G3013" s="28"/>
      <c r="X3013" s="40"/>
      <c r="Y3013" s="40"/>
    </row>
    <row r="3014" spans="5:25" x14ac:dyDescent="0.35">
      <c r="E3014" t="s">
        <v>219</v>
      </c>
      <c r="F3014" t="s">
        <v>1427</v>
      </c>
      <c r="G3014" s="28"/>
      <c r="X3014" s="40"/>
      <c r="Y3014" s="40"/>
    </row>
    <row r="3015" spans="5:25" x14ac:dyDescent="0.35">
      <c r="E3015" t="s">
        <v>219</v>
      </c>
      <c r="F3015" t="s">
        <v>592</v>
      </c>
      <c r="G3015" s="28"/>
      <c r="X3015" s="40"/>
      <c r="Y3015" s="40"/>
    </row>
    <row r="3016" spans="5:25" x14ac:dyDescent="0.35">
      <c r="E3016" t="s">
        <v>219</v>
      </c>
      <c r="F3016" t="s">
        <v>884</v>
      </c>
      <c r="G3016" s="28"/>
      <c r="X3016" s="40"/>
      <c r="Y3016" s="40"/>
    </row>
    <row r="3017" spans="5:25" x14ac:dyDescent="0.35">
      <c r="E3017" t="s">
        <v>219</v>
      </c>
      <c r="F3017" t="s">
        <v>2136</v>
      </c>
      <c r="G3017" s="28"/>
      <c r="X3017" s="40"/>
      <c r="Y3017" s="40"/>
    </row>
    <row r="3018" spans="5:25" x14ac:dyDescent="0.35">
      <c r="E3018" t="s">
        <v>219</v>
      </c>
      <c r="F3018" t="s">
        <v>744</v>
      </c>
      <c r="G3018" s="28"/>
      <c r="X3018" s="40"/>
      <c r="Y3018" s="40"/>
    </row>
    <row r="3019" spans="5:25" x14ac:dyDescent="0.35">
      <c r="E3019" t="s">
        <v>219</v>
      </c>
      <c r="F3019" t="s">
        <v>394</v>
      </c>
      <c r="G3019" s="28"/>
      <c r="X3019" s="40"/>
      <c r="Y3019" s="40"/>
    </row>
    <row r="3020" spans="5:25" x14ac:dyDescent="0.35">
      <c r="E3020" t="s">
        <v>219</v>
      </c>
      <c r="F3020" t="s">
        <v>2137</v>
      </c>
      <c r="G3020" s="28"/>
      <c r="X3020" s="40"/>
      <c r="Y3020" s="40"/>
    </row>
    <row r="3021" spans="5:25" x14ac:dyDescent="0.35">
      <c r="E3021" t="s">
        <v>219</v>
      </c>
      <c r="F3021" t="s">
        <v>1712</v>
      </c>
      <c r="G3021" s="28"/>
      <c r="X3021" s="40"/>
      <c r="Y3021" s="40"/>
    </row>
    <row r="3022" spans="5:25" x14ac:dyDescent="0.35">
      <c r="E3022" t="s">
        <v>219</v>
      </c>
      <c r="F3022" t="s">
        <v>2138</v>
      </c>
      <c r="G3022" s="28"/>
      <c r="X3022" s="40"/>
      <c r="Y3022" s="40"/>
    </row>
    <row r="3023" spans="5:25" x14ac:dyDescent="0.35">
      <c r="E3023" t="s">
        <v>219</v>
      </c>
      <c r="F3023" t="s">
        <v>2139</v>
      </c>
      <c r="G3023" s="28"/>
      <c r="X3023" s="40"/>
      <c r="Y3023" s="40"/>
    </row>
    <row r="3024" spans="5:25" x14ac:dyDescent="0.35">
      <c r="E3024" t="s">
        <v>219</v>
      </c>
      <c r="F3024" t="s">
        <v>2037</v>
      </c>
      <c r="G3024" s="28"/>
      <c r="X3024" s="40"/>
      <c r="Y3024" s="40"/>
    </row>
    <row r="3025" spans="5:25" x14ac:dyDescent="0.35">
      <c r="E3025" t="s">
        <v>219</v>
      </c>
      <c r="F3025" t="s">
        <v>2140</v>
      </c>
      <c r="G3025" s="28"/>
      <c r="X3025" s="40"/>
      <c r="Y3025" s="40"/>
    </row>
    <row r="3026" spans="5:25" x14ac:dyDescent="0.35">
      <c r="E3026" t="s">
        <v>219</v>
      </c>
      <c r="F3026" t="s">
        <v>1134</v>
      </c>
      <c r="G3026" s="28"/>
      <c r="X3026" s="40"/>
      <c r="Y3026" s="40"/>
    </row>
    <row r="3027" spans="5:25" x14ac:dyDescent="0.35">
      <c r="E3027" t="s">
        <v>300</v>
      </c>
      <c r="F3027" t="s">
        <v>2141</v>
      </c>
      <c r="G3027" s="28"/>
      <c r="X3027" s="40"/>
      <c r="Y3027" s="40"/>
    </row>
    <row r="3028" spans="5:25" x14ac:dyDescent="0.35">
      <c r="E3028" t="s">
        <v>300</v>
      </c>
      <c r="F3028" t="s">
        <v>2142</v>
      </c>
      <c r="G3028" s="28"/>
      <c r="X3028" s="40"/>
      <c r="Y3028" s="40"/>
    </row>
    <row r="3029" spans="5:25" x14ac:dyDescent="0.35">
      <c r="E3029" t="s">
        <v>300</v>
      </c>
      <c r="F3029" t="s">
        <v>2143</v>
      </c>
      <c r="G3029" s="28"/>
      <c r="X3029" s="40"/>
      <c r="Y3029" s="40"/>
    </row>
    <row r="3030" spans="5:25" x14ac:dyDescent="0.35">
      <c r="E3030" t="s">
        <v>220</v>
      </c>
      <c r="F3030" t="s">
        <v>2144</v>
      </c>
      <c r="G3030" s="28"/>
      <c r="X3030" s="40"/>
      <c r="Y3030" s="40"/>
    </row>
    <row r="3031" spans="5:25" x14ac:dyDescent="0.35">
      <c r="E3031" t="s">
        <v>220</v>
      </c>
      <c r="F3031" t="s">
        <v>2145</v>
      </c>
      <c r="G3031" s="28"/>
      <c r="X3031" s="40"/>
      <c r="Y3031" s="40"/>
    </row>
    <row r="3032" spans="5:25" x14ac:dyDescent="0.35">
      <c r="E3032" t="s">
        <v>220</v>
      </c>
      <c r="F3032" t="s">
        <v>2146</v>
      </c>
      <c r="G3032" s="28"/>
      <c r="X3032" s="40"/>
      <c r="Y3032" s="40"/>
    </row>
    <row r="3033" spans="5:25" x14ac:dyDescent="0.35">
      <c r="E3033" t="s">
        <v>220</v>
      </c>
      <c r="F3033" t="s">
        <v>2147</v>
      </c>
      <c r="G3033" s="28"/>
      <c r="X3033" s="40"/>
      <c r="Y3033" s="40"/>
    </row>
    <row r="3034" spans="5:25" x14ac:dyDescent="0.35">
      <c r="E3034" t="s">
        <v>220</v>
      </c>
      <c r="F3034" t="s">
        <v>1102</v>
      </c>
      <c r="G3034" s="28"/>
      <c r="X3034" s="40"/>
      <c r="Y3034" s="40"/>
    </row>
    <row r="3035" spans="5:25" x14ac:dyDescent="0.35">
      <c r="E3035" t="s">
        <v>220</v>
      </c>
      <c r="F3035" t="s">
        <v>359</v>
      </c>
      <c r="G3035" s="28"/>
      <c r="X3035" s="40"/>
      <c r="Y3035" s="40"/>
    </row>
    <row r="3036" spans="5:25" x14ac:dyDescent="0.35">
      <c r="E3036" t="s">
        <v>220</v>
      </c>
      <c r="F3036" t="s">
        <v>2148</v>
      </c>
      <c r="G3036" s="28"/>
      <c r="X3036" s="40"/>
      <c r="Y3036" s="40"/>
    </row>
    <row r="3037" spans="5:25" x14ac:dyDescent="0.35">
      <c r="E3037" t="s">
        <v>220</v>
      </c>
      <c r="F3037" t="s">
        <v>2149</v>
      </c>
      <c r="G3037" s="28"/>
      <c r="X3037" s="40"/>
      <c r="Y3037" s="40"/>
    </row>
    <row r="3038" spans="5:25" x14ac:dyDescent="0.35">
      <c r="E3038" t="s">
        <v>220</v>
      </c>
      <c r="F3038" t="s">
        <v>498</v>
      </c>
      <c r="G3038" s="28"/>
      <c r="X3038" s="40"/>
      <c r="Y3038" s="40"/>
    </row>
    <row r="3039" spans="5:25" x14ac:dyDescent="0.35">
      <c r="E3039" t="s">
        <v>220</v>
      </c>
      <c r="F3039" t="s">
        <v>1075</v>
      </c>
      <c r="G3039" s="28"/>
      <c r="X3039" s="40"/>
      <c r="Y3039" s="40"/>
    </row>
    <row r="3040" spans="5:25" x14ac:dyDescent="0.35">
      <c r="E3040" t="s">
        <v>220</v>
      </c>
      <c r="F3040" t="s">
        <v>2150</v>
      </c>
      <c r="G3040" s="28"/>
      <c r="X3040" s="40"/>
      <c r="Y3040" s="40"/>
    </row>
    <row r="3041" spans="5:25" x14ac:dyDescent="0.35">
      <c r="E3041" t="s">
        <v>220</v>
      </c>
      <c r="F3041" t="s">
        <v>394</v>
      </c>
      <c r="G3041" s="28"/>
      <c r="X3041" s="40"/>
      <c r="Y3041" s="40"/>
    </row>
    <row r="3042" spans="5:25" x14ac:dyDescent="0.35">
      <c r="E3042" t="s">
        <v>220</v>
      </c>
      <c r="F3042" t="s">
        <v>588</v>
      </c>
      <c r="G3042" s="28"/>
      <c r="X3042" s="40"/>
      <c r="Y3042" s="40"/>
    </row>
    <row r="3043" spans="5:25" x14ac:dyDescent="0.35">
      <c r="E3043" t="s">
        <v>220</v>
      </c>
      <c r="F3043" t="s">
        <v>2151</v>
      </c>
      <c r="G3043" s="28"/>
      <c r="X3043" s="40"/>
      <c r="Y3043" s="40"/>
    </row>
    <row r="3044" spans="5:25" x14ac:dyDescent="0.35">
      <c r="E3044" t="s">
        <v>221</v>
      </c>
      <c r="F3044" t="s">
        <v>526</v>
      </c>
      <c r="G3044" s="28"/>
      <c r="X3044" s="40"/>
      <c r="Y3044" s="40"/>
    </row>
    <row r="3045" spans="5:25" x14ac:dyDescent="0.35">
      <c r="E3045" t="s">
        <v>221</v>
      </c>
      <c r="F3045" t="s">
        <v>2152</v>
      </c>
      <c r="G3045" s="28"/>
      <c r="X3045" s="40"/>
      <c r="Y3045" s="40"/>
    </row>
    <row r="3046" spans="5:25" x14ac:dyDescent="0.35">
      <c r="E3046" t="s">
        <v>221</v>
      </c>
      <c r="F3046" t="s">
        <v>400</v>
      </c>
      <c r="G3046" s="28"/>
      <c r="X3046" s="40"/>
      <c r="Y3046" s="40"/>
    </row>
    <row r="3047" spans="5:25" x14ac:dyDescent="0.35">
      <c r="E3047" t="s">
        <v>221</v>
      </c>
      <c r="F3047" t="s">
        <v>2153</v>
      </c>
      <c r="G3047" s="28"/>
      <c r="X3047" s="40"/>
      <c r="Y3047" s="40"/>
    </row>
    <row r="3048" spans="5:25" x14ac:dyDescent="0.35">
      <c r="E3048" t="s">
        <v>221</v>
      </c>
      <c r="F3048" t="s">
        <v>2154</v>
      </c>
      <c r="G3048" s="28"/>
      <c r="X3048" s="40"/>
      <c r="Y3048" s="40"/>
    </row>
    <row r="3049" spans="5:25" x14ac:dyDescent="0.35">
      <c r="E3049" t="s">
        <v>221</v>
      </c>
      <c r="F3049" t="s">
        <v>405</v>
      </c>
      <c r="G3049" s="28"/>
      <c r="X3049" s="40"/>
      <c r="Y3049" s="40"/>
    </row>
    <row r="3050" spans="5:25" x14ac:dyDescent="0.35">
      <c r="E3050" t="s">
        <v>221</v>
      </c>
      <c r="F3050" t="s">
        <v>407</v>
      </c>
      <c r="G3050" s="28"/>
      <c r="X3050" s="40"/>
      <c r="Y3050" s="40"/>
    </row>
    <row r="3051" spans="5:25" x14ac:dyDescent="0.35">
      <c r="E3051" t="s">
        <v>221</v>
      </c>
      <c r="F3051" t="s">
        <v>2155</v>
      </c>
      <c r="G3051" s="28"/>
      <c r="X3051" s="40"/>
      <c r="Y3051" s="40"/>
    </row>
    <row r="3052" spans="5:25" x14ac:dyDescent="0.35">
      <c r="E3052" t="s">
        <v>221</v>
      </c>
      <c r="F3052" t="s">
        <v>544</v>
      </c>
      <c r="G3052" s="28"/>
      <c r="X3052" s="40"/>
      <c r="Y3052" s="40"/>
    </row>
    <row r="3053" spans="5:25" x14ac:dyDescent="0.35">
      <c r="E3053" t="s">
        <v>221</v>
      </c>
      <c r="F3053" t="s">
        <v>2156</v>
      </c>
      <c r="G3053" s="28"/>
      <c r="X3053" s="40"/>
      <c r="Y3053" s="40"/>
    </row>
    <row r="3054" spans="5:25" x14ac:dyDescent="0.35">
      <c r="E3054" t="s">
        <v>221</v>
      </c>
      <c r="F3054" t="s">
        <v>359</v>
      </c>
      <c r="G3054" s="28"/>
      <c r="X3054" s="40"/>
      <c r="Y3054" s="40"/>
    </row>
    <row r="3055" spans="5:25" x14ac:dyDescent="0.35">
      <c r="E3055" t="s">
        <v>221</v>
      </c>
      <c r="F3055" t="s">
        <v>549</v>
      </c>
      <c r="G3055" s="28"/>
      <c r="X3055" s="40"/>
      <c r="Y3055" s="40"/>
    </row>
    <row r="3056" spans="5:25" x14ac:dyDescent="0.35">
      <c r="E3056" t="s">
        <v>221</v>
      </c>
      <c r="F3056" t="s">
        <v>418</v>
      </c>
      <c r="G3056" s="28"/>
      <c r="X3056" s="40"/>
      <c r="Y3056" s="40"/>
    </row>
    <row r="3057" spans="5:25" x14ac:dyDescent="0.35">
      <c r="E3057" t="s">
        <v>221</v>
      </c>
      <c r="F3057" t="s">
        <v>2157</v>
      </c>
      <c r="G3057" s="28"/>
      <c r="X3057" s="40"/>
      <c r="Y3057" s="40"/>
    </row>
    <row r="3058" spans="5:25" x14ac:dyDescent="0.35">
      <c r="E3058" t="s">
        <v>221</v>
      </c>
      <c r="F3058" t="s">
        <v>2158</v>
      </c>
      <c r="G3058" s="28"/>
      <c r="X3058" s="40"/>
      <c r="Y3058" s="40"/>
    </row>
    <row r="3059" spans="5:25" x14ac:dyDescent="0.35">
      <c r="E3059" t="s">
        <v>221</v>
      </c>
      <c r="F3059" t="s">
        <v>366</v>
      </c>
      <c r="G3059" s="28"/>
      <c r="X3059" s="40"/>
      <c r="Y3059" s="40"/>
    </row>
    <row r="3060" spans="5:25" x14ac:dyDescent="0.35">
      <c r="E3060" t="s">
        <v>221</v>
      </c>
      <c r="F3060" t="s">
        <v>1966</v>
      </c>
      <c r="G3060" s="28"/>
      <c r="X3060" s="40"/>
      <c r="Y3060" s="40"/>
    </row>
    <row r="3061" spans="5:25" x14ac:dyDescent="0.35">
      <c r="E3061" t="s">
        <v>221</v>
      </c>
      <c r="F3061" t="s">
        <v>2159</v>
      </c>
      <c r="G3061" s="28"/>
      <c r="X3061" s="40"/>
      <c r="Y3061" s="40"/>
    </row>
    <row r="3062" spans="5:25" x14ac:dyDescent="0.35">
      <c r="E3062" t="s">
        <v>221</v>
      </c>
      <c r="F3062" t="s">
        <v>2160</v>
      </c>
      <c r="G3062" s="28"/>
      <c r="X3062" s="40"/>
      <c r="Y3062" s="40"/>
    </row>
    <row r="3063" spans="5:25" x14ac:dyDescent="0.35">
      <c r="E3063" t="s">
        <v>221</v>
      </c>
      <c r="F3063" t="s">
        <v>2161</v>
      </c>
      <c r="G3063" s="28"/>
      <c r="X3063" s="40"/>
      <c r="Y3063" s="40"/>
    </row>
    <row r="3064" spans="5:25" x14ac:dyDescent="0.35">
      <c r="E3064" t="s">
        <v>221</v>
      </c>
      <c r="F3064" t="s">
        <v>831</v>
      </c>
      <c r="G3064" s="28"/>
      <c r="X3064" s="40"/>
      <c r="Y3064" s="40"/>
    </row>
    <row r="3065" spans="5:25" x14ac:dyDescent="0.35">
      <c r="E3065" t="s">
        <v>221</v>
      </c>
      <c r="F3065" t="s">
        <v>426</v>
      </c>
      <c r="G3065" s="28"/>
      <c r="X3065" s="40"/>
      <c r="Y3065" s="40"/>
    </row>
    <row r="3066" spans="5:25" x14ac:dyDescent="0.35">
      <c r="E3066" t="s">
        <v>221</v>
      </c>
      <c r="F3066" t="s">
        <v>867</v>
      </c>
      <c r="G3066" s="28"/>
      <c r="X3066" s="40"/>
      <c r="Y3066" s="40"/>
    </row>
    <row r="3067" spans="5:25" x14ac:dyDescent="0.35">
      <c r="E3067" t="s">
        <v>221</v>
      </c>
      <c r="F3067" t="s">
        <v>2162</v>
      </c>
      <c r="G3067" s="28"/>
      <c r="X3067" s="40"/>
      <c r="Y3067" s="40"/>
    </row>
    <row r="3068" spans="5:25" x14ac:dyDescent="0.35">
      <c r="E3068" t="s">
        <v>221</v>
      </c>
      <c r="F3068" t="s">
        <v>2163</v>
      </c>
      <c r="G3068" s="28"/>
      <c r="X3068" s="40"/>
      <c r="Y3068" s="40"/>
    </row>
    <row r="3069" spans="5:25" x14ac:dyDescent="0.35">
      <c r="E3069" t="s">
        <v>221</v>
      </c>
      <c r="F3069" t="s">
        <v>2164</v>
      </c>
      <c r="G3069" s="28"/>
      <c r="X3069" s="40"/>
      <c r="Y3069" s="40"/>
    </row>
    <row r="3070" spans="5:25" x14ac:dyDescent="0.35">
      <c r="E3070" t="s">
        <v>221</v>
      </c>
      <c r="F3070" t="s">
        <v>719</v>
      </c>
      <c r="G3070" s="28"/>
      <c r="X3070" s="40"/>
      <c r="Y3070" s="40"/>
    </row>
    <row r="3071" spans="5:25" x14ac:dyDescent="0.35">
      <c r="E3071" t="s">
        <v>221</v>
      </c>
      <c r="F3071" t="s">
        <v>575</v>
      </c>
      <c r="G3071" s="28"/>
      <c r="X3071" s="40"/>
      <c r="Y3071" s="40"/>
    </row>
    <row r="3072" spans="5:25" x14ac:dyDescent="0.35">
      <c r="E3072" t="s">
        <v>221</v>
      </c>
      <c r="F3072" t="s">
        <v>2165</v>
      </c>
      <c r="G3072" s="28"/>
      <c r="X3072" s="40"/>
      <c r="Y3072" s="40"/>
    </row>
    <row r="3073" spans="5:25" x14ac:dyDescent="0.35">
      <c r="E3073" t="s">
        <v>221</v>
      </c>
      <c r="F3073" t="s">
        <v>2166</v>
      </c>
      <c r="G3073" s="28"/>
      <c r="X3073" s="40"/>
      <c r="Y3073" s="40"/>
    </row>
    <row r="3074" spans="5:25" x14ac:dyDescent="0.35">
      <c r="E3074" t="s">
        <v>221</v>
      </c>
      <c r="F3074" t="s">
        <v>2167</v>
      </c>
      <c r="G3074" s="28"/>
      <c r="X3074" s="40"/>
      <c r="Y3074" s="40"/>
    </row>
    <row r="3075" spans="5:25" x14ac:dyDescent="0.35">
      <c r="E3075" t="s">
        <v>221</v>
      </c>
      <c r="F3075" t="s">
        <v>2168</v>
      </c>
      <c r="G3075" s="28"/>
      <c r="X3075" s="40"/>
      <c r="Y3075" s="40"/>
    </row>
    <row r="3076" spans="5:25" x14ac:dyDescent="0.35">
      <c r="E3076" t="s">
        <v>221</v>
      </c>
      <c r="F3076" t="s">
        <v>988</v>
      </c>
      <c r="G3076" s="28"/>
      <c r="X3076" s="40"/>
      <c r="Y3076" s="40"/>
    </row>
    <row r="3077" spans="5:25" x14ac:dyDescent="0.35">
      <c r="E3077" t="s">
        <v>221</v>
      </c>
      <c r="F3077" t="s">
        <v>1507</v>
      </c>
      <c r="G3077" s="28"/>
      <c r="X3077" s="40"/>
      <c r="Y3077" s="40"/>
    </row>
    <row r="3078" spans="5:25" x14ac:dyDescent="0.35">
      <c r="E3078" t="s">
        <v>221</v>
      </c>
      <c r="F3078" t="s">
        <v>2169</v>
      </c>
      <c r="G3078" s="28"/>
      <c r="X3078" s="40"/>
      <c r="Y3078" s="40"/>
    </row>
    <row r="3079" spans="5:25" x14ac:dyDescent="0.35">
      <c r="E3079" t="s">
        <v>221</v>
      </c>
      <c r="F3079" t="s">
        <v>2170</v>
      </c>
      <c r="G3079" s="28"/>
      <c r="X3079" s="40"/>
      <c r="Y3079" s="40"/>
    </row>
    <row r="3080" spans="5:25" x14ac:dyDescent="0.35">
      <c r="E3080" t="s">
        <v>221</v>
      </c>
      <c r="F3080" t="s">
        <v>2171</v>
      </c>
      <c r="G3080" s="28"/>
      <c r="X3080" s="40"/>
      <c r="Y3080" s="40"/>
    </row>
    <row r="3081" spans="5:25" x14ac:dyDescent="0.35">
      <c r="E3081" t="s">
        <v>221</v>
      </c>
      <c r="F3081" t="s">
        <v>2172</v>
      </c>
      <c r="G3081" s="28"/>
      <c r="X3081" s="40"/>
      <c r="Y3081" s="40"/>
    </row>
    <row r="3082" spans="5:25" x14ac:dyDescent="0.35">
      <c r="E3082" t="s">
        <v>221</v>
      </c>
      <c r="F3082" t="s">
        <v>2173</v>
      </c>
      <c r="G3082" s="28"/>
      <c r="X3082" s="40"/>
      <c r="Y3082" s="40"/>
    </row>
    <row r="3083" spans="5:25" x14ac:dyDescent="0.35">
      <c r="E3083" t="s">
        <v>222</v>
      </c>
      <c r="F3083" t="s">
        <v>526</v>
      </c>
      <c r="G3083" s="28"/>
      <c r="X3083" s="40"/>
      <c r="Y3083" s="40"/>
    </row>
    <row r="3084" spans="5:25" x14ac:dyDescent="0.35">
      <c r="E3084" t="s">
        <v>222</v>
      </c>
      <c r="F3084" t="s">
        <v>1589</v>
      </c>
      <c r="G3084" s="28"/>
      <c r="X3084" s="40"/>
      <c r="Y3084" s="40"/>
    </row>
    <row r="3085" spans="5:25" x14ac:dyDescent="0.35">
      <c r="E3085" t="s">
        <v>222</v>
      </c>
      <c r="F3085" t="s">
        <v>2174</v>
      </c>
      <c r="G3085" s="28"/>
      <c r="X3085" s="40"/>
      <c r="Y3085" s="40"/>
    </row>
    <row r="3086" spans="5:25" x14ac:dyDescent="0.35">
      <c r="E3086" t="s">
        <v>222</v>
      </c>
      <c r="F3086" t="s">
        <v>2175</v>
      </c>
      <c r="G3086" s="28"/>
      <c r="X3086" s="40"/>
      <c r="Y3086" s="40"/>
    </row>
    <row r="3087" spans="5:25" x14ac:dyDescent="0.35">
      <c r="E3087" t="s">
        <v>222</v>
      </c>
      <c r="F3087" t="s">
        <v>844</v>
      </c>
      <c r="G3087" s="28"/>
      <c r="X3087" s="40"/>
      <c r="Y3087" s="40"/>
    </row>
    <row r="3088" spans="5:25" x14ac:dyDescent="0.35">
      <c r="E3088" t="s">
        <v>222</v>
      </c>
      <c r="F3088" t="s">
        <v>1472</v>
      </c>
      <c r="G3088" s="28"/>
      <c r="X3088" s="40"/>
      <c r="Y3088" s="40"/>
    </row>
    <row r="3089" spans="5:25" x14ac:dyDescent="0.35">
      <c r="E3089" t="s">
        <v>222</v>
      </c>
      <c r="F3089" t="s">
        <v>2176</v>
      </c>
      <c r="G3089" s="28"/>
      <c r="X3089" s="40"/>
      <c r="Y3089" s="40"/>
    </row>
    <row r="3090" spans="5:25" x14ac:dyDescent="0.35">
      <c r="E3090" t="s">
        <v>222</v>
      </c>
      <c r="F3090" t="s">
        <v>2177</v>
      </c>
      <c r="G3090" s="28"/>
      <c r="X3090" s="40"/>
      <c r="Y3090" s="40"/>
    </row>
    <row r="3091" spans="5:25" x14ac:dyDescent="0.35">
      <c r="E3091" t="s">
        <v>222</v>
      </c>
      <c r="F3091" t="s">
        <v>1148</v>
      </c>
      <c r="G3091" s="28"/>
      <c r="X3091" s="40"/>
      <c r="Y3091" s="40"/>
    </row>
    <row r="3092" spans="5:25" x14ac:dyDescent="0.35">
      <c r="E3092" t="s">
        <v>222</v>
      </c>
      <c r="F3092" t="s">
        <v>405</v>
      </c>
      <c r="G3092" s="28"/>
      <c r="X3092" s="40"/>
      <c r="Y3092" s="40"/>
    </row>
    <row r="3093" spans="5:25" x14ac:dyDescent="0.35">
      <c r="E3093" t="s">
        <v>222</v>
      </c>
      <c r="F3093" t="s">
        <v>407</v>
      </c>
      <c r="G3093" s="28"/>
      <c r="X3093" s="40"/>
      <c r="Y3093" s="40"/>
    </row>
    <row r="3094" spans="5:25" x14ac:dyDescent="0.35">
      <c r="E3094" t="s">
        <v>222</v>
      </c>
      <c r="F3094" t="s">
        <v>410</v>
      </c>
      <c r="G3094" s="28"/>
      <c r="X3094" s="40"/>
      <c r="Y3094" s="40"/>
    </row>
    <row r="3095" spans="5:25" x14ac:dyDescent="0.35">
      <c r="E3095" t="s">
        <v>222</v>
      </c>
      <c r="F3095" t="s">
        <v>2178</v>
      </c>
      <c r="G3095" s="28"/>
      <c r="X3095" s="40"/>
      <c r="Y3095" s="40"/>
    </row>
    <row r="3096" spans="5:25" x14ac:dyDescent="0.35">
      <c r="E3096" t="s">
        <v>222</v>
      </c>
      <c r="F3096" t="s">
        <v>676</v>
      </c>
      <c r="G3096" s="28"/>
      <c r="X3096" s="40"/>
      <c r="Y3096" s="40"/>
    </row>
    <row r="3097" spans="5:25" x14ac:dyDescent="0.35">
      <c r="E3097" t="s">
        <v>222</v>
      </c>
      <c r="F3097" t="s">
        <v>2179</v>
      </c>
      <c r="G3097" s="28"/>
      <c r="X3097" s="40"/>
      <c r="Y3097" s="40"/>
    </row>
    <row r="3098" spans="5:25" x14ac:dyDescent="0.35">
      <c r="E3098" t="s">
        <v>222</v>
      </c>
      <c r="F3098" t="s">
        <v>544</v>
      </c>
      <c r="G3098" s="28"/>
      <c r="X3098" s="40"/>
      <c r="Y3098" s="40"/>
    </row>
    <row r="3099" spans="5:25" x14ac:dyDescent="0.35">
      <c r="E3099" t="s">
        <v>222</v>
      </c>
      <c r="F3099" t="s">
        <v>1445</v>
      </c>
      <c r="G3099" s="28"/>
      <c r="X3099" s="40"/>
      <c r="Y3099" s="40"/>
    </row>
    <row r="3100" spans="5:25" x14ac:dyDescent="0.35">
      <c r="E3100" t="s">
        <v>222</v>
      </c>
      <c r="F3100" t="s">
        <v>2180</v>
      </c>
      <c r="G3100" s="28"/>
      <c r="X3100" s="40"/>
      <c r="Y3100" s="40"/>
    </row>
    <row r="3101" spans="5:25" x14ac:dyDescent="0.35">
      <c r="E3101" t="s">
        <v>222</v>
      </c>
      <c r="F3101" t="s">
        <v>1805</v>
      </c>
      <c r="G3101" s="28"/>
      <c r="X3101" s="40"/>
      <c r="Y3101" s="40"/>
    </row>
    <row r="3102" spans="5:25" x14ac:dyDescent="0.35">
      <c r="E3102" t="s">
        <v>222</v>
      </c>
      <c r="F3102" t="s">
        <v>2181</v>
      </c>
      <c r="G3102" s="28"/>
      <c r="X3102" s="40"/>
      <c r="Y3102" s="40"/>
    </row>
    <row r="3103" spans="5:25" x14ac:dyDescent="0.35">
      <c r="E3103" t="s">
        <v>222</v>
      </c>
      <c r="F3103" t="s">
        <v>1693</v>
      </c>
      <c r="G3103" s="28"/>
      <c r="X3103" s="40"/>
      <c r="Y3103" s="40"/>
    </row>
    <row r="3104" spans="5:25" x14ac:dyDescent="0.35">
      <c r="E3104" t="s">
        <v>222</v>
      </c>
      <c r="F3104" t="s">
        <v>418</v>
      </c>
      <c r="G3104" s="28"/>
      <c r="X3104" s="40"/>
      <c r="Y3104" s="40"/>
    </row>
    <row r="3105" spans="5:25" x14ac:dyDescent="0.35">
      <c r="E3105" t="s">
        <v>222</v>
      </c>
      <c r="F3105" t="s">
        <v>1020</v>
      </c>
      <c r="G3105" s="28"/>
      <c r="X3105" s="40"/>
      <c r="Y3105" s="40"/>
    </row>
    <row r="3106" spans="5:25" x14ac:dyDescent="0.35">
      <c r="E3106" t="s">
        <v>222</v>
      </c>
      <c r="F3106" t="s">
        <v>2182</v>
      </c>
      <c r="G3106" s="28"/>
      <c r="X3106" s="40"/>
      <c r="Y3106" s="40"/>
    </row>
    <row r="3107" spans="5:25" x14ac:dyDescent="0.35">
      <c r="E3107" t="s">
        <v>222</v>
      </c>
      <c r="F3107" t="s">
        <v>781</v>
      </c>
      <c r="G3107" s="28"/>
      <c r="X3107" s="40"/>
      <c r="Y3107" s="40"/>
    </row>
    <row r="3108" spans="5:25" x14ac:dyDescent="0.35">
      <c r="E3108" t="s">
        <v>222</v>
      </c>
      <c r="F3108" t="s">
        <v>1162</v>
      </c>
      <c r="G3108" s="28"/>
      <c r="X3108" s="40"/>
      <c r="Y3108" s="40"/>
    </row>
    <row r="3109" spans="5:25" x14ac:dyDescent="0.35">
      <c r="E3109" t="s">
        <v>222</v>
      </c>
      <c r="F3109" t="s">
        <v>365</v>
      </c>
      <c r="G3109" s="28"/>
      <c r="X3109" s="40"/>
      <c r="Y3109" s="40"/>
    </row>
    <row r="3110" spans="5:25" x14ac:dyDescent="0.35">
      <c r="E3110" t="s">
        <v>222</v>
      </c>
      <c r="F3110" t="s">
        <v>366</v>
      </c>
      <c r="G3110" s="28"/>
      <c r="X3110" s="40"/>
      <c r="Y3110" s="40"/>
    </row>
    <row r="3111" spans="5:25" x14ac:dyDescent="0.35">
      <c r="E3111" t="s">
        <v>222</v>
      </c>
      <c r="F3111" t="s">
        <v>311</v>
      </c>
      <c r="G3111" s="28"/>
      <c r="X3111" s="40"/>
      <c r="Y3111" s="40"/>
    </row>
    <row r="3112" spans="5:25" x14ac:dyDescent="0.35">
      <c r="E3112" t="s">
        <v>222</v>
      </c>
      <c r="F3112" t="s">
        <v>2183</v>
      </c>
      <c r="G3112" s="28"/>
      <c r="X3112" s="40"/>
      <c r="Y3112" s="40"/>
    </row>
    <row r="3113" spans="5:25" x14ac:dyDescent="0.35">
      <c r="E3113" t="s">
        <v>222</v>
      </c>
      <c r="F3113" t="s">
        <v>2184</v>
      </c>
      <c r="G3113" s="28"/>
      <c r="X3113" s="40"/>
      <c r="Y3113" s="40"/>
    </row>
    <row r="3114" spans="5:25" x14ac:dyDescent="0.35">
      <c r="E3114" t="s">
        <v>222</v>
      </c>
      <c r="F3114" t="s">
        <v>2185</v>
      </c>
      <c r="G3114" s="28"/>
      <c r="X3114" s="40"/>
      <c r="Y3114" s="40"/>
    </row>
    <row r="3115" spans="5:25" x14ac:dyDescent="0.35">
      <c r="E3115" t="s">
        <v>222</v>
      </c>
      <c r="F3115" t="s">
        <v>425</v>
      </c>
      <c r="G3115" s="28"/>
      <c r="X3115" s="40"/>
      <c r="Y3115" s="40"/>
    </row>
    <row r="3116" spans="5:25" x14ac:dyDescent="0.35">
      <c r="E3116" t="s">
        <v>222</v>
      </c>
      <c r="F3116" t="s">
        <v>2186</v>
      </c>
      <c r="G3116" s="28"/>
      <c r="X3116" s="40"/>
      <c r="Y3116" s="40"/>
    </row>
    <row r="3117" spans="5:25" x14ac:dyDescent="0.35">
      <c r="E3117" t="s">
        <v>222</v>
      </c>
      <c r="F3117" t="s">
        <v>426</v>
      </c>
      <c r="G3117" s="28"/>
      <c r="X3117" s="40"/>
      <c r="Y3117" s="40"/>
    </row>
    <row r="3118" spans="5:25" x14ac:dyDescent="0.35">
      <c r="E3118" t="s">
        <v>222</v>
      </c>
      <c r="F3118" t="s">
        <v>2187</v>
      </c>
      <c r="G3118" s="28"/>
      <c r="X3118" s="40"/>
      <c r="Y3118" s="40"/>
    </row>
    <row r="3119" spans="5:25" x14ac:dyDescent="0.35">
      <c r="E3119" t="s">
        <v>222</v>
      </c>
      <c r="F3119" t="s">
        <v>2188</v>
      </c>
      <c r="G3119" s="28"/>
      <c r="X3119" s="40"/>
      <c r="Y3119" s="40"/>
    </row>
    <row r="3120" spans="5:25" x14ac:dyDescent="0.35">
      <c r="E3120" t="s">
        <v>222</v>
      </c>
      <c r="F3120" t="s">
        <v>2189</v>
      </c>
      <c r="G3120" s="28"/>
      <c r="X3120" s="40"/>
      <c r="Y3120" s="40"/>
    </row>
    <row r="3121" spans="5:25" x14ac:dyDescent="0.35">
      <c r="E3121" t="s">
        <v>222</v>
      </c>
      <c r="F3121" t="s">
        <v>1174</v>
      </c>
      <c r="G3121" s="28"/>
      <c r="X3121" s="40"/>
      <c r="Y3121" s="40"/>
    </row>
    <row r="3122" spans="5:25" x14ac:dyDescent="0.35">
      <c r="E3122" t="s">
        <v>222</v>
      </c>
      <c r="F3122" t="s">
        <v>1176</v>
      </c>
      <c r="G3122" s="28"/>
      <c r="X3122" s="40"/>
      <c r="Y3122" s="40"/>
    </row>
    <row r="3123" spans="5:25" x14ac:dyDescent="0.35">
      <c r="E3123" t="s">
        <v>222</v>
      </c>
      <c r="F3123" t="s">
        <v>2190</v>
      </c>
      <c r="G3123" s="28"/>
      <c r="X3123" s="40"/>
      <c r="Y3123" s="40"/>
    </row>
    <row r="3124" spans="5:25" x14ac:dyDescent="0.35">
      <c r="E3124" t="s">
        <v>222</v>
      </c>
      <c r="F3124" t="s">
        <v>379</v>
      </c>
      <c r="G3124" s="28"/>
      <c r="X3124" s="40"/>
      <c r="Y3124" s="40"/>
    </row>
    <row r="3125" spans="5:25" x14ac:dyDescent="0.35">
      <c r="E3125" t="s">
        <v>222</v>
      </c>
      <c r="F3125" t="s">
        <v>2191</v>
      </c>
      <c r="G3125" s="28"/>
      <c r="X3125" s="40"/>
      <c r="Y3125" s="40"/>
    </row>
    <row r="3126" spans="5:25" x14ac:dyDescent="0.35">
      <c r="E3126" t="s">
        <v>222</v>
      </c>
      <c r="F3126" t="s">
        <v>834</v>
      </c>
      <c r="G3126" s="28"/>
      <c r="X3126" s="40"/>
      <c r="Y3126" s="40"/>
    </row>
    <row r="3127" spans="5:25" x14ac:dyDescent="0.35">
      <c r="E3127" t="s">
        <v>222</v>
      </c>
      <c r="F3127" t="s">
        <v>2192</v>
      </c>
      <c r="G3127" s="28"/>
      <c r="X3127" s="40"/>
      <c r="Y3127" s="40"/>
    </row>
    <row r="3128" spans="5:25" x14ac:dyDescent="0.35">
      <c r="E3128" t="s">
        <v>222</v>
      </c>
      <c r="F3128" t="s">
        <v>2193</v>
      </c>
      <c r="G3128" s="28"/>
      <c r="X3128" s="40"/>
      <c r="Y3128" s="40"/>
    </row>
    <row r="3129" spans="5:25" x14ac:dyDescent="0.35">
      <c r="E3129" t="s">
        <v>222</v>
      </c>
      <c r="F3129" t="s">
        <v>2194</v>
      </c>
      <c r="G3129" s="28"/>
      <c r="X3129" s="40"/>
      <c r="Y3129" s="40"/>
    </row>
    <row r="3130" spans="5:25" x14ac:dyDescent="0.35">
      <c r="E3130" t="s">
        <v>222</v>
      </c>
      <c r="F3130" t="s">
        <v>719</v>
      </c>
      <c r="G3130" s="28"/>
      <c r="X3130" s="40"/>
      <c r="Y3130" s="40"/>
    </row>
    <row r="3131" spans="5:25" x14ac:dyDescent="0.35">
      <c r="E3131" t="s">
        <v>222</v>
      </c>
      <c r="F3131" t="s">
        <v>437</v>
      </c>
      <c r="G3131" s="28"/>
      <c r="X3131" s="40"/>
      <c r="Y3131" s="40"/>
    </row>
    <row r="3132" spans="5:25" x14ac:dyDescent="0.35">
      <c r="E3132" t="s">
        <v>222</v>
      </c>
      <c r="F3132" t="s">
        <v>1613</v>
      </c>
      <c r="G3132" s="28"/>
      <c r="X3132" s="40"/>
      <c r="Y3132" s="40"/>
    </row>
    <row r="3133" spans="5:25" x14ac:dyDescent="0.35">
      <c r="E3133" t="s">
        <v>222</v>
      </c>
      <c r="F3133" t="s">
        <v>2195</v>
      </c>
      <c r="G3133" s="28"/>
      <c r="X3133" s="40"/>
      <c r="Y3133" s="40"/>
    </row>
    <row r="3134" spans="5:25" x14ac:dyDescent="0.35">
      <c r="E3134" t="s">
        <v>222</v>
      </c>
      <c r="F3134" t="s">
        <v>2196</v>
      </c>
      <c r="G3134" s="28"/>
      <c r="X3134" s="40"/>
      <c r="Y3134" s="40"/>
    </row>
    <row r="3135" spans="5:25" x14ac:dyDescent="0.35">
      <c r="E3135" t="s">
        <v>222</v>
      </c>
      <c r="F3135" t="s">
        <v>878</v>
      </c>
      <c r="G3135" s="28"/>
      <c r="X3135" s="40"/>
      <c r="Y3135" s="40"/>
    </row>
    <row r="3136" spans="5:25" x14ac:dyDescent="0.35">
      <c r="E3136" t="s">
        <v>222</v>
      </c>
      <c r="F3136" t="s">
        <v>1244</v>
      </c>
      <c r="G3136" s="28"/>
      <c r="X3136" s="40"/>
      <c r="Y3136" s="40"/>
    </row>
    <row r="3137" spans="5:25" x14ac:dyDescent="0.35">
      <c r="E3137" t="s">
        <v>222</v>
      </c>
      <c r="F3137" t="s">
        <v>2004</v>
      </c>
      <c r="G3137" s="28"/>
      <c r="X3137" s="40"/>
      <c r="Y3137" s="40"/>
    </row>
    <row r="3138" spans="5:25" x14ac:dyDescent="0.35">
      <c r="E3138" t="s">
        <v>222</v>
      </c>
      <c r="F3138" t="s">
        <v>2141</v>
      </c>
      <c r="G3138" s="28"/>
      <c r="X3138" s="40"/>
      <c r="Y3138" s="40"/>
    </row>
    <row r="3139" spans="5:25" x14ac:dyDescent="0.35">
      <c r="E3139" t="s">
        <v>222</v>
      </c>
      <c r="F3139" t="s">
        <v>2197</v>
      </c>
      <c r="G3139" s="28"/>
      <c r="X3139" s="40"/>
      <c r="Y3139" s="40"/>
    </row>
    <row r="3140" spans="5:25" x14ac:dyDescent="0.35">
      <c r="E3140" t="s">
        <v>222</v>
      </c>
      <c r="F3140" t="s">
        <v>2198</v>
      </c>
      <c r="G3140" s="28"/>
      <c r="X3140" s="40"/>
      <c r="Y3140" s="40"/>
    </row>
    <row r="3141" spans="5:25" x14ac:dyDescent="0.35">
      <c r="E3141" t="s">
        <v>222</v>
      </c>
      <c r="F3141" t="s">
        <v>2199</v>
      </c>
      <c r="G3141" s="28"/>
      <c r="X3141" s="40"/>
      <c r="Y3141" s="40"/>
    </row>
    <row r="3142" spans="5:25" x14ac:dyDescent="0.35">
      <c r="E3142" t="s">
        <v>222</v>
      </c>
      <c r="F3142" t="s">
        <v>2200</v>
      </c>
      <c r="G3142" s="28"/>
      <c r="X3142" s="40"/>
      <c r="Y3142" s="40"/>
    </row>
    <row r="3143" spans="5:25" x14ac:dyDescent="0.35">
      <c r="E3143" t="s">
        <v>222</v>
      </c>
      <c r="F3143" t="s">
        <v>638</v>
      </c>
      <c r="G3143" s="28"/>
      <c r="X3143" s="40"/>
      <c r="Y3143" s="40"/>
    </row>
    <row r="3144" spans="5:25" x14ac:dyDescent="0.35">
      <c r="E3144" t="s">
        <v>222</v>
      </c>
      <c r="F3144" t="s">
        <v>2201</v>
      </c>
      <c r="G3144" s="28"/>
      <c r="X3144" s="40"/>
      <c r="Y3144" s="40"/>
    </row>
    <row r="3145" spans="5:25" x14ac:dyDescent="0.35">
      <c r="E3145" t="s">
        <v>222</v>
      </c>
      <c r="F3145" t="s">
        <v>1093</v>
      </c>
      <c r="G3145" s="28"/>
      <c r="X3145" s="40"/>
      <c r="Y3145" s="40"/>
    </row>
    <row r="3146" spans="5:25" x14ac:dyDescent="0.35">
      <c r="E3146" s="42" t="s">
        <v>222</v>
      </c>
      <c r="F3146" s="42" t="s">
        <v>2202</v>
      </c>
      <c r="X3146" s="40"/>
      <c r="Y3146" s="40"/>
    </row>
    <row r="3147" spans="5:25" x14ac:dyDescent="0.35">
      <c r="E3147" s="42" t="s">
        <v>222</v>
      </c>
      <c r="F3147" s="42" t="s">
        <v>1854</v>
      </c>
      <c r="X3147" s="40"/>
      <c r="Y3147" s="40"/>
    </row>
    <row r="3148" spans="5:25" x14ac:dyDescent="0.35">
      <c r="E3148" s="42" t="s">
        <v>222</v>
      </c>
      <c r="F3148" s="42" t="s">
        <v>2203</v>
      </c>
      <c r="X3148" s="40"/>
      <c r="Y3148" s="40"/>
    </row>
    <row r="3149" spans="5:25" x14ac:dyDescent="0.35">
      <c r="E3149" s="42" t="s">
        <v>222</v>
      </c>
      <c r="F3149" s="42" t="s">
        <v>394</v>
      </c>
      <c r="X3149" s="40"/>
      <c r="Y3149" s="40"/>
    </row>
    <row r="3150" spans="5:25" x14ac:dyDescent="0.35">
      <c r="E3150" s="42" t="s">
        <v>222</v>
      </c>
      <c r="F3150" s="42" t="s">
        <v>2204</v>
      </c>
      <c r="X3150" s="40"/>
      <c r="Y3150" s="40"/>
    </row>
    <row r="3151" spans="5:25" x14ac:dyDescent="0.35">
      <c r="E3151" s="42" t="s">
        <v>222</v>
      </c>
      <c r="F3151" s="42" t="s">
        <v>2205</v>
      </c>
      <c r="X3151" s="40"/>
      <c r="Y3151" s="40"/>
    </row>
    <row r="3152" spans="5:25" x14ac:dyDescent="0.35">
      <c r="E3152" s="42" t="s">
        <v>222</v>
      </c>
      <c r="F3152" s="42" t="s">
        <v>2206</v>
      </c>
      <c r="X3152" s="40"/>
      <c r="Y3152" s="40"/>
    </row>
    <row r="3153" spans="5:25" x14ac:dyDescent="0.35">
      <c r="E3153" s="42" t="s">
        <v>222</v>
      </c>
      <c r="F3153" s="42" t="s">
        <v>805</v>
      </c>
      <c r="X3153" s="40"/>
      <c r="Y3153" s="40"/>
    </row>
    <row r="3154" spans="5:25" x14ac:dyDescent="0.35">
      <c r="E3154" s="42" t="s">
        <v>222</v>
      </c>
      <c r="F3154" s="42" t="s">
        <v>1622</v>
      </c>
      <c r="X3154" s="40"/>
      <c r="Y3154" s="40"/>
    </row>
    <row r="3155" spans="5:25" x14ac:dyDescent="0.35">
      <c r="E3155" s="42" t="s">
        <v>223</v>
      </c>
      <c r="F3155" s="42" t="s">
        <v>332</v>
      </c>
      <c r="X3155" s="40"/>
      <c r="Y3155" s="40"/>
    </row>
    <row r="3156" spans="5:25" x14ac:dyDescent="0.35">
      <c r="E3156" s="42" t="s">
        <v>223</v>
      </c>
      <c r="F3156" s="42" t="s">
        <v>1797</v>
      </c>
      <c r="X3156" s="40"/>
      <c r="Y3156" s="40"/>
    </row>
    <row r="3157" spans="5:25" x14ac:dyDescent="0.35">
      <c r="E3157" s="42" t="s">
        <v>223</v>
      </c>
      <c r="F3157" s="42" t="s">
        <v>401</v>
      </c>
      <c r="X3157" s="40"/>
      <c r="Y3157" s="40"/>
    </row>
    <row r="3158" spans="5:25" x14ac:dyDescent="0.35">
      <c r="E3158" s="42" t="s">
        <v>223</v>
      </c>
      <c r="F3158" s="42" t="s">
        <v>2207</v>
      </c>
      <c r="X3158" s="40"/>
      <c r="Y3158" s="40"/>
    </row>
    <row r="3159" spans="5:25" x14ac:dyDescent="0.35">
      <c r="E3159" s="42" t="s">
        <v>223</v>
      </c>
      <c r="F3159" s="42" t="s">
        <v>2208</v>
      </c>
      <c r="X3159" s="40"/>
      <c r="Y3159" s="40"/>
    </row>
    <row r="3160" spans="5:25" x14ac:dyDescent="0.35">
      <c r="E3160" s="42" t="s">
        <v>223</v>
      </c>
      <c r="F3160" s="42" t="s">
        <v>2209</v>
      </c>
      <c r="X3160" s="40"/>
      <c r="Y3160" s="40"/>
    </row>
    <row r="3161" spans="5:25" x14ac:dyDescent="0.35">
      <c r="E3161" s="42" t="s">
        <v>223</v>
      </c>
      <c r="F3161" s="42" t="s">
        <v>337</v>
      </c>
      <c r="X3161" s="40"/>
      <c r="Y3161" s="40"/>
    </row>
    <row r="3162" spans="5:25" x14ac:dyDescent="0.35">
      <c r="E3162" s="42" t="s">
        <v>223</v>
      </c>
      <c r="F3162" s="42" t="s">
        <v>343</v>
      </c>
      <c r="X3162" s="40"/>
      <c r="Y3162" s="40"/>
    </row>
    <row r="3163" spans="5:25" x14ac:dyDescent="0.35">
      <c r="E3163" s="42" t="s">
        <v>223</v>
      </c>
      <c r="F3163" s="42" t="s">
        <v>2210</v>
      </c>
      <c r="X3163" s="40"/>
      <c r="Y3163" s="40"/>
    </row>
    <row r="3164" spans="5:25" x14ac:dyDescent="0.35">
      <c r="E3164" s="42" t="s">
        <v>223</v>
      </c>
      <c r="F3164" s="42" t="s">
        <v>358</v>
      </c>
      <c r="X3164" s="40"/>
      <c r="Y3164" s="40"/>
    </row>
    <row r="3165" spans="5:25" x14ac:dyDescent="0.35">
      <c r="E3165" s="42" t="s">
        <v>223</v>
      </c>
      <c r="F3165" s="42" t="s">
        <v>687</v>
      </c>
      <c r="X3165" s="40"/>
      <c r="Y3165" s="40"/>
    </row>
    <row r="3166" spans="5:25" x14ac:dyDescent="0.35">
      <c r="E3166" s="42" t="s">
        <v>223</v>
      </c>
      <c r="F3166" s="42" t="s">
        <v>418</v>
      </c>
      <c r="X3166" s="40"/>
      <c r="Y3166" s="40"/>
    </row>
    <row r="3167" spans="5:25" x14ac:dyDescent="0.35">
      <c r="E3167" s="42" t="s">
        <v>223</v>
      </c>
      <c r="F3167" s="42" t="s">
        <v>2211</v>
      </c>
      <c r="X3167" s="40"/>
      <c r="Y3167" s="40"/>
    </row>
    <row r="3168" spans="5:25" x14ac:dyDescent="0.35">
      <c r="E3168" s="42" t="s">
        <v>223</v>
      </c>
      <c r="F3168" s="42" t="s">
        <v>1104</v>
      </c>
      <c r="X3168" s="40"/>
      <c r="Y3168" s="40"/>
    </row>
    <row r="3169" spans="5:25" x14ac:dyDescent="0.35">
      <c r="E3169" s="42" t="s">
        <v>223</v>
      </c>
      <c r="F3169" s="42" t="s">
        <v>695</v>
      </c>
      <c r="X3169" s="40"/>
      <c r="Y3169" s="40"/>
    </row>
    <row r="3170" spans="5:25" x14ac:dyDescent="0.35">
      <c r="E3170" s="42" t="s">
        <v>223</v>
      </c>
      <c r="F3170" s="42" t="s">
        <v>2212</v>
      </c>
      <c r="X3170" s="40"/>
      <c r="Y3170" s="40"/>
    </row>
    <row r="3171" spans="5:25" x14ac:dyDescent="0.35">
      <c r="E3171" s="42" t="s">
        <v>223</v>
      </c>
      <c r="F3171" s="42" t="s">
        <v>779</v>
      </c>
      <c r="X3171" s="40"/>
      <c r="Y3171" s="40"/>
    </row>
    <row r="3172" spans="5:25" x14ac:dyDescent="0.35">
      <c r="E3172" s="42" t="s">
        <v>223</v>
      </c>
      <c r="F3172" s="42" t="s">
        <v>365</v>
      </c>
      <c r="X3172" s="40"/>
      <c r="Y3172" s="40"/>
    </row>
    <row r="3173" spans="5:25" x14ac:dyDescent="0.35">
      <c r="E3173" s="42" t="s">
        <v>223</v>
      </c>
      <c r="F3173" s="42" t="s">
        <v>366</v>
      </c>
      <c r="X3173" s="40"/>
      <c r="Y3173" s="40"/>
    </row>
    <row r="3174" spans="5:25" x14ac:dyDescent="0.35">
      <c r="E3174" s="42" t="s">
        <v>223</v>
      </c>
      <c r="F3174" s="42" t="s">
        <v>2213</v>
      </c>
      <c r="X3174" s="40"/>
      <c r="Y3174" s="40"/>
    </row>
    <row r="3175" spans="5:25" x14ac:dyDescent="0.35">
      <c r="E3175" s="42" t="s">
        <v>223</v>
      </c>
      <c r="F3175" s="42" t="s">
        <v>831</v>
      </c>
      <c r="X3175" s="40"/>
      <c r="Y3175" s="40"/>
    </row>
    <row r="3176" spans="5:25" x14ac:dyDescent="0.35">
      <c r="E3176" s="42" t="s">
        <v>223</v>
      </c>
      <c r="F3176" s="42" t="s">
        <v>426</v>
      </c>
      <c r="X3176" s="40"/>
      <c r="Y3176" s="40"/>
    </row>
    <row r="3177" spans="5:25" x14ac:dyDescent="0.35">
      <c r="E3177" s="42" t="s">
        <v>223</v>
      </c>
      <c r="F3177" s="42" t="s">
        <v>428</v>
      </c>
      <c r="X3177" s="40"/>
      <c r="Y3177" s="40"/>
    </row>
    <row r="3178" spans="5:25" x14ac:dyDescent="0.35">
      <c r="E3178" s="42" t="s">
        <v>223</v>
      </c>
      <c r="F3178" s="42" t="s">
        <v>376</v>
      </c>
      <c r="X3178" s="40"/>
      <c r="Y3178" s="40"/>
    </row>
    <row r="3179" spans="5:25" x14ac:dyDescent="0.35">
      <c r="E3179" s="42" t="s">
        <v>223</v>
      </c>
      <c r="F3179" s="42" t="s">
        <v>377</v>
      </c>
      <c r="X3179" s="40"/>
      <c r="Y3179" s="40"/>
    </row>
    <row r="3180" spans="5:25" x14ac:dyDescent="0.35">
      <c r="E3180" s="42" t="s">
        <v>223</v>
      </c>
      <c r="F3180" s="42" t="s">
        <v>867</v>
      </c>
      <c r="X3180" s="40"/>
      <c r="Y3180" s="40"/>
    </row>
    <row r="3181" spans="5:25" x14ac:dyDescent="0.35">
      <c r="E3181" s="42" t="s">
        <v>223</v>
      </c>
      <c r="F3181" s="42" t="s">
        <v>1408</v>
      </c>
      <c r="X3181" s="40"/>
      <c r="Y3181" s="40"/>
    </row>
    <row r="3182" spans="5:25" x14ac:dyDescent="0.35">
      <c r="E3182" s="42" t="s">
        <v>223</v>
      </c>
      <c r="F3182" s="42" t="s">
        <v>873</v>
      </c>
      <c r="X3182" s="40"/>
      <c r="Y3182" s="40"/>
    </row>
    <row r="3183" spans="5:25" x14ac:dyDescent="0.35">
      <c r="E3183" s="42" t="s">
        <v>223</v>
      </c>
      <c r="F3183" s="42" t="s">
        <v>561</v>
      </c>
      <c r="X3183" s="40"/>
      <c r="Y3183" s="40"/>
    </row>
    <row r="3184" spans="5:25" x14ac:dyDescent="0.35">
      <c r="E3184" s="42" t="s">
        <v>223</v>
      </c>
      <c r="F3184" s="42" t="s">
        <v>2214</v>
      </c>
      <c r="X3184" s="40"/>
      <c r="Y3184" s="40"/>
    </row>
    <row r="3185" spans="5:25" x14ac:dyDescent="0.35">
      <c r="E3185" s="42" t="s">
        <v>223</v>
      </c>
      <c r="F3185" s="42" t="s">
        <v>2215</v>
      </c>
      <c r="X3185" s="40"/>
      <c r="Y3185" s="40"/>
    </row>
    <row r="3186" spans="5:25" x14ac:dyDescent="0.35">
      <c r="E3186" s="42" t="s">
        <v>223</v>
      </c>
      <c r="F3186" s="42" t="s">
        <v>379</v>
      </c>
      <c r="X3186" s="40"/>
      <c r="Y3186" s="40"/>
    </row>
    <row r="3187" spans="5:25" x14ac:dyDescent="0.35">
      <c r="E3187" s="42" t="s">
        <v>223</v>
      </c>
      <c r="F3187" s="42" t="s">
        <v>381</v>
      </c>
      <c r="X3187" s="40"/>
      <c r="Y3187" s="40"/>
    </row>
    <row r="3188" spans="5:25" x14ac:dyDescent="0.35">
      <c r="E3188" s="42" t="s">
        <v>223</v>
      </c>
      <c r="F3188" s="42" t="s">
        <v>1039</v>
      </c>
      <c r="X3188" s="40"/>
      <c r="Y3188" s="40"/>
    </row>
    <row r="3189" spans="5:25" x14ac:dyDescent="0.35">
      <c r="E3189" s="42" t="s">
        <v>223</v>
      </c>
      <c r="F3189" s="42" t="s">
        <v>909</v>
      </c>
      <c r="X3189" s="40"/>
      <c r="Y3189" s="40"/>
    </row>
    <row r="3190" spans="5:25" x14ac:dyDescent="0.35">
      <c r="E3190" s="42" t="s">
        <v>223</v>
      </c>
      <c r="F3190" s="42" t="s">
        <v>1042</v>
      </c>
      <c r="X3190" s="40"/>
      <c r="Y3190" s="40"/>
    </row>
    <row r="3191" spans="5:25" x14ac:dyDescent="0.35">
      <c r="E3191" s="42" t="s">
        <v>223</v>
      </c>
      <c r="F3191" s="42" t="s">
        <v>2216</v>
      </c>
      <c r="X3191" s="40"/>
      <c r="Y3191" s="40"/>
    </row>
    <row r="3192" spans="5:25" x14ac:dyDescent="0.35">
      <c r="E3192" s="42" t="s">
        <v>223</v>
      </c>
      <c r="F3192" s="42" t="s">
        <v>796</v>
      </c>
      <c r="X3192" s="40"/>
      <c r="Y3192" s="40"/>
    </row>
    <row r="3193" spans="5:25" x14ac:dyDescent="0.35">
      <c r="E3193" s="42" t="s">
        <v>223</v>
      </c>
      <c r="F3193" s="42" t="s">
        <v>2217</v>
      </c>
      <c r="X3193" s="40"/>
      <c r="Y3193" s="40"/>
    </row>
    <row r="3194" spans="5:25" x14ac:dyDescent="0.35">
      <c r="E3194" s="42" t="s">
        <v>223</v>
      </c>
      <c r="F3194" s="42" t="s">
        <v>631</v>
      </c>
      <c r="X3194" s="40"/>
      <c r="Y3194" s="40"/>
    </row>
    <row r="3195" spans="5:25" x14ac:dyDescent="0.35">
      <c r="E3195" s="42" t="s">
        <v>223</v>
      </c>
      <c r="F3195" s="42" t="s">
        <v>2218</v>
      </c>
      <c r="X3195" s="40"/>
      <c r="Y3195" s="40"/>
    </row>
    <row r="3196" spans="5:25" x14ac:dyDescent="0.35">
      <c r="E3196" s="42" t="s">
        <v>223</v>
      </c>
      <c r="F3196" s="42" t="s">
        <v>385</v>
      </c>
      <c r="X3196" s="40"/>
      <c r="Y3196" s="40"/>
    </row>
    <row r="3197" spans="5:25" x14ac:dyDescent="0.35">
      <c r="E3197" s="42" t="s">
        <v>223</v>
      </c>
      <c r="F3197" s="42" t="s">
        <v>2219</v>
      </c>
      <c r="X3197" s="40"/>
      <c r="Y3197" s="40"/>
    </row>
    <row r="3198" spans="5:25" x14ac:dyDescent="0.35">
      <c r="E3198" s="42" t="s">
        <v>223</v>
      </c>
      <c r="F3198" s="42" t="s">
        <v>1878</v>
      </c>
      <c r="X3198" s="40"/>
      <c r="Y3198" s="40"/>
    </row>
    <row r="3199" spans="5:25" x14ac:dyDescent="0.35">
      <c r="E3199" s="42" t="s">
        <v>223</v>
      </c>
      <c r="F3199" s="42" t="s">
        <v>2220</v>
      </c>
      <c r="X3199" s="40"/>
      <c r="Y3199" s="40"/>
    </row>
    <row r="3200" spans="5:25" x14ac:dyDescent="0.35">
      <c r="E3200" s="42" t="s">
        <v>223</v>
      </c>
      <c r="F3200" s="42" t="s">
        <v>638</v>
      </c>
      <c r="X3200" s="40"/>
      <c r="Y3200" s="40"/>
    </row>
    <row r="3201" spans="5:25" x14ac:dyDescent="0.35">
      <c r="E3201" s="42" t="s">
        <v>223</v>
      </c>
      <c r="F3201" s="42" t="s">
        <v>2221</v>
      </c>
      <c r="X3201" s="40"/>
      <c r="Y3201" s="40"/>
    </row>
    <row r="3202" spans="5:25" x14ac:dyDescent="0.35">
      <c r="E3202" s="42" t="s">
        <v>223</v>
      </c>
      <c r="F3202" s="42" t="s">
        <v>2024</v>
      </c>
      <c r="X3202" s="40"/>
      <c r="Y3202" s="40"/>
    </row>
    <row r="3203" spans="5:25" x14ac:dyDescent="0.35">
      <c r="E3203" s="42" t="s">
        <v>223</v>
      </c>
      <c r="F3203" s="42" t="s">
        <v>2025</v>
      </c>
      <c r="X3203" s="40"/>
      <c r="Y3203" s="40"/>
    </row>
    <row r="3204" spans="5:25" x14ac:dyDescent="0.35">
      <c r="E3204" s="42" t="s">
        <v>223</v>
      </c>
      <c r="F3204" s="42" t="s">
        <v>745</v>
      </c>
      <c r="X3204" s="40"/>
      <c r="Y3204" s="40"/>
    </row>
    <row r="3205" spans="5:25" x14ac:dyDescent="0.35">
      <c r="E3205" s="42" t="s">
        <v>223</v>
      </c>
      <c r="F3205" s="42" t="s">
        <v>746</v>
      </c>
      <c r="X3205" s="40"/>
      <c r="Y3205" s="40"/>
    </row>
    <row r="3206" spans="5:25" x14ac:dyDescent="0.35">
      <c r="E3206" s="42" t="s">
        <v>223</v>
      </c>
      <c r="F3206" s="42" t="s">
        <v>2222</v>
      </c>
      <c r="X3206" s="40"/>
      <c r="Y3206" s="40"/>
    </row>
    <row r="3207" spans="5:25" x14ac:dyDescent="0.35">
      <c r="E3207" s="42" t="s">
        <v>223</v>
      </c>
      <c r="F3207" s="42" t="s">
        <v>2223</v>
      </c>
      <c r="X3207" s="40"/>
      <c r="Y3207" s="40"/>
    </row>
    <row r="3208" spans="5:25" x14ac:dyDescent="0.35">
      <c r="E3208" s="42" t="s">
        <v>223</v>
      </c>
      <c r="F3208" s="42" t="s">
        <v>1622</v>
      </c>
      <c r="X3208" s="40"/>
      <c r="Y3208" s="40"/>
    </row>
    <row r="3209" spans="5:25" x14ac:dyDescent="0.35">
      <c r="E3209" s="42" t="s">
        <v>223</v>
      </c>
      <c r="F3209" s="42" t="s">
        <v>1587</v>
      </c>
      <c r="X3209" s="40"/>
      <c r="Y3209" s="40"/>
    </row>
    <row r="3210" spans="5:25" x14ac:dyDescent="0.35">
      <c r="E3210" s="42" t="s">
        <v>224</v>
      </c>
      <c r="F3210" s="42" t="s">
        <v>1559</v>
      </c>
      <c r="X3210" s="40"/>
      <c r="Y3210" s="40"/>
    </row>
    <row r="3211" spans="5:25" x14ac:dyDescent="0.35">
      <c r="E3211" s="42" t="s">
        <v>224</v>
      </c>
      <c r="F3211" s="42" t="s">
        <v>1336</v>
      </c>
      <c r="X3211" s="40"/>
      <c r="Y3211" s="40"/>
    </row>
    <row r="3212" spans="5:25" x14ac:dyDescent="0.35">
      <c r="E3212" s="42" t="s">
        <v>224</v>
      </c>
      <c r="F3212" s="42" t="s">
        <v>1009</v>
      </c>
      <c r="X3212" s="40"/>
      <c r="Y3212" s="40"/>
    </row>
    <row r="3213" spans="5:25" x14ac:dyDescent="0.35">
      <c r="E3213" s="42" t="s">
        <v>224</v>
      </c>
      <c r="F3213" s="42" t="s">
        <v>1338</v>
      </c>
      <c r="X3213" s="40"/>
      <c r="Y3213" s="40"/>
    </row>
    <row r="3214" spans="5:25" x14ac:dyDescent="0.35">
      <c r="E3214" s="42" t="s">
        <v>224</v>
      </c>
      <c r="F3214" s="42" t="s">
        <v>2224</v>
      </c>
      <c r="X3214" s="40"/>
      <c r="Y3214" s="40"/>
    </row>
    <row r="3215" spans="5:25" x14ac:dyDescent="0.35">
      <c r="E3215" s="42" t="s">
        <v>224</v>
      </c>
      <c r="F3215" s="42" t="s">
        <v>1667</v>
      </c>
      <c r="X3215" s="40"/>
      <c r="Y3215" s="40"/>
    </row>
    <row r="3216" spans="5:25" x14ac:dyDescent="0.35">
      <c r="E3216" s="42" t="s">
        <v>224</v>
      </c>
      <c r="F3216" s="42" t="s">
        <v>548</v>
      </c>
      <c r="X3216" s="40"/>
      <c r="Y3216" s="40"/>
    </row>
    <row r="3217" spans="5:25" x14ac:dyDescent="0.35">
      <c r="E3217" s="42" t="s">
        <v>224</v>
      </c>
      <c r="F3217" s="42" t="s">
        <v>2225</v>
      </c>
      <c r="X3217" s="40"/>
      <c r="Y3217" s="40"/>
    </row>
    <row r="3218" spans="5:25" x14ac:dyDescent="0.35">
      <c r="E3218" s="42" t="s">
        <v>224</v>
      </c>
      <c r="F3218" s="42" t="s">
        <v>2226</v>
      </c>
      <c r="X3218" s="40"/>
      <c r="Y3218" s="40"/>
    </row>
    <row r="3219" spans="5:25" x14ac:dyDescent="0.35">
      <c r="E3219" s="42" t="s">
        <v>224</v>
      </c>
      <c r="F3219" s="42" t="s">
        <v>424</v>
      </c>
      <c r="X3219" s="40"/>
      <c r="Y3219" s="40"/>
    </row>
    <row r="3220" spans="5:25" x14ac:dyDescent="0.35">
      <c r="E3220" s="42" t="s">
        <v>224</v>
      </c>
      <c r="F3220" s="42" t="s">
        <v>2227</v>
      </c>
      <c r="X3220" s="40"/>
      <c r="Y3220" s="40"/>
    </row>
    <row r="3221" spans="5:25" x14ac:dyDescent="0.35">
      <c r="E3221" s="42" t="s">
        <v>224</v>
      </c>
      <c r="F3221" s="42" t="s">
        <v>426</v>
      </c>
      <c r="X3221" s="40"/>
      <c r="Y3221" s="40"/>
    </row>
    <row r="3222" spans="5:25" x14ac:dyDescent="0.35">
      <c r="E3222" s="42" t="s">
        <v>224</v>
      </c>
      <c r="F3222" s="42" t="s">
        <v>2228</v>
      </c>
      <c r="X3222" s="40"/>
      <c r="Y3222" s="40"/>
    </row>
    <row r="3223" spans="5:25" x14ac:dyDescent="0.35">
      <c r="E3223" s="42" t="s">
        <v>224</v>
      </c>
      <c r="F3223" s="42" t="s">
        <v>2229</v>
      </c>
      <c r="X3223" s="40"/>
      <c r="Y3223" s="40"/>
    </row>
    <row r="3224" spans="5:25" x14ac:dyDescent="0.35">
      <c r="E3224" s="42" t="s">
        <v>224</v>
      </c>
      <c r="F3224" s="42" t="s">
        <v>567</v>
      </c>
      <c r="X3224" s="40"/>
      <c r="Y3224" s="40"/>
    </row>
    <row r="3225" spans="5:25" x14ac:dyDescent="0.35">
      <c r="E3225" s="42" t="s">
        <v>224</v>
      </c>
      <c r="F3225" s="42" t="s">
        <v>1287</v>
      </c>
      <c r="X3225" s="40"/>
      <c r="Y3225" s="40"/>
    </row>
    <row r="3226" spans="5:25" x14ac:dyDescent="0.35">
      <c r="E3226" s="42" t="s">
        <v>224</v>
      </c>
      <c r="F3226" s="42" t="s">
        <v>983</v>
      </c>
      <c r="X3226" s="40"/>
      <c r="Y3226" s="40"/>
    </row>
    <row r="3227" spans="5:25" x14ac:dyDescent="0.35">
      <c r="E3227" s="42" t="s">
        <v>224</v>
      </c>
      <c r="F3227" s="42" t="s">
        <v>2230</v>
      </c>
      <c r="X3227" s="40"/>
      <c r="Y3227" s="40"/>
    </row>
    <row r="3228" spans="5:25" x14ac:dyDescent="0.35">
      <c r="E3228" s="42" t="s">
        <v>224</v>
      </c>
      <c r="F3228" s="42" t="s">
        <v>2231</v>
      </c>
      <c r="X3228" s="40"/>
      <c r="Y3228" s="40"/>
    </row>
    <row r="3229" spans="5:25" x14ac:dyDescent="0.35">
      <c r="E3229" s="42" t="s">
        <v>224</v>
      </c>
      <c r="F3229" s="42" t="s">
        <v>839</v>
      </c>
      <c r="X3229" s="40"/>
      <c r="Y3229" s="40"/>
    </row>
    <row r="3230" spans="5:25" x14ac:dyDescent="0.35">
      <c r="E3230" s="42" t="s">
        <v>224</v>
      </c>
      <c r="F3230" s="42" t="s">
        <v>2232</v>
      </c>
      <c r="X3230" s="40"/>
      <c r="Y3230" s="40"/>
    </row>
    <row r="3231" spans="5:25" x14ac:dyDescent="0.35">
      <c r="E3231" s="42" t="s">
        <v>224</v>
      </c>
      <c r="F3231" s="42" t="s">
        <v>2233</v>
      </c>
      <c r="X3231" s="40"/>
      <c r="Y3231" s="40"/>
    </row>
    <row r="3232" spans="5:25" x14ac:dyDescent="0.35">
      <c r="E3232" s="42" t="s">
        <v>224</v>
      </c>
      <c r="F3232" s="42" t="s">
        <v>2234</v>
      </c>
      <c r="X3232" s="40"/>
      <c r="Y3232" s="40"/>
    </row>
    <row r="3233" spans="24:25" x14ac:dyDescent="0.35">
      <c r="X3233" s="40"/>
      <c r="Y3233" s="40"/>
    </row>
    <row r="3234" spans="24:25" x14ac:dyDescent="0.35">
      <c r="X3234" s="40"/>
      <c r="Y3234" s="40"/>
    </row>
    <row r="3235" spans="24:25" x14ac:dyDescent="0.35">
      <c r="X3235" s="40"/>
      <c r="Y3235" s="40"/>
    </row>
    <row r="3236" spans="24:25" x14ac:dyDescent="0.35">
      <c r="X3236" s="40"/>
      <c r="Y3236" s="40"/>
    </row>
    <row r="3237" spans="24:25" x14ac:dyDescent="0.35">
      <c r="X3237" s="40"/>
      <c r="Y3237" s="40"/>
    </row>
    <row r="3238" spans="24:25" x14ac:dyDescent="0.35">
      <c r="X3238" s="40"/>
      <c r="Y3238" s="40"/>
    </row>
    <row r="3239" spans="24:25" x14ac:dyDescent="0.35">
      <c r="X3239" s="40"/>
      <c r="Y3239" s="40"/>
    </row>
    <row r="3240" spans="24:25" x14ac:dyDescent="0.35">
      <c r="X3240" s="40"/>
      <c r="Y3240" s="40"/>
    </row>
    <row r="3241" spans="24:25" x14ac:dyDescent="0.35">
      <c r="X3241" s="40"/>
      <c r="Y3241" s="40"/>
    </row>
    <row r="3242" spans="24:25" x14ac:dyDescent="0.35">
      <c r="X3242" s="40"/>
      <c r="Y3242" s="40"/>
    </row>
    <row r="3243" spans="24:25" x14ac:dyDescent="0.35">
      <c r="X3243" s="40"/>
      <c r="Y3243" s="40"/>
    </row>
    <row r="3244" spans="24:25" x14ac:dyDescent="0.35">
      <c r="X3244" s="40"/>
      <c r="Y3244" s="40"/>
    </row>
    <row r="3245" spans="24:25" x14ac:dyDescent="0.35">
      <c r="X3245" s="40"/>
      <c r="Y3245" s="40"/>
    </row>
    <row r="3246" spans="24:25" x14ac:dyDescent="0.35">
      <c r="X3246" s="40"/>
      <c r="Y3246" s="40"/>
    </row>
    <row r="3247" spans="24:25" x14ac:dyDescent="0.35">
      <c r="X3247" s="40"/>
      <c r="Y3247" s="40"/>
    </row>
    <row r="3248" spans="24:25" x14ac:dyDescent="0.35">
      <c r="X3248" s="40"/>
      <c r="Y3248" s="40"/>
    </row>
    <row r="3249" spans="24:25" x14ac:dyDescent="0.35">
      <c r="X3249" s="40"/>
      <c r="Y3249" s="40"/>
    </row>
    <row r="3250" spans="24:25" x14ac:dyDescent="0.35">
      <c r="X3250" s="40"/>
      <c r="Y3250" s="40"/>
    </row>
    <row r="3251" spans="24:25" x14ac:dyDescent="0.35">
      <c r="X3251" s="40"/>
      <c r="Y3251" s="40"/>
    </row>
    <row r="3252" spans="24:25" x14ac:dyDescent="0.35">
      <c r="X3252" s="40"/>
      <c r="Y3252" s="40"/>
    </row>
    <row r="3253" spans="24:25" x14ac:dyDescent="0.35">
      <c r="X3253" s="40"/>
      <c r="Y3253" s="40"/>
    </row>
    <row r="3254" spans="24:25" x14ac:dyDescent="0.35">
      <c r="X3254" s="40"/>
      <c r="Y3254" s="40"/>
    </row>
    <row r="3255" spans="24:25" x14ac:dyDescent="0.35">
      <c r="X3255" s="40"/>
      <c r="Y3255" s="40"/>
    </row>
    <row r="3256" spans="24:25" x14ac:dyDescent="0.35">
      <c r="X3256" s="40"/>
      <c r="Y3256" s="40"/>
    </row>
    <row r="3257" spans="24:25" x14ac:dyDescent="0.35">
      <c r="X3257" s="40"/>
      <c r="Y3257" s="40"/>
    </row>
    <row r="3258" spans="24:25" x14ac:dyDescent="0.35">
      <c r="X3258" s="40"/>
      <c r="Y3258" s="40"/>
    </row>
    <row r="3259" spans="24:25" x14ac:dyDescent="0.35">
      <c r="X3259" s="40"/>
      <c r="Y3259" s="40"/>
    </row>
    <row r="3260" spans="24:25" x14ac:dyDescent="0.35">
      <c r="X3260" s="40"/>
      <c r="Y3260" s="40"/>
    </row>
    <row r="3261" spans="24:25" x14ac:dyDescent="0.35">
      <c r="X3261" s="40"/>
      <c r="Y3261" s="40"/>
    </row>
    <row r="3262" spans="24:25" x14ac:dyDescent="0.35">
      <c r="X3262" s="40"/>
      <c r="Y3262" s="40"/>
    </row>
    <row r="3263" spans="24:25" x14ac:dyDescent="0.35">
      <c r="X3263" s="40"/>
      <c r="Y3263" s="40"/>
    </row>
    <row r="3264" spans="24:25" x14ac:dyDescent="0.35">
      <c r="X3264" s="40"/>
      <c r="Y3264" s="40"/>
    </row>
    <row r="3265" spans="24:25" x14ac:dyDescent="0.35">
      <c r="X3265" s="40"/>
      <c r="Y3265" s="40"/>
    </row>
    <row r="3266" spans="24:25" x14ac:dyDescent="0.35">
      <c r="X3266" s="40"/>
      <c r="Y3266" s="40"/>
    </row>
    <row r="3267" spans="24:25" x14ac:dyDescent="0.35">
      <c r="X3267" s="40"/>
      <c r="Y3267" s="40"/>
    </row>
    <row r="3268" spans="24:25" x14ac:dyDescent="0.35">
      <c r="X3268" s="40"/>
      <c r="Y3268" s="40"/>
    </row>
    <row r="3269" spans="24:25" x14ac:dyDescent="0.35">
      <c r="X3269" s="40"/>
      <c r="Y3269" s="40"/>
    </row>
    <row r="3270" spans="24:25" x14ac:dyDescent="0.35">
      <c r="X3270" s="40"/>
      <c r="Y3270" s="40"/>
    </row>
    <row r="3271" spans="24:25" x14ac:dyDescent="0.35">
      <c r="X3271" s="40"/>
      <c r="Y3271" s="40"/>
    </row>
    <row r="3272" spans="24:25" x14ac:dyDescent="0.35">
      <c r="X3272" s="40"/>
      <c r="Y3272" s="40"/>
    </row>
    <row r="3273" spans="24:25" x14ac:dyDescent="0.35">
      <c r="X3273" s="40"/>
      <c r="Y3273" s="40"/>
    </row>
    <row r="3274" spans="24:25" x14ac:dyDescent="0.35">
      <c r="X3274" s="40"/>
      <c r="Y3274" s="40"/>
    </row>
    <row r="3275" spans="24:25" x14ac:dyDescent="0.35">
      <c r="X3275" s="40"/>
      <c r="Y3275" s="40"/>
    </row>
    <row r="3276" spans="24:25" x14ac:dyDescent="0.35">
      <c r="X3276" s="40"/>
      <c r="Y3276" s="40"/>
    </row>
    <row r="3277" spans="24:25" x14ac:dyDescent="0.35">
      <c r="X3277" s="40"/>
      <c r="Y3277" s="40"/>
    </row>
    <row r="3278" spans="24:25" x14ac:dyDescent="0.35">
      <c r="X3278" s="40"/>
      <c r="Y3278" s="40"/>
    </row>
    <row r="3279" spans="24:25" x14ac:dyDescent="0.35">
      <c r="X3279" s="40"/>
      <c r="Y3279" s="40"/>
    </row>
    <row r="3280" spans="24:25" x14ac:dyDescent="0.35">
      <c r="X3280" s="40"/>
      <c r="Y3280" s="40"/>
    </row>
    <row r="3281" spans="24:25" x14ac:dyDescent="0.35">
      <c r="X3281" s="40"/>
      <c r="Y3281" s="40"/>
    </row>
    <row r="3282" spans="24:25" x14ac:dyDescent="0.35">
      <c r="X3282" s="40"/>
      <c r="Y3282" s="40"/>
    </row>
    <row r="3283" spans="24:25" x14ac:dyDescent="0.35">
      <c r="X3283" s="40"/>
      <c r="Y3283" s="40"/>
    </row>
    <row r="3284" spans="24:25" x14ac:dyDescent="0.35">
      <c r="X3284" s="40"/>
      <c r="Y3284" s="40"/>
    </row>
    <row r="3285" spans="24:25" x14ac:dyDescent="0.35">
      <c r="X3285" s="40"/>
      <c r="Y3285" s="40"/>
    </row>
    <row r="3286" spans="24:25" x14ac:dyDescent="0.35">
      <c r="X3286" s="40"/>
      <c r="Y3286" s="40"/>
    </row>
    <row r="3287" spans="24:25" x14ac:dyDescent="0.35">
      <c r="X3287" s="40"/>
      <c r="Y3287" s="40"/>
    </row>
    <row r="3288" spans="24:25" x14ac:dyDescent="0.35">
      <c r="X3288" s="40"/>
      <c r="Y3288" s="40"/>
    </row>
    <row r="3289" spans="24:25" x14ac:dyDescent="0.35">
      <c r="X3289" s="40"/>
      <c r="Y3289" s="40"/>
    </row>
    <row r="3290" spans="24:25" x14ac:dyDescent="0.35">
      <c r="X3290" s="40"/>
      <c r="Y3290" s="40"/>
    </row>
    <row r="3291" spans="24:25" x14ac:dyDescent="0.35">
      <c r="X3291" s="40"/>
      <c r="Y3291" s="40"/>
    </row>
    <row r="3292" spans="24:25" x14ac:dyDescent="0.35">
      <c r="X3292" s="40"/>
      <c r="Y3292" s="40"/>
    </row>
    <row r="3293" spans="24:25" x14ac:dyDescent="0.35">
      <c r="X3293" s="40"/>
      <c r="Y3293" s="40"/>
    </row>
    <row r="3294" spans="24:25" x14ac:dyDescent="0.35">
      <c r="X3294" s="40"/>
      <c r="Y3294" s="40"/>
    </row>
    <row r="3295" spans="24:25" x14ac:dyDescent="0.35">
      <c r="X3295" s="40"/>
      <c r="Y3295" s="40"/>
    </row>
    <row r="3296" spans="24:25" x14ac:dyDescent="0.35">
      <c r="X3296" s="40"/>
      <c r="Y3296" s="40"/>
    </row>
    <row r="3297" spans="24:25" x14ac:dyDescent="0.35">
      <c r="X3297" s="40"/>
      <c r="Y3297" s="40"/>
    </row>
    <row r="3298" spans="24:25" x14ac:dyDescent="0.35">
      <c r="X3298" s="40"/>
      <c r="Y3298" s="40"/>
    </row>
    <row r="3299" spans="24:25" x14ac:dyDescent="0.35">
      <c r="X3299" s="40"/>
      <c r="Y3299" s="40"/>
    </row>
    <row r="3300" spans="24:25" x14ac:dyDescent="0.35">
      <c r="X3300" s="40"/>
      <c r="Y3300" s="40"/>
    </row>
    <row r="3301" spans="24:25" x14ac:dyDescent="0.35">
      <c r="X3301" s="40"/>
      <c r="Y3301" s="40"/>
    </row>
    <row r="3302" spans="24:25" x14ac:dyDescent="0.35">
      <c r="X3302" s="40"/>
      <c r="Y3302" s="40"/>
    </row>
    <row r="3303" spans="24:25" x14ac:dyDescent="0.35">
      <c r="X3303" s="40"/>
      <c r="Y3303" s="40"/>
    </row>
    <row r="3304" spans="24:25" x14ac:dyDescent="0.35">
      <c r="X3304" s="40"/>
      <c r="Y3304" s="40"/>
    </row>
    <row r="3305" spans="24:25" x14ac:dyDescent="0.35">
      <c r="X3305" s="40"/>
      <c r="Y3305" s="40"/>
    </row>
    <row r="3306" spans="24:25" x14ac:dyDescent="0.35">
      <c r="X3306" s="40"/>
      <c r="Y3306" s="40"/>
    </row>
    <row r="3307" spans="24:25" x14ac:dyDescent="0.35">
      <c r="X3307" s="40"/>
      <c r="Y3307" s="40"/>
    </row>
    <row r="3308" spans="24:25" x14ac:dyDescent="0.35">
      <c r="X3308" s="40"/>
      <c r="Y3308" s="40"/>
    </row>
    <row r="3309" spans="24:25" x14ac:dyDescent="0.35">
      <c r="X3309" s="40"/>
      <c r="Y3309" s="40"/>
    </row>
    <row r="3310" spans="24:25" x14ac:dyDescent="0.35">
      <c r="X3310" s="40"/>
      <c r="Y3310" s="40"/>
    </row>
    <row r="3311" spans="24:25" x14ac:dyDescent="0.35">
      <c r="X3311" s="40"/>
      <c r="Y3311" s="40"/>
    </row>
    <row r="3312" spans="24:25" x14ac:dyDescent="0.35">
      <c r="X3312" s="40"/>
      <c r="Y3312" s="40"/>
    </row>
    <row r="3313" spans="24:25" x14ac:dyDescent="0.35">
      <c r="X3313" s="40"/>
      <c r="Y3313" s="40"/>
    </row>
    <row r="3314" spans="24:25" x14ac:dyDescent="0.35">
      <c r="X3314" s="40"/>
      <c r="Y3314" s="40"/>
    </row>
    <row r="3315" spans="24:25" x14ac:dyDescent="0.35">
      <c r="X3315" s="40"/>
      <c r="Y3315" s="40"/>
    </row>
    <row r="3316" spans="24:25" x14ac:dyDescent="0.35">
      <c r="X3316" s="40"/>
      <c r="Y3316" s="40"/>
    </row>
    <row r="3317" spans="24:25" x14ac:dyDescent="0.35">
      <c r="X3317" s="40"/>
      <c r="Y3317" s="40"/>
    </row>
    <row r="3318" spans="24:25" x14ac:dyDescent="0.35">
      <c r="X3318" s="40"/>
      <c r="Y3318" s="40"/>
    </row>
    <row r="3319" spans="24:25" x14ac:dyDescent="0.35">
      <c r="X3319" s="40"/>
      <c r="Y3319" s="40"/>
    </row>
    <row r="3320" spans="24:25" x14ac:dyDescent="0.35">
      <c r="X3320" s="40"/>
      <c r="Y3320" s="40"/>
    </row>
    <row r="3321" spans="24:25" x14ac:dyDescent="0.35">
      <c r="X3321" s="40"/>
      <c r="Y3321" s="40"/>
    </row>
    <row r="3322" spans="24:25" x14ac:dyDescent="0.35">
      <c r="X3322" s="40"/>
      <c r="Y3322" s="40"/>
    </row>
    <row r="3323" spans="24:25" x14ac:dyDescent="0.35">
      <c r="X3323" s="40"/>
      <c r="Y3323" s="40"/>
    </row>
    <row r="3324" spans="24:25" x14ac:dyDescent="0.35">
      <c r="X3324" s="40"/>
      <c r="Y3324" s="40"/>
    </row>
    <row r="3325" spans="24:25" x14ac:dyDescent="0.35">
      <c r="X3325" s="40"/>
      <c r="Y3325" s="40"/>
    </row>
    <row r="3326" spans="24:25" x14ac:dyDescent="0.35">
      <c r="X3326" s="40"/>
      <c r="Y3326" s="40"/>
    </row>
    <row r="3327" spans="24:25" x14ac:dyDescent="0.35">
      <c r="X3327" s="40"/>
      <c r="Y3327" s="40"/>
    </row>
    <row r="3328" spans="24:25" x14ac:dyDescent="0.35">
      <c r="X3328" s="40"/>
      <c r="Y3328" s="40"/>
    </row>
    <row r="3329" spans="24:25" x14ac:dyDescent="0.35">
      <c r="X3329" s="40"/>
      <c r="Y3329" s="40"/>
    </row>
    <row r="3330" spans="24:25" x14ac:dyDescent="0.35">
      <c r="X3330" s="40"/>
      <c r="Y3330" s="40"/>
    </row>
    <row r="3331" spans="24:25" x14ac:dyDescent="0.35">
      <c r="X3331" s="40"/>
      <c r="Y3331" s="40"/>
    </row>
    <row r="3332" spans="24:25" x14ac:dyDescent="0.35">
      <c r="X3332" s="40"/>
      <c r="Y3332" s="40"/>
    </row>
    <row r="3333" spans="24:25" x14ac:dyDescent="0.35">
      <c r="X3333" s="40"/>
      <c r="Y3333" s="40"/>
    </row>
    <row r="3334" spans="24:25" x14ac:dyDescent="0.35">
      <c r="X3334" s="40"/>
      <c r="Y3334" s="40"/>
    </row>
    <row r="3335" spans="24:25" x14ac:dyDescent="0.35">
      <c r="X3335" s="40"/>
      <c r="Y3335" s="40"/>
    </row>
    <row r="3336" spans="24:25" x14ac:dyDescent="0.35">
      <c r="X3336" s="40"/>
      <c r="Y3336" s="40"/>
    </row>
    <row r="3337" spans="24:25" x14ac:dyDescent="0.35">
      <c r="X3337" s="40"/>
      <c r="Y3337" s="40"/>
    </row>
    <row r="3338" spans="24:25" x14ac:dyDescent="0.35">
      <c r="X3338" s="40"/>
      <c r="Y3338" s="40"/>
    </row>
    <row r="3339" spans="24:25" x14ac:dyDescent="0.35">
      <c r="X3339" s="40"/>
      <c r="Y3339" s="40"/>
    </row>
    <row r="3340" spans="24:25" x14ac:dyDescent="0.35">
      <c r="X3340" s="40"/>
      <c r="Y3340" s="40"/>
    </row>
    <row r="3341" spans="24:25" x14ac:dyDescent="0.35">
      <c r="X3341" s="40"/>
      <c r="Y3341" s="40"/>
    </row>
    <row r="3342" spans="24:25" x14ac:dyDescent="0.35">
      <c r="X3342" s="40"/>
      <c r="Y3342" s="40"/>
    </row>
    <row r="3343" spans="24:25" x14ac:dyDescent="0.35">
      <c r="X3343" s="40"/>
      <c r="Y3343" s="40"/>
    </row>
    <row r="3344" spans="24:25" x14ac:dyDescent="0.35">
      <c r="X3344" s="40"/>
      <c r="Y3344" s="40"/>
    </row>
    <row r="3345" spans="24:25" x14ac:dyDescent="0.35">
      <c r="X3345" s="40"/>
      <c r="Y3345" s="40"/>
    </row>
    <row r="3346" spans="24:25" x14ac:dyDescent="0.35">
      <c r="X3346" s="40"/>
      <c r="Y3346" s="40"/>
    </row>
    <row r="3347" spans="24:25" x14ac:dyDescent="0.35">
      <c r="X3347" s="40"/>
      <c r="Y3347" s="40"/>
    </row>
    <row r="3348" spans="24:25" x14ac:dyDescent="0.35">
      <c r="X3348" s="40"/>
      <c r="Y3348" s="40"/>
    </row>
    <row r="3349" spans="24:25" x14ac:dyDescent="0.35">
      <c r="X3349" s="40"/>
      <c r="Y3349" s="40"/>
    </row>
    <row r="3350" spans="24:25" x14ac:dyDescent="0.35">
      <c r="X3350" s="40"/>
      <c r="Y3350" s="40"/>
    </row>
    <row r="3351" spans="24:25" x14ac:dyDescent="0.35">
      <c r="X3351" s="40"/>
      <c r="Y3351" s="40"/>
    </row>
    <row r="3352" spans="24:25" x14ac:dyDescent="0.35">
      <c r="X3352" s="40"/>
      <c r="Y3352" s="40"/>
    </row>
    <row r="3353" spans="24:25" x14ac:dyDescent="0.35">
      <c r="X3353" s="40"/>
      <c r="Y3353" s="40"/>
    </row>
    <row r="3354" spans="24:25" x14ac:dyDescent="0.35">
      <c r="X3354" s="40"/>
      <c r="Y3354" s="40"/>
    </row>
    <row r="3355" spans="24:25" x14ac:dyDescent="0.35">
      <c r="X3355" s="40"/>
      <c r="Y3355" s="40"/>
    </row>
    <row r="3356" spans="24:25" x14ac:dyDescent="0.35">
      <c r="X3356" s="40"/>
      <c r="Y3356" s="40"/>
    </row>
    <row r="3357" spans="24:25" x14ac:dyDescent="0.35">
      <c r="X3357" s="40"/>
      <c r="Y3357" s="40"/>
    </row>
    <row r="3358" spans="24:25" x14ac:dyDescent="0.35">
      <c r="X3358" s="40"/>
      <c r="Y3358" s="40"/>
    </row>
    <row r="3359" spans="24:25" x14ac:dyDescent="0.35">
      <c r="X3359" s="40"/>
      <c r="Y3359" s="40"/>
    </row>
    <row r="3360" spans="24:25" x14ac:dyDescent="0.35">
      <c r="X3360" s="40"/>
      <c r="Y3360" s="40"/>
    </row>
    <row r="3361" spans="24:25" x14ac:dyDescent="0.35">
      <c r="X3361" s="40"/>
      <c r="Y3361" s="40"/>
    </row>
    <row r="3362" spans="24:25" x14ac:dyDescent="0.35">
      <c r="X3362" s="40"/>
      <c r="Y3362" s="40"/>
    </row>
    <row r="3363" spans="24:25" x14ac:dyDescent="0.35">
      <c r="X3363" s="40"/>
      <c r="Y3363" s="40"/>
    </row>
    <row r="3364" spans="24:25" x14ac:dyDescent="0.35">
      <c r="X3364" s="40"/>
      <c r="Y3364" s="40"/>
    </row>
    <row r="3365" spans="24:25" x14ac:dyDescent="0.35">
      <c r="X3365" s="40"/>
      <c r="Y3365" s="40"/>
    </row>
    <row r="3366" spans="24:25" x14ac:dyDescent="0.35">
      <c r="X3366" s="40"/>
      <c r="Y3366" s="40"/>
    </row>
    <row r="3367" spans="24:25" x14ac:dyDescent="0.35">
      <c r="X3367" s="40"/>
      <c r="Y3367" s="40"/>
    </row>
    <row r="3368" spans="24:25" x14ac:dyDescent="0.35">
      <c r="X3368" s="40"/>
      <c r="Y3368" s="40"/>
    </row>
    <row r="3369" spans="24:25" x14ac:dyDescent="0.35">
      <c r="X3369" s="40"/>
      <c r="Y3369" s="40"/>
    </row>
    <row r="3370" spans="24:25" x14ac:dyDescent="0.35">
      <c r="X3370" s="40"/>
      <c r="Y3370" s="40"/>
    </row>
    <row r="3371" spans="24:25" x14ac:dyDescent="0.35">
      <c r="X3371" s="40"/>
      <c r="Y3371" s="40"/>
    </row>
    <row r="3372" spans="24:25" x14ac:dyDescent="0.35">
      <c r="X3372" s="40"/>
      <c r="Y3372" s="40"/>
    </row>
    <row r="3373" spans="24:25" x14ac:dyDescent="0.35">
      <c r="X3373" s="40"/>
      <c r="Y3373" s="40"/>
    </row>
    <row r="3374" spans="24:25" x14ac:dyDescent="0.35">
      <c r="X3374" s="40"/>
      <c r="Y3374" s="40"/>
    </row>
    <row r="3375" spans="24:25" x14ac:dyDescent="0.35">
      <c r="X3375" s="40"/>
      <c r="Y3375" s="40"/>
    </row>
    <row r="3376" spans="24:25" x14ac:dyDescent="0.35">
      <c r="X3376" s="40"/>
      <c r="Y3376" s="40"/>
    </row>
    <row r="3377" spans="24:25" x14ac:dyDescent="0.35">
      <c r="X3377" s="40"/>
      <c r="Y3377" s="40"/>
    </row>
    <row r="3378" spans="24:25" x14ac:dyDescent="0.35">
      <c r="X3378" s="40"/>
      <c r="Y3378" s="40"/>
    </row>
    <row r="3379" spans="24:25" x14ac:dyDescent="0.35">
      <c r="X3379" s="40"/>
      <c r="Y3379" s="40"/>
    </row>
    <row r="3380" spans="24:25" x14ac:dyDescent="0.35">
      <c r="X3380" s="40"/>
      <c r="Y3380" s="40"/>
    </row>
    <row r="3381" spans="24:25" x14ac:dyDescent="0.35">
      <c r="X3381" s="40"/>
      <c r="Y3381" s="40"/>
    </row>
    <row r="3382" spans="24:25" x14ac:dyDescent="0.35">
      <c r="X3382" s="40"/>
      <c r="Y3382" s="40"/>
    </row>
    <row r="3383" spans="24:25" x14ac:dyDescent="0.35">
      <c r="X3383" s="40"/>
      <c r="Y3383" s="40"/>
    </row>
    <row r="3384" spans="24:25" x14ac:dyDescent="0.35">
      <c r="X3384" s="40"/>
      <c r="Y3384" s="40"/>
    </row>
    <row r="3385" spans="24:25" x14ac:dyDescent="0.35">
      <c r="X3385" s="40"/>
      <c r="Y3385" s="40"/>
    </row>
    <row r="3386" spans="24:25" x14ac:dyDescent="0.35">
      <c r="X3386" s="40"/>
      <c r="Y3386" s="40"/>
    </row>
    <row r="3387" spans="24:25" x14ac:dyDescent="0.35">
      <c r="X3387" s="40"/>
      <c r="Y3387" s="40"/>
    </row>
    <row r="3388" spans="24:25" x14ac:dyDescent="0.35">
      <c r="X3388" s="40"/>
      <c r="Y3388" s="40"/>
    </row>
    <row r="3389" spans="24:25" x14ac:dyDescent="0.35">
      <c r="X3389" s="40"/>
      <c r="Y3389" s="40"/>
    </row>
    <row r="3390" spans="24:25" x14ac:dyDescent="0.35">
      <c r="X3390" s="40"/>
      <c r="Y3390" s="40"/>
    </row>
    <row r="3391" spans="24:25" x14ac:dyDescent="0.35">
      <c r="X3391" s="40"/>
      <c r="Y3391" s="40"/>
    </row>
    <row r="3392" spans="24:25" x14ac:dyDescent="0.35">
      <c r="X3392" s="40"/>
      <c r="Y3392" s="40"/>
    </row>
    <row r="3393" spans="24:25" x14ac:dyDescent="0.35">
      <c r="X3393" s="40"/>
      <c r="Y3393" s="40"/>
    </row>
    <row r="3394" spans="24:25" x14ac:dyDescent="0.35">
      <c r="X3394" s="40"/>
      <c r="Y3394" s="40"/>
    </row>
    <row r="3395" spans="24:25" x14ac:dyDescent="0.35">
      <c r="X3395" s="40"/>
      <c r="Y3395" s="40"/>
    </row>
    <row r="3396" spans="24:25" x14ac:dyDescent="0.35">
      <c r="X3396" s="40"/>
      <c r="Y3396" s="40"/>
    </row>
    <row r="3397" spans="24:25" x14ac:dyDescent="0.35">
      <c r="X3397" s="40"/>
      <c r="Y3397" s="40"/>
    </row>
    <row r="3398" spans="24:25" x14ac:dyDescent="0.35">
      <c r="X3398" s="40"/>
      <c r="Y3398" s="40"/>
    </row>
    <row r="3399" spans="24:25" x14ac:dyDescent="0.35">
      <c r="X3399" s="40"/>
      <c r="Y3399" s="40"/>
    </row>
    <row r="3400" spans="24:25" x14ac:dyDescent="0.35">
      <c r="X3400" s="40"/>
      <c r="Y3400" s="40"/>
    </row>
    <row r="3401" spans="24:25" x14ac:dyDescent="0.35">
      <c r="X3401" s="40"/>
      <c r="Y3401" s="40"/>
    </row>
    <row r="3402" spans="24:25" x14ac:dyDescent="0.35">
      <c r="X3402" s="40"/>
      <c r="Y3402" s="40"/>
    </row>
    <row r="3403" spans="24:25" x14ac:dyDescent="0.35">
      <c r="X3403" s="40"/>
      <c r="Y3403" s="40"/>
    </row>
    <row r="3404" spans="24:25" x14ac:dyDescent="0.35">
      <c r="X3404" s="40"/>
      <c r="Y3404" s="40"/>
    </row>
    <row r="3405" spans="24:25" x14ac:dyDescent="0.35">
      <c r="X3405" s="40"/>
      <c r="Y3405" s="40"/>
    </row>
    <row r="3406" spans="24:25" x14ac:dyDescent="0.35">
      <c r="X3406" s="40"/>
      <c r="Y3406" s="40"/>
    </row>
    <row r="3407" spans="24:25" x14ac:dyDescent="0.35">
      <c r="X3407" s="40"/>
      <c r="Y3407" s="40"/>
    </row>
    <row r="3408" spans="24:25" x14ac:dyDescent="0.35">
      <c r="X3408" s="40"/>
      <c r="Y3408" s="40"/>
    </row>
    <row r="3409" spans="24:25" x14ac:dyDescent="0.35">
      <c r="X3409" s="40"/>
      <c r="Y3409" s="40"/>
    </row>
    <row r="3410" spans="24:25" x14ac:dyDescent="0.35">
      <c r="X3410" s="40"/>
      <c r="Y3410" s="40"/>
    </row>
    <row r="3411" spans="24:25" x14ac:dyDescent="0.35">
      <c r="X3411" s="40"/>
      <c r="Y3411" s="40"/>
    </row>
    <row r="3412" spans="24:25" x14ac:dyDescent="0.35">
      <c r="X3412" s="40"/>
      <c r="Y3412" s="40"/>
    </row>
    <row r="3413" spans="24:25" x14ac:dyDescent="0.35">
      <c r="X3413" s="40"/>
      <c r="Y3413" s="40"/>
    </row>
    <row r="3414" spans="24:25" x14ac:dyDescent="0.35">
      <c r="X3414" s="40"/>
      <c r="Y3414" s="40"/>
    </row>
    <row r="3415" spans="24:25" x14ac:dyDescent="0.35">
      <c r="X3415" s="40"/>
      <c r="Y3415" s="40"/>
    </row>
    <row r="3416" spans="24:25" x14ac:dyDescent="0.35">
      <c r="X3416" s="40"/>
      <c r="Y3416" s="40"/>
    </row>
    <row r="3417" spans="24:25" x14ac:dyDescent="0.35">
      <c r="X3417" s="40"/>
      <c r="Y3417" s="40"/>
    </row>
    <row r="3418" spans="24:25" x14ac:dyDescent="0.35">
      <c r="X3418" s="40"/>
      <c r="Y3418" s="40"/>
    </row>
    <row r="3419" spans="24:25" x14ac:dyDescent="0.35">
      <c r="X3419" s="40"/>
      <c r="Y3419" s="40"/>
    </row>
    <row r="3420" spans="24:25" x14ac:dyDescent="0.35">
      <c r="X3420" s="40"/>
      <c r="Y3420" s="40"/>
    </row>
    <row r="3421" spans="24:25" x14ac:dyDescent="0.35">
      <c r="X3421" s="40"/>
      <c r="Y3421" s="40"/>
    </row>
    <row r="3422" spans="24:25" x14ac:dyDescent="0.35">
      <c r="X3422" s="40"/>
      <c r="Y3422" s="40"/>
    </row>
    <row r="3423" spans="24:25" x14ac:dyDescent="0.35">
      <c r="X3423" s="40"/>
      <c r="Y3423" s="40"/>
    </row>
    <row r="3424" spans="24:25" x14ac:dyDescent="0.35">
      <c r="X3424" s="40"/>
      <c r="Y3424" s="40"/>
    </row>
    <row r="3425" spans="24:25" x14ac:dyDescent="0.35">
      <c r="X3425" s="40"/>
      <c r="Y3425" s="40"/>
    </row>
    <row r="3426" spans="24:25" x14ac:dyDescent="0.35">
      <c r="X3426" s="40"/>
      <c r="Y3426" s="40"/>
    </row>
    <row r="3427" spans="24:25" x14ac:dyDescent="0.35">
      <c r="X3427" s="40"/>
      <c r="Y3427" s="40"/>
    </row>
    <row r="3428" spans="24:25" x14ac:dyDescent="0.35">
      <c r="X3428" s="40"/>
      <c r="Y3428" s="40"/>
    </row>
    <row r="3429" spans="24:25" x14ac:dyDescent="0.35">
      <c r="X3429" s="40"/>
      <c r="Y3429" s="40"/>
    </row>
    <row r="3430" spans="24:25" x14ac:dyDescent="0.35">
      <c r="X3430" s="40"/>
      <c r="Y3430" s="40"/>
    </row>
    <row r="3431" spans="24:25" x14ac:dyDescent="0.35">
      <c r="X3431" s="40"/>
      <c r="Y3431" s="40"/>
    </row>
    <row r="3432" spans="24:25" x14ac:dyDescent="0.35">
      <c r="X3432" s="40"/>
      <c r="Y3432" s="40"/>
    </row>
    <row r="3433" spans="24:25" x14ac:dyDescent="0.35">
      <c r="X3433" s="40"/>
      <c r="Y3433" s="40"/>
    </row>
    <row r="3434" spans="24:25" x14ac:dyDescent="0.35">
      <c r="X3434" s="40"/>
      <c r="Y3434" s="40"/>
    </row>
    <row r="3435" spans="24:25" x14ac:dyDescent="0.35">
      <c r="X3435" s="40"/>
      <c r="Y3435" s="40"/>
    </row>
    <row r="3436" spans="24:25" x14ac:dyDescent="0.35">
      <c r="X3436" s="40"/>
      <c r="Y3436" s="40"/>
    </row>
    <row r="3437" spans="24:25" x14ac:dyDescent="0.35">
      <c r="X3437" s="40"/>
      <c r="Y3437" s="40"/>
    </row>
    <row r="3438" spans="24:25" x14ac:dyDescent="0.35">
      <c r="X3438" s="40"/>
      <c r="Y3438" s="40"/>
    </row>
    <row r="3439" spans="24:25" x14ac:dyDescent="0.35">
      <c r="X3439" s="40"/>
      <c r="Y3439" s="40"/>
    </row>
    <row r="3440" spans="24:25" x14ac:dyDescent="0.35">
      <c r="X3440" s="40"/>
      <c r="Y3440" s="40"/>
    </row>
    <row r="3441" spans="24:25" x14ac:dyDescent="0.35">
      <c r="X3441" s="40"/>
      <c r="Y3441" s="40"/>
    </row>
    <row r="3442" spans="24:25" x14ac:dyDescent="0.35">
      <c r="X3442" s="40"/>
      <c r="Y3442" s="40"/>
    </row>
    <row r="3443" spans="24:25" x14ac:dyDescent="0.35">
      <c r="X3443" s="40"/>
      <c r="Y3443" s="40"/>
    </row>
    <row r="3444" spans="24:25" x14ac:dyDescent="0.35">
      <c r="X3444" s="40"/>
      <c r="Y3444" s="40"/>
    </row>
    <row r="3445" spans="24:25" x14ac:dyDescent="0.35">
      <c r="X3445" s="40"/>
      <c r="Y3445" s="40"/>
    </row>
    <row r="3446" spans="24:25" x14ac:dyDescent="0.35">
      <c r="X3446" s="40"/>
      <c r="Y3446" s="40"/>
    </row>
    <row r="3447" spans="24:25" x14ac:dyDescent="0.35">
      <c r="X3447" s="40"/>
      <c r="Y3447" s="40"/>
    </row>
    <row r="3448" spans="24:25" x14ac:dyDescent="0.35">
      <c r="X3448" s="40"/>
      <c r="Y3448" s="40"/>
    </row>
    <row r="3449" spans="24:25" x14ac:dyDescent="0.35">
      <c r="X3449" s="40"/>
      <c r="Y3449" s="40"/>
    </row>
    <row r="3450" spans="24:25" x14ac:dyDescent="0.35">
      <c r="X3450" s="40"/>
      <c r="Y3450" s="40"/>
    </row>
    <row r="3451" spans="24:25" x14ac:dyDescent="0.35">
      <c r="X3451" s="40"/>
      <c r="Y3451" s="40"/>
    </row>
    <row r="3452" spans="24:25" x14ac:dyDescent="0.35">
      <c r="X3452" s="40"/>
      <c r="Y3452" s="40"/>
    </row>
    <row r="3453" spans="24:25" x14ac:dyDescent="0.35">
      <c r="X3453" s="40"/>
      <c r="Y3453" s="40"/>
    </row>
    <row r="3454" spans="24:25" x14ac:dyDescent="0.35">
      <c r="X3454" s="40"/>
      <c r="Y3454" s="40"/>
    </row>
    <row r="3455" spans="24:25" x14ac:dyDescent="0.35">
      <c r="X3455" s="40"/>
      <c r="Y3455" s="40"/>
    </row>
    <row r="3456" spans="24:25" x14ac:dyDescent="0.35">
      <c r="X3456" s="40"/>
      <c r="Y3456" s="40"/>
    </row>
    <row r="3457" spans="24:25" x14ac:dyDescent="0.35">
      <c r="X3457" s="40"/>
      <c r="Y3457" s="40"/>
    </row>
    <row r="3458" spans="24:25" x14ac:dyDescent="0.35">
      <c r="X3458" s="40"/>
      <c r="Y3458" s="40"/>
    </row>
    <row r="3459" spans="24:25" x14ac:dyDescent="0.35">
      <c r="X3459" s="40"/>
      <c r="Y3459" s="40"/>
    </row>
    <row r="3460" spans="24:25" x14ac:dyDescent="0.35">
      <c r="X3460" s="40"/>
      <c r="Y3460" s="40"/>
    </row>
    <row r="3461" spans="24:25" x14ac:dyDescent="0.35">
      <c r="X3461" s="40"/>
      <c r="Y3461" s="40"/>
    </row>
    <row r="3462" spans="24:25" x14ac:dyDescent="0.35">
      <c r="X3462" s="40"/>
      <c r="Y3462" s="40"/>
    </row>
    <row r="3463" spans="24:25" x14ac:dyDescent="0.35">
      <c r="X3463" s="40"/>
      <c r="Y3463" s="40"/>
    </row>
    <row r="3464" spans="24:25" x14ac:dyDescent="0.35">
      <c r="X3464" s="40"/>
      <c r="Y3464" s="40"/>
    </row>
    <row r="3465" spans="24:25" x14ac:dyDescent="0.35">
      <c r="X3465" s="40"/>
      <c r="Y3465" s="40"/>
    </row>
    <row r="3466" spans="24:25" x14ac:dyDescent="0.35">
      <c r="X3466" s="40"/>
      <c r="Y3466" s="40"/>
    </row>
    <row r="3467" spans="24:25" x14ac:dyDescent="0.35">
      <c r="X3467" s="40"/>
      <c r="Y3467" s="40"/>
    </row>
    <row r="3468" spans="24:25" x14ac:dyDescent="0.35">
      <c r="X3468" s="40"/>
      <c r="Y3468" s="40"/>
    </row>
    <row r="3469" spans="24:25" x14ac:dyDescent="0.35">
      <c r="X3469" s="40"/>
      <c r="Y3469" s="40"/>
    </row>
    <row r="3470" spans="24:25" x14ac:dyDescent="0.35">
      <c r="X3470" s="40"/>
      <c r="Y3470" s="40"/>
    </row>
    <row r="3471" spans="24:25" x14ac:dyDescent="0.35">
      <c r="X3471" s="40"/>
      <c r="Y3471" s="40"/>
    </row>
    <row r="3472" spans="24:25" x14ac:dyDescent="0.35">
      <c r="X3472" s="40"/>
      <c r="Y3472" s="40"/>
    </row>
    <row r="3473" spans="24:25" x14ac:dyDescent="0.35">
      <c r="X3473" s="40"/>
      <c r="Y3473" s="40"/>
    </row>
    <row r="3474" spans="24:25" x14ac:dyDescent="0.35">
      <c r="X3474" s="40"/>
      <c r="Y3474" s="40"/>
    </row>
    <row r="3475" spans="24:25" x14ac:dyDescent="0.35">
      <c r="X3475" s="40"/>
      <c r="Y3475" s="40"/>
    </row>
    <row r="3476" spans="24:25" x14ac:dyDescent="0.35">
      <c r="X3476" s="40"/>
      <c r="Y3476" s="40"/>
    </row>
    <row r="3477" spans="24:25" x14ac:dyDescent="0.35">
      <c r="X3477" s="40"/>
      <c r="Y3477" s="40"/>
    </row>
    <row r="3478" spans="24:25" x14ac:dyDescent="0.35">
      <c r="X3478" s="40"/>
      <c r="Y3478" s="40"/>
    </row>
    <row r="3479" spans="24:25" x14ac:dyDescent="0.35">
      <c r="X3479" s="40"/>
      <c r="Y3479" s="40"/>
    </row>
    <row r="3480" spans="24:25" x14ac:dyDescent="0.35">
      <c r="X3480" s="40"/>
      <c r="Y3480" s="40"/>
    </row>
    <row r="3481" spans="24:25" x14ac:dyDescent="0.35">
      <c r="X3481" s="40"/>
      <c r="Y3481" s="40"/>
    </row>
    <row r="3482" spans="24:25" x14ac:dyDescent="0.35">
      <c r="X3482" s="40"/>
      <c r="Y3482" s="40"/>
    </row>
    <row r="3483" spans="24:25" x14ac:dyDescent="0.35">
      <c r="X3483" s="40"/>
      <c r="Y3483" s="40"/>
    </row>
    <row r="3484" spans="24:25" x14ac:dyDescent="0.35">
      <c r="X3484" s="40"/>
      <c r="Y3484" s="40"/>
    </row>
    <row r="3485" spans="24:25" x14ac:dyDescent="0.35">
      <c r="X3485" s="40"/>
      <c r="Y3485" s="40"/>
    </row>
    <row r="3486" spans="24:25" x14ac:dyDescent="0.35">
      <c r="X3486" s="40"/>
      <c r="Y3486" s="40"/>
    </row>
    <row r="3487" spans="24:25" x14ac:dyDescent="0.35">
      <c r="X3487" s="40"/>
      <c r="Y3487" s="40"/>
    </row>
    <row r="3488" spans="24:25" x14ac:dyDescent="0.35">
      <c r="X3488" s="40"/>
      <c r="Y3488" s="40"/>
    </row>
    <row r="3489" spans="24:25" x14ac:dyDescent="0.35">
      <c r="X3489" s="40"/>
      <c r="Y3489" s="40"/>
    </row>
    <row r="3490" spans="24:25" x14ac:dyDescent="0.35">
      <c r="X3490" s="40"/>
      <c r="Y3490" s="40"/>
    </row>
    <row r="3491" spans="24:25" x14ac:dyDescent="0.35">
      <c r="X3491" s="40"/>
      <c r="Y3491" s="40"/>
    </row>
    <row r="3492" spans="24:25" x14ac:dyDescent="0.35">
      <c r="X3492" s="40"/>
      <c r="Y3492" s="40"/>
    </row>
    <row r="3493" spans="24:25" x14ac:dyDescent="0.35">
      <c r="X3493" s="40"/>
      <c r="Y3493" s="40"/>
    </row>
    <row r="3494" spans="24:25" x14ac:dyDescent="0.35">
      <c r="X3494" s="40"/>
      <c r="Y3494" s="40"/>
    </row>
    <row r="3495" spans="24:25" x14ac:dyDescent="0.35">
      <c r="X3495" s="40"/>
      <c r="Y3495" s="40"/>
    </row>
    <row r="3496" spans="24:25" x14ac:dyDescent="0.35">
      <c r="X3496" s="40"/>
      <c r="Y3496" s="40"/>
    </row>
    <row r="3497" spans="24:25" x14ac:dyDescent="0.35">
      <c r="X3497" s="40"/>
      <c r="Y3497" s="40"/>
    </row>
    <row r="3498" spans="24:25" x14ac:dyDescent="0.35">
      <c r="X3498" s="40"/>
      <c r="Y3498" s="40"/>
    </row>
    <row r="3499" spans="24:25" x14ac:dyDescent="0.35">
      <c r="X3499" s="40"/>
      <c r="Y3499" s="40"/>
    </row>
    <row r="3500" spans="24:25" x14ac:dyDescent="0.35">
      <c r="X3500" s="40"/>
      <c r="Y3500" s="40"/>
    </row>
    <row r="3501" spans="24:25" x14ac:dyDescent="0.35">
      <c r="X3501" s="40"/>
      <c r="Y3501" s="40"/>
    </row>
    <row r="3502" spans="24:25" x14ac:dyDescent="0.35">
      <c r="X3502" s="40"/>
      <c r="Y3502" s="40"/>
    </row>
    <row r="3503" spans="24:25" x14ac:dyDescent="0.35">
      <c r="X3503" s="40"/>
      <c r="Y3503" s="40"/>
    </row>
    <row r="3504" spans="24:25" x14ac:dyDescent="0.35">
      <c r="X3504" s="40"/>
      <c r="Y3504" s="40"/>
    </row>
    <row r="3505" spans="24:25" x14ac:dyDescent="0.35">
      <c r="X3505" s="40"/>
      <c r="Y3505" s="40"/>
    </row>
    <row r="3506" spans="24:25" x14ac:dyDescent="0.35">
      <c r="X3506" s="40"/>
      <c r="Y3506" s="40"/>
    </row>
    <row r="3507" spans="24:25" x14ac:dyDescent="0.35">
      <c r="X3507" s="40"/>
      <c r="Y3507" s="40"/>
    </row>
    <row r="3508" spans="24:25" x14ac:dyDescent="0.35">
      <c r="X3508" s="40"/>
      <c r="Y3508" s="40"/>
    </row>
    <row r="3509" spans="24:25" x14ac:dyDescent="0.35">
      <c r="X3509" s="40"/>
      <c r="Y3509" s="40"/>
    </row>
    <row r="3510" spans="24:25" x14ac:dyDescent="0.35">
      <c r="X3510" s="40"/>
      <c r="Y3510" s="40"/>
    </row>
    <row r="3511" spans="24:25" x14ac:dyDescent="0.35">
      <c r="X3511" s="40"/>
      <c r="Y3511" s="40"/>
    </row>
    <row r="3512" spans="24:25" x14ac:dyDescent="0.35">
      <c r="X3512" s="40"/>
      <c r="Y3512" s="40"/>
    </row>
    <row r="3513" spans="24:25" x14ac:dyDescent="0.35">
      <c r="X3513" s="40"/>
      <c r="Y3513" s="40"/>
    </row>
    <row r="3514" spans="24:25" x14ac:dyDescent="0.35">
      <c r="X3514" s="40"/>
      <c r="Y3514" s="40"/>
    </row>
    <row r="3515" spans="24:25" x14ac:dyDescent="0.35">
      <c r="X3515" s="40"/>
      <c r="Y3515" s="40"/>
    </row>
    <row r="3516" spans="24:25" x14ac:dyDescent="0.35">
      <c r="X3516" s="40"/>
      <c r="Y3516" s="40"/>
    </row>
    <row r="3517" spans="24:25" x14ac:dyDescent="0.35">
      <c r="X3517" s="40"/>
      <c r="Y3517" s="40"/>
    </row>
    <row r="3518" spans="24:25" x14ac:dyDescent="0.35">
      <c r="X3518" s="40"/>
      <c r="Y3518" s="40"/>
    </row>
    <row r="3519" spans="24:25" x14ac:dyDescent="0.35">
      <c r="X3519" s="40"/>
      <c r="Y3519" s="40"/>
    </row>
    <row r="3520" spans="24:25" x14ac:dyDescent="0.35">
      <c r="X3520" s="40"/>
      <c r="Y3520" s="40"/>
    </row>
    <row r="3521" spans="24:25" x14ac:dyDescent="0.35">
      <c r="X3521" s="40"/>
      <c r="Y3521" s="40"/>
    </row>
    <row r="3522" spans="24:25" x14ac:dyDescent="0.35">
      <c r="X3522" s="40"/>
      <c r="Y3522" s="40"/>
    </row>
    <row r="3523" spans="24:25" x14ac:dyDescent="0.35">
      <c r="X3523" s="40"/>
      <c r="Y3523" s="40"/>
    </row>
    <row r="3524" spans="24:25" x14ac:dyDescent="0.35">
      <c r="X3524" s="40"/>
      <c r="Y3524" s="40"/>
    </row>
    <row r="3525" spans="24:25" x14ac:dyDescent="0.35">
      <c r="X3525" s="40"/>
      <c r="Y3525" s="40"/>
    </row>
    <row r="3526" spans="24:25" x14ac:dyDescent="0.35">
      <c r="X3526" s="40"/>
      <c r="Y3526" s="40"/>
    </row>
    <row r="3527" spans="24:25" x14ac:dyDescent="0.35">
      <c r="X3527" s="40"/>
      <c r="Y3527" s="40"/>
    </row>
    <row r="3528" spans="24:25" x14ac:dyDescent="0.35">
      <c r="X3528" s="40"/>
      <c r="Y3528" s="40"/>
    </row>
    <row r="3529" spans="24:25" x14ac:dyDescent="0.35">
      <c r="X3529" s="40"/>
      <c r="Y3529" s="40"/>
    </row>
    <row r="3530" spans="24:25" x14ac:dyDescent="0.35">
      <c r="X3530" s="40"/>
      <c r="Y3530" s="40"/>
    </row>
    <row r="3531" spans="24:25" x14ac:dyDescent="0.35">
      <c r="X3531" s="40"/>
      <c r="Y3531" s="40"/>
    </row>
    <row r="3532" spans="24:25" x14ac:dyDescent="0.35">
      <c r="X3532" s="40"/>
      <c r="Y3532" s="40"/>
    </row>
    <row r="3533" spans="24:25" x14ac:dyDescent="0.35">
      <c r="X3533" s="40"/>
      <c r="Y3533" s="40"/>
    </row>
    <row r="3534" spans="24:25" x14ac:dyDescent="0.35">
      <c r="X3534" s="40"/>
      <c r="Y3534" s="40"/>
    </row>
    <row r="3535" spans="24:25" x14ac:dyDescent="0.35">
      <c r="X3535" s="40"/>
      <c r="Y3535" s="40"/>
    </row>
    <row r="3536" spans="24:25" x14ac:dyDescent="0.35">
      <c r="X3536" s="40"/>
      <c r="Y3536" s="40"/>
    </row>
    <row r="3537" spans="24:25" x14ac:dyDescent="0.35">
      <c r="X3537" s="40"/>
      <c r="Y3537" s="40"/>
    </row>
    <row r="3538" spans="24:25" x14ac:dyDescent="0.35">
      <c r="X3538" s="40"/>
      <c r="Y3538" s="40"/>
    </row>
    <row r="3539" spans="24:25" x14ac:dyDescent="0.35">
      <c r="X3539" s="40"/>
      <c r="Y3539" s="40"/>
    </row>
    <row r="3540" spans="24:25" x14ac:dyDescent="0.35">
      <c r="X3540" s="40"/>
      <c r="Y3540" s="40"/>
    </row>
    <row r="3541" spans="24:25" x14ac:dyDescent="0.35">
      <c r="X3541" s="40"/>
      <c r="Y3541" s="40"/>
    </row>
    <row r="3542" spans="24:25" x14ac:dyDescent="0.35">
      <c r="X3542" s="40"/>
      <c r="Y3542" s="40"/>
    </row>
    <row r="3543" spans="24:25" x14ac:dyDescent="0.35">
      <c r="X3543" s="40"/>
      <c r="Y3543" s="40"/>
    </row>
    <row r="3544" spans="24:25" x14ac:dyDescent="0.35">
      <c r="X3544" s="40"/>
      <c r="Y3544" s="40"/>
    </row>
    <row r="3545" spans="24:25" x14ac:dyDescent="0.35">
      <c r="X3545" s="40"/>
      <c r="Y3545" s="40"/>
    </row>
    <row r="3546" spans="24:25" x14ac:dyDescent="0.35">
      <c r="X3546" s="40"/>
      <c r="Y3546" s="40"/>
    </row>
    <row r="3547" spans="24:25" x14ac:dyDescent="0.35">
      <c r="X3547" s="40"/>
      <c r="Y3547" s="40"/>
    </row>
    <row r="3548" spans="24:25" x14ac:dyDescent="0.35">
      <c r="X3548" s="40"/>
      <c r="Y3548" s="40"/>
    </row>
    <row r="3549" spans="24:25" x14ac:dyDescent="0.35">
      <c r="X3549" s="40"/>
      <c r="Y3549" s="40"/>
    </row>
    <row r="3550" spans="24:25" x14ac:dyDescent="0.35">
      <c r="X3550" s="40"/>
      <c r="Y3550" s="40"/>
    </row>
    <row r="3551" spans="24:25" x14ac:dyDescent="0.35">
      <c r="X3551" s="40"/>
      <c r="Y3551" s="40"/>
    </row>
    <row r="3552" spans="24:25" x14ac:dyDescent="0.35">
      <c r="X3552" s="40"/>
      <c r="Y3552" s="40"/>
    </row>
    <row r="3553" spans="24:25" x14ac:dyDescent="0.35">
      <c r="X3553" s="40"/>
      <c r="Y3553" s="40"/>
    </row>
    <row r="3554" spans="24:25" x14ac:dyDescent="0.35">
      <c r="X3554" s="40"/>
      <c r="Y3554" s="40"/>
    </row>
    <row r="3555" spans="24:25" x14ac:dyDescent="0.35">
      <c r="X3555" s="40"/>
      <c r="Y3555" s="40"/>
    </row>
    <row r="3556" spans="24:25" x14ac:dyDescent="0.35">
      <c r="X3556" s="40"/>
      <c r="Y3556" s="40"/>
    </row>
    <row r="3557" spans="24:25" x14ac:dyDescent="0.35">
      <c r="X3557" s="40"/>
      <c r="Y3557" s="40"/>
    </row>
    <row r="3558" spans="24:25" x14ac:dyDescent="0.35">
      <c r="X3558" s="40"/>
      <c r="Y3558" s="40"/>
    </row>
    <row r="3559" spans="24:25" x14ac:dyDescent="0.35">
      <c r="X3559" s="40"/>
      <c r="Y3559" s="40"/>
    </row>
    <row r="3560" spans="24:25" x14ac:dyDescent="0.35">
      <c r="X3560" s="40"/>
      <c r="Y3560" s="40"/>
    </row>
    <row r="3561" spans="24:25" x14ac:dyDescent="0.35">
      <c r="X3561" s="40"/>
      <c r="Y3561" s="40"/>
    </row>
    <row r="3562" spans="24:25" x14ac:dyDescent="0.35">
      <c r="X3562" s="40"/>
      <c r="Y3562" s="40"/>
    </row>
    <row r="3563" spans="24:25" x14ac:dyDescent="0.35">
      <c r="X3563" s="40"/>
      <c r="Y3563" s="40"/>
    </row>
    <row r="3564" spans="24:25" x14ac:dyDescent="0.35">
      <c r="X3564" s="40"/>
      <c r="Y3564" s="40"/>
    </row>
    <row r="3565" spans="24:25" x14ac:dyDescent="0.35">
      <c r="X3565" s="40"/>
      <c r="Y3565" s="40"/>
    </row>
    <row r="3566" spans="24:25" x14ac:dyDescent="0.35">
      <c r="X3566" s="40"/>
      <c r="Y3566" s="40"/>
    </row>
    <row r="3567" spans="24:25" x14ac:dyDescent="0.35">
      <c r="X3567" s="40"/>
      <c r="Y3567" s="40"/>
    </row>
    <row r="3568" spans="24:25" x14ac:dyDescent="0.35">
      <c r="X3568" s="40"/>
      <c r="Y3568" s="40"/>
    </row>
    <row r="3569" spans="24:25" x14ac:dyDescent="0.35">
      <c r="X3569" s="40"/>
      <c r="Y3569" s="40"/>
    </row>
    <row r="3570" spans="24:25" x14ac:dyDescent="0.35">
      <c r="X3570" s="40"/>
      <c r="Y3570" s="40"/>
    </row>
    <row r="3571" spans="24:25" x14ac:dyDescent="0.35">
      <c r="X3571" s="40"/>
      <c r="Y3571" s="40"/>
    </row>
    <row r="3572" spans="24:25" x14ac:dyDescent="0.35">
      <c r="X3572" s="40"/>
      <c r="Y3572" s="40"/>
    </row>
    <row r="3573" spans="24:25" x14ac:dyDescent="0.35">
      <c r="X3573" s="40"/>
      <c r="Y3573" s="40"/>
    </row>
    <row r="3574" spans="24:25" x14ac:dyDescent="0.35">
      <c r="X3574" s="40"/>
      <c r="Y3574" s="40"/>
    </row>
    <row r="3575" spans="24:25" x14ac:dyDescent="0.35">
      <c r="X3575" s="40"/>
      <c r="Y3575" s="40"/>
    </row>
    <row r="3576" spans="24:25" x14ac:dyDescent="0.35">
      <c r="X3576" s="40"/>
      <c r="Y3576" s="40"/>
    </row>
    <row r="3577" spans="24:25" x14ac:dyDescent="0.35">
      <c r="X3577" s="40"/>
      <c r="Y3577" s="40"/>
    </row>
    <row r="3578" spans="24:25" x14ac:dyDescent="0.35">
      <c r="X3578" s="40"/>
      <c r="Y3578" s="40"/>
    </row>
    <row r="3579" spans="24:25" x14ac:dyDescent="0.35">
      <c r="X3579" s="40"/>
      <c r="Y3579" s="40"/>
    </row>
    <row r="3580" spans="24:25" x14ac:dyDescent="0.35">
      <c r="X3580" s="40"/>
      <c r="Y3580" s="40"/>
    </row>
    <row r="3581" spans="24:25" x14ac:dyDescent="0.35">
      <c r="X3581" s="40"/>
      <c r="Y3581" s="40"/>
    </row>
    <row r="3582" spans="24:25" x14ac:dyDescent="0.35">
      <c r="X3582" s="40"/>
      <c r="Y3582" s="40"/>
    </row>
    <row r="3583" spans="24:25" x14ac:dyDescent="0.35">
      <c r="X3583" s="40"/>
      <c r="Y3583" s="40"/>
    </row>
    <row r="3584" spans="24:25" x14ac:dyDescent="0.35">
      <c r="X3584" s="40"/>
      <c r="Y3584" s="40"/>
    </row>
    <row r="3585" spans="24:25" x14ac:dyDescent="0.35">
      <c r="X3585" s="40"/>
      <c r="Y3585" s="40"/>
    </row>
    <row r="3586" spans="24:25" x14ac:dyDescent="0.35">
      <c r="X3586" s="40"/>
      <c r="Y3586" s="40"/>
    </row>
    <row r="3587" spans="24:25" x14ac:dyDescent="0.35">
      <c r="X3587" s="40"/>
      <c r="Y3587" s="40"/>
    </row>
    <row r="3588" spans="24:25" x14ac:dyDescent="0.35">
      <c r="X3588" s="40"/>
      <c r="Y3588" s="40"/>
    </row>
    <row r="3589" spans="24:25" x14ac:dyDescent="0.35">
      <c r="X3589" s="40"/>
      <c r="Y3589" s="40"/>
    </row>
    <row r="3590" spans="24:25" x14ac:dyDescent="0.35">
      <c r="X3590" s="40"/>
      <c r="Y3590" s="40"/>
    </row>
    <row r="3591" spans="24:25" x14ac:dyDescent="0.35">
      <c r="X3591" s="40"/>
      <c r="Y3591" s="40"/>
    </row>
    <row r="3592" spans="24:25" x14ac:dyDescent="0.35">
      <c r="X3592" s="40"/>
      <c r="Y3592" s="40"/>
    </row>
    <row r="3593" spans="24:25" x14ac:dyDescent="0.35">
      <c r="X3593" s="40"/>
      <c r="Y3593" s="40"/>
    </row>
    <row r="3594" spans="24:25" x14ac:dyDescent="0.35">
      <c r="X3594" s="40"/>
      <c r="Y3594" s="40"/>
    </row>
    <row r="3595" spans="24:25" x14ac:dyDescent="0.35">
      <c r="X3595" s="40"/>
      <c r="Y3595" s="40"/>
    </row>
    <row r="3596" spans="24:25" x14ac:dyDescent="0.35">
      <c r="X3596" s="40"/>
      <c r="Y3596" s="40"/>
    </row>
    <row r="3597" spans="24:25" x14ac:dyDescent="0.35">
      <c r="X3597" s="40"/>
      <c r="Y3597" s="40"/>
    </row>
    <row r="3598" spans="24:25" x14ac:dyDescent="0.35">
      <c r="X3598" s="40"/>
      <c r="Y3598" s="40"/>
    </row>
    <row r="3599" spans="24:25" x14ac:dyDescent="0.35">
      <c r="X3599" s="40"/>
      <c r="Y3599" s="40"/>
    </row>
    <row r="3600" spans="24:25" x14ac:dyDescent="0.35">
      <c r="X3600" s="40"/>
      <c r="Y3600" s="40"/>
    </row>
    <row r="3601" spans="24:25" x14ac:dyDescent="0.35">
      <c r="X3601" s="40"/>
      <c r="Y3601" s="40"/>
    </row>
    <row r="3602" spans="24:25" x14ac:dyDescent="0.35">
      <c r="X3602" s="40"/>
      <c r="Y3602" s="40"/>
    </row>
    <row r="3603" spans="24:25" x14ac:dyDescent="0.35">
      <c r="X3603" s="40"/>
      <c r="Y3603" s="40"/>
    </row>
    <row r="3604" spans="24:25" x14ac:dyDescent="0.35">
      <c r="X3604" s="40"/>
      <c r="Y3604" s="40"/>
    </row>
    <row r="3605" spans="24:25" x14ac:dyDescent="0.35">
      <c r="X3605" s="40"/>
      <c r="Y3605" s="40"/>
    </row>
    <row r="3606" spans="24:25" x14ac:dyDescent="0.35">
      <c r="X3606" s="40"/>
      <c r="Y3606" s="40"/>
    </row>
    <row r="3607" spans="24:25" x14ac:dyDescent="0.35">
      <c r="X3607" s="40"/>
      <c r="Y3607" s="40"/>
    </row>
    <row r="3608" spans="24:25" x14ac:dyDescent="0.35">
      <c r="X3608" s="40"/>
      <c r="Y3608" s="40"/>
    </row>
    <row r="3609" spans="24:25" x14ac:dyDescent="0.35">
      <c r="X3609" s="40"/>
      <c r="Y3609" s="40"/>
    </row>
    <row r="3610" spans="24:25" x14ac:dyDescent="0.35">
      <c r="X3610" s="40"/>
      <c r="Y3610" s="40"/>
    </row>
    <row r="3611" spans="24:25" x14ac:dyDescent="0.35">
      <c r="X3611" s="40"/>
      <c r="Y3611" s="40"/>
    </row>
    <row r="3612" spans="24:25" x14ac:dyDescent="0.35">
      <c r="X3612" s="40"/>
      <c r="Y3612" s="40"/>
    </row>
    <row r="3613" spans="24:25" x14ac:dyDescent="0.35">
      <c r="X3613" s="40"/>
      <c r="Y3613" s="40"/>
    </row>
    <row r="3614" spans="24:25" x14ac:dyDescent="0.35">
      <c r="X3614" s="40"/>
      <c r="Y3614" s="40"/>
    </row>
    <row r="3615" spans="24:25" x14ac:dyDescent="0.35">
      <c r="X3615" s="40"/>
      <c r="Y3615" s="40"/>
    </row>
    <row r="3616" spans="24:25" x14ac:dyDescent="0.35">
      <c r="X3616" s="40"/>
      <c r="Y3616" s="40"/>
    </row>
    <row r="3617" spans="24:25" x14ac:dyDescent="0.35">
      <c r="X3617" s="40"/>
      <c r="Y3617" s="40"/>
    </row>
    <row r="3618" spans="24:25" x14ac:dyDescent="0.35">
      <c r="X3618" s="40"/>
      <c r="Y3618" s="40"/>
    </row>
    <row r="3619" spans="24:25" x14ac:dyDescent="0.35">
      <c r="X3619" s="40"/>
      <c r="Y3619" s="40"/>
    </row>
    <row r="3620" spans="24:25" x14ac:dyDescent="0.35">
      <c r="X3620" s="40"/>
      <c r="Y3620" s="40"/>
    </row>
    <row r="3621" spans="24:25" x14ac:dyDescent="0.35">
      <c r="X3621" s="40"/>
      <c r="Y3621" s="40"/>
    </row>
    <row r="3622" spans="24:25" x14ac:dyDescent="0.35">
      <c r="X3622" s="40"/>
      <c r="Y3622" s="40"/>
    </row>
    <row r="3623" spans="24:25" x14ac:dyDescent="0.35">
      <c r="X3623" s="40"/>
      <c r="Y3623" s="40"/>
    </row>
    <row r="3624" spans="24:25" x14ac:dyDescent="0.35">
      <c r="X3624" s="40"/>
      <c r="Y3624" s="40"/>
    </row>
    <row r="3625" spans="24:25" x14ac:dyDescent="0.35">
      <c r="X3625" s="40"/>
      <c r="Y3625" s="40"/>
    </row>
    <row r="3626" spans="24:25" x14ac:dyDescent="0.35">
      <c r="X3626" s="40"/>
      <c r="Y3626" s="40"/>
    </row>
    <row r="3627" spans="24:25" x14ac:dyDescent="0.35">
      <c r="X3627" s="40"/>
      <c r="Y3627" s="40"/>
    </row>
    <row r="3628" spans="24:25" x14ac:dyDescent="0.35">
      <c r="X3628" s="40"/>
      <c r="Y3628" s="40"/>
    </row>
    <row r="3629" spans="24:25" x14ac:dyDescent="0.35">
      <c r="X3629" s="40"/>
      <c r="Y3629" s="40"/>
    </row>
    <row r="3630" spans="24:25" x14ac:dyDescent="0.35">
      <c r="X3630" s="40"/>
      <c r="Y3630" s="40"/>
    </row>
    <row r="3631" spans="24:25" x14ac:dyDescent="0.35">
      <c r="X3631" s="40"/>
      <c r="Y3631" s="40"/>
    </row>
    <row r="3632" spans="24:25" x14ac:dyDescent="0.35">
      <c r="X3632" s="40"/>
      <c r="Y3632" s="40"/>
    </row>
    <row r="3633" spans="24:25" x14ac:dyDescent="0.35">
      <c r="X3633" s="40"/>
      <c r="Y3633" s="40"/>
    </row>
    <row r="3634" spans="24:25" x14ac:dyDescent="0.35">
      <c r="X3634" s="40"/>
      <c r="Y3634" s="40"/>
    </row>
    <row r="3635" spans="24:25" x14ac:dyDescent="0.35">
      <c r="X3635" s="40"/>
      <c r="Y3635" s="40"/>
    </row>
    <row r="3636" spans="24:25" x14ac:dyDescent="0.35">
      <c r="X3636" s="40"/>
      <c r="Y3636" s="40"/>
    </row>
    <row r="3637" spans="24:25" x14ac:dyDescent="0.35">
      <c r="X3637" s="40"/>
      <c r="Y3637" s="40"/>
    </row>
    <row r="3638" spans="24:25" x14ac:dyDescent="0.35">
      <c r="X3638" s="40"/>
      <c r="Y3638" s="40"/>
    </row>
    <row r="3639" spans="24:25" x14ac:dyDescent="0.35">
      <c r="X3639" s="40"/>
      <c r="Y3639" s="40"/>
    </row>
    <row r="3640" spans="24:25" x14ac:dyDescent="0.35">
      <c r="X3640" s="40"/>
      <c r="Y3640" s="40"/>
    </row>
    <row r="3641" spans="24:25" x14ac:dyDescent="0.35">
      <c r="X3641" s="40"/>
      <c r="Y3641" s="40"/>
    </row>
    <row r="3642" spans="24:25" x14ac:dyDescent="0.35">
      <c r="X3642" s="40"/>
      <c r="Y3642" s="40"/>
    </row>
    <row r="3643" spans="24:25" x14ac:dyDescent="0.35">
      <c r="X3643" s="40"/>
      <c r="Y3643" s="40"/>
    </row>
    <row r="3644" spans="24:25" x14ac:dyDescent="0.35">
      <c r="X3644" s="40"/>
      <c r="Y3644" s="40"/>
    </row>
    <row r="3645" spans="24:25" x14ac:dyDescent="0.35">
      <c r="X3645" s="40"/>
      <c r="Y3645" s="40"/>
    </row>
    <row r="3646" spans="24:25" x14ac:dyDescent="0.35">
      <c r="X3646" s="40"/>
      <c r="Y3646" s="40"/>
    </row>
    <row r="3647" spans="24:25" x14ac:dyDescent="0.35">
      <c r="X3647" s="40"/>
      <c r="Y3647" s="40"/>
    </row>
    <row r="3648" spans="24:25" x14ac:dyDescent="0.35">
      <c r="X3648" s="40"/>
      <c r="Y3648" s="40"/>
    </row>
    <row r="3649" spans="24:25" x14ac:dyDescent="0.35">
      <c r="X3649" s="40"/>
      <c r="Y3649" s="40"/>
    </row>
    <row r="3650" spans="24:25" x14ac:dyDescent="0.35">
      <c r="X3650" s="40"/>
      <c r="Y3650" s="40"/>
    </row>
    <row r="3651" spans="24:25" x14ac:dyDescent="0.35">
      <c r="X3651" s="40"/>
      <c r="Y3651" s="40"/>
    </row>
    <row r="3652" spans="24:25" x14ac:dyDescent="0.35">
      <c r="X3652" s="40"/>
      <c r="Y3652" s="40"/>
    </row>
    <row r="3653" spans="24:25" x14ac:dyDescent="0.35">
      <c r="X3653" s="40"/>
      <c r="Y3653" s="40"/>
    </row>
    <row r="3654" spans="24:25" x14ac:dyDescent="0.35">
      <c r="X3654" s="40"/>
      <c r="Y3654" s="40"/>
    </row>
    <row r="3655" spans="24:25" x14ac:dyDescent="0.35">
      <c r="X3655" s="40"/>
      <c r="Y3655" s="40"/>
    </row>
    <row r="3656" spans="24:25" x14ac:dyDescent="0.35">
      <c r="X3656" s="40"/>
      <c r="Y3656" s="40"/>
    </row>
    <row r="3657" spans="24:25" x14ac:dyDescent="0.35">
      <c r="X3657" s="40"/>
      <c r="Y3657" s="40"/>
    </row>
    <row r="3658" spans="24:25" x14ac:dyDescent="0.35">
      <c r="X3658" s="40"/>
      <c r="Y3658" s="40"/>
    </row>
    <row r="3659" spans="24:25" x14ac:dyDescent="0.35">
      <c r="X3659" s="40"/>
      <c r="Y3659" s="40"/>
    </row>
    <row r="3660" spans="24:25" x14ac:dyDescent="0.35">
      <c r="X3660" s="40"/>
      <c r="Y3660" s="40"/>
    </row>
    <row r="3661" spans="24:25" x14ac:dyDescent="0.35">
      <c r="X3661" s="40"/>
      <c r="Y3661" s="40"/>
    </row>
    <row r="3662" spans="24:25" x14ac:dyDescent="0.35">
      <c r="X3662" s="40"/>
      <c r="Y3662" s="40"/>
    </row>
    <row r="3663" spans="24:25" x14ac:dyDescent="0.35">
      <c r="X3663" s="40"/>
      <c r="Y3663" s="40"/>
    </row>
    <row r="3664" spans="24:25" x14ac:dyDescent="0.35">
      <c r="X3664" s="40"/>
      <c r="Y3664" s="40"/>
    </row>
    <row r="3665" spans="24:25" x14ac:dyDescent="0.35">
      <c r="X3665" s="40"/>
      <c r="Y3665" s="40"/>
    </row>
    <row r="3666" spans="24:25" x14ac:dyDescent="0.35">
      <c r="X3666" s="40"/>
      <c r="Y3666" s="40"/>
    </row>
    <row r="3667" spans="24:25" x14ac:dyDescent="0.35">
      <c r="X3667" s="40"/>
      <c r="Y3667" s="40"/>
    </row>
    <row r="3668" spans="24:25" x14ac:dyDescent="0.35">
      <c r="X3668" s="40"/>
      <c r="Y3668" s="40"/>
    </row>
    <row r="3669" spans="24:25" x14ac:dyDescent="0.35">
      <c r="X3669" s="40"/>
      <c r="Y3669" s="40"/>
    </row>
    <row r="3670" spans="24:25" x14ac:dyDescent="0.35">
      <c r="X3670" s="40"/>
      <c r="Y3670" s="40"/>
    </row>
    <row r="3671" spans="24:25" x14ac:dyDescent="0.35">
      <c r="X3671" s="40"/>
      <c r="Y3671" s="40"/>
    </row>
    <row r="3672" spans="24:25" x14ac:dyDescent="0.35">
      <c r="X3672" s="40"/>
      <c r="Y3672" s="40"/>
    </row>
    <row r="3673" spans="24:25" x14ac:dyDescent="0.35">
      <c r="X3673" s="40"/>
      <c r="Y3673" s="40"/>
    </row>
    <row r="3674" spans="24:25" x14ac:dyDescent="0.35">
      <c r="X3674" s="40"/>
      <c r="Y3674" s="40"/>
    </row>
    <row r="3675" spans="24:25" x14ac:dyDescent="0.35">
      <c r="X3675" s="40"/>
      <c r="Y3675" s="40"/>
    </row>
    <row r="3676" spans="24:25" x14ac:dyDescent="0.35">
      <c r="X3676" s="40"/>
      <c r="Y3676" s="40"/>
    </row>
    <row r="3677" spans="24:25" x14ac:dyDescent="0.35">
      <c r="X3677" s="40"/>
      <c r="Y3677" s="40"/>
    </row>
    <row r="3678" spans="24:25" x14ac:dyDescent="0.35">
      <c r="X3678" s="40"/>
      <c r="Y3678" s="40"/>
    </row>
    <row r="3679" spans="24:25" x14ac:dyDescent="0.35">
      <c r="X3679" s="40"/>
      <c r="Y3679" s="40"/>
    </row>
    <row r="3680" spans="24:25" x14ac:dyDescent="0.35">
      <c r="X3680" s="40"/>
      <c r="Y3680" s="40"/>
    </row>
    <row r="3681" spans="24:25" x14ac:dyDescent="0.35">
      <c r="X3681" s="40"/>
      <c r="Y3681" s="40"/>
    </row>
    <row r="3682" spans="24:25" x14ac:dyDescent="0.35">
      <c r="X3682" s="40"/>
      <c r="Y3682" s="40"/>
    </row>
    <row r="3683" spans="24:25" x14ac:dyDescent="0.35">
      <c r="X3683" s="40"/>
      <c r="Y3683" s="40"/>
    </row>
    <row r="3684" spans="24:25" x14ac:dyDescent="0.35">
      <c r="X3684" s="40"/>
      <c r="Y3684" s="40"/>
    </row>
    <row r="3685" spans="24:25" x14ac:dyDescent="0.35">
      <c r="X3685" s="40"/>
      <c r="Y3685" s="40"/>
    </row>
    <row r="3686" spans="24:25" x14ac:dyDescent="0.35">
      <c r="X3686" s="40"/>
      <c r="Y3686" s="40"/>
    </row>
    <row r="3687" spans="24:25" x14ac:dyDescent="0.35">
      <c r="X3687" s="40"/>
      <c r="Y3687" s="40"/>
    </row>
    <row r="3688" spans="24:25" x14ac:dyDescent="0.35">
      <c r="X3688" s="40"/>
      <c r="Y3688" s="40"/>
    </row>
    <row r="3689" spans="24:25" x14ac:dyDescent="0.35">
      <c r="X3689" s="40"/>
      <c r="Y3689" s="40"/>
    </row>
    <row r="3690" spans="24:25" x14ac:dyDescent="0.35">
      <c r="X3690" s="40"/>
      <c r="Y3690" s="40"/>
    </row>
    <row r="3691" spans="24:25" x14ac:dyDescent="0.35">
      <c r="X3691" s="40"/>
      <c r="Y3691" s="40"/>
    </row>
    <row r="3692" spans="24:25" x14ac:dyDescent="0.35">
      <c r="X3692" s="40"/>
      <c r="Y3692" s="40"/>
    </row>
    <row r="3693" spans="24:25" x14ac:dyDescent="0.35">
      <c r="X3693" s="40"/>
      <c r="Y3693" s="40"/>
    </row>
    <row r="3694" spans="24:25" x14ac:dyDescent="0.35">
      <c r="X3694" s="40"/>
      <c r="Y3694" s="40"/>
    </row>
    <row r="3695" spans="24:25" x14ac:dyDescent="0.35">
      <c r="X3695" s="40"/>
      <c r="Y3695" s="40"/>
    </row>
    <row r="3696" spans="24:25" x14ac:dyDescent="0.35">
      <c r="X3696" s="40"/>
      <c r="Y3696" s="40"/>
    </row>
    <row r="3697" spans="24:25" x14ac:dyDescent="0.35">
      <c r="X3697" s="40"/>
      <c r="Y3697" s="40"/>
    </row>
    <row r="3698" spans="24:25" x14ac:dyDescent="0.35">
      <c r="X3698" s="40"/>
      <c r="Y3698" s="40"/>
    </row>
    <row r="3699" spans="24:25" x14ac:dyDescent="0.35">
      <c r="X3699" s="40"/>
      <c r="Y3699" s="40"/>
    </row>
    <row r="3700" spans="24:25" x14ac:dyDescent="0.35">
      <c r="X3700" s="40"/>
      <c r="Y3700" s="40"/>
    </row>
    <row r="3701" spans="24:25" x14ac:dyDescent="0.35">
      <c r="X3701" s="40"/>
      <c r="Y3701" s="40"/>
    </row>
    <row r="3702" spans="24:25" x14ac:dyDescent="0.35">
      <c r="X3702" s="40"/>
      <c r="Y3702" s="40"/>
    </row>
    <row r="3703" spans="24:25" x14ac:dyDescent="0.35">
      <c r="X3703" s="40"/>
      <c r="Y3703" s="40"/>
    </row>
    <row r="3704" spans="24:25" x14ac:dyDescent="0.35">
      <c r="X3704" s="40"/>
      <c r="Y3704" s="40"/>
    </row>
    <row r="3705" spans="24:25" x14ac:dyDescent="0.35">
      <c r="X3705" s="40"/>
      <c r="Y3705" s="40"/>
    </row>
    <row r="3706" spans="24:25" x14ac:dyDescent="0.35">
      <c r="X3706" s="40"/>
      <c r="Y3706" s="40"/>
    </row>
    <row r="3707" spans="24:25" x14ac:dyDescent="0.35">
      <c r="X3707" s="40"/>
      <c r="Y3707" s="40"/>
    </row>
    <row r="3708" spans="24:25" x14ac:dyDescent="0.35">
      <c r="X3708" s="40"/>
      <c r="Y3708" s="40"/>
    </row>
    <row r="3709" spans="24:25" x14ac:dyDescent="0.35">
      <c r="X3709" s="40"/>
      <c r="Y3709" s="40"/>
    </row>
    <row r="3710" spans="24:25" x14ac:dyDescent="0.35">
      <c r="X3710" s="40"/>
      <c r="Y3710" s="40"/>
    </row>
    <row r="3711" spans="24:25" x14ac:dyDescent="0.35">
      <c r="X3711" s="40"/>
      <c r="Y3711" s="40"/>
    </row>
    <row r="3712" spans="24:25" x14ac:dyDescent="0.35">
      <c r="X3712" s="40"/>
      <c r="Y3712" s="40"/>
    </row>
    <row r="3713" spans="24:25" x14ac:dyDescent="0.35">
      <c r="X3713" s="40"/>
      <c r="Y3713" s="40"/>
    </row>
    <row r="3714" spans="24:25" x14ac:dyDescent="0.35">
      <c r="X3714" s="40"/>
      <c r="Y3714" s="40"/>
    </row>
    <row r="3715" spans="24:25" x14ac:dyDescent="0.35">
      <c r="X3715" s="40"/>
      <c r="Y3715" s="40"/>
    </row>
    <row r="3716" spans="24:25" x14ac:dyDescent="0.35">
      <c r="X3716" s="40"/>
      <c r="Y3716" s="40"/>
    </row>
    <row r="3717" spans="24:25" x14ac:dyDescent="0.35">
      <c r="X3717" s="40"/>
      <c r="Y3717" s="40"/>
    </row>
    <row r="3718" spans="24:25" x14ac:dyDescent="0.35">
      <c r="X3718" s="40"/>
      <c r="Y3718" s="40"/>
    </row>
    <row r="3719" spans="24:25" x14ac:dyDescent="0.35">
      <c r="X3719" s="40"/>
      <c r="Y3719" s="40"/>
    </row>
    <row r="3720" spans="24:25" x14ac:dyDescent="0.35">
      <c r="X3720" s="40"/>
      <c r="Y3720" s="40"/>
    </row>
    <row r="3721" spans="24:25" x14ac:dyDescent="0.35">
      <c r="X3721" s="40"/>
      <c r="Y3721" s="40"/>
    </row>
    <row r="3722" spans="24:25" x14ac:dyDescent="0.35">
      <c r="X3722" s="40"/>
      <c r="Y3722" s="40"/>
    </row>
    <row r="3723" spans="24:25" x14ac:dyDescent="0.35">
      <c r="X3723" s="40"/>
      <c r="Y3723" s="40"/>
    </row>
    <row r="3724" spans="24:25" x14ac:dyDescent="0.35">
      <c r="X3724" s="40"/>
      <c r="Y3724" s="40"/>
    </row>
    <row r="3725" spans="24:25" x14ac:dyDescent="0.35">
      <c r="X3725" s="40"/>
      <c r="Y3725" s="40"/>
    </row>
    <row r="3726" spans="24:25" x14ac:dyDescent="0.35">
      <c r="X3726" s="40"/>
      <c r="Y3726" s="40"/>
    </row>
    <row r="3727" spans="24:25" x14ac:dyDescent="0.35">
      <c r="X3727" s="40"/>
      <c r="Y3727" s="40"/>
    </row>
    <row r="3728" spans="24:25" x14ac:dyDescent="0.35">
      <c r="X3728" s="40"/>
      <c r="Y3728" s="40"/>
    </row>
    <row r="3729" spans="24:25" x14ac:dyDescent="0.35">
      <c r="X3729" s="40"/>
      <c r="Y3729" s="40"/>
    </row>
    <row r="3730" spans="24:25" x14ac:dyDescent="0.35">
      <c r="X3730" s="40"/>
      <c r="Y3730" s="40"/>
    </row>
    <row r="3731" spans="24:25" x14ac:dyDescent="0.35">
      <c r="X3731" s="40"/>
      <c r="Y3731" s="40"/>
    </row>
    <row r="3732" spans="24:25" x14ac:dyDescent="0.35">
      <c r="X3732" s="40"/>
      <c r="Y3732" s="40"/>
    </row>
    <row r="3733" spans="24:25" x14ac:dyDescent="0.35">
      <c r="X3733" s="40"/>
      <c r="Y3733" s="40"/>
    </row>
    <row r="3734" spans="24:25" x14ac:dyDescent="0.35">
      <c r="X3734" s="40"/>
      <c r="Y3734" s="40"/>
    </row>
    <row r="3735" spans="24:25" x14ac:dyDescent="0.35">
      <c r="X3735" s="40"/>
      <c r="Y3735" s="40"/>
    </row>
    <row r="3736" spans="24:25" x14ac:dyDescent="0.35">
      <c r="X3736" s="40"/>
      <c r="Y3736" s="40"/>
    </row>
    <row r="3737" spans="24:25" x14ac:dyDescent="0.35">
      <c r="X3737" s="40"/>
      <c r="Y3737" s="40"/>
    </row>
    <row r="3738" spans="24:25" x14ac:dyDescent="0.35">
      <c r="X3738" s="40"/>
      <c r="Y3738" s="40"/>
    </row>
    <row r="3739" spans="24:25" x14ac:dyDescent="0.35">
      <c r="X3739" s="40"/>
      <c r="Y3739" s="40"/>
    </row>
    <row r="3740" spans="24:25" x14ac:dyDescent="0.35">
      <c r="X3740" s="40"/>
      <c r="Y3740" s="40"/>
    </row>
    <row r="3741" spans="24:25" x14ac:dyDescent="0.35">
      <c r="X3741" s="40"/>
      <c r="Y3741" s="40"/>
    </row>
    <row r="3742" spans="24:25" x14ac:dyDescent="0.35">
      <c r="X3742" s="40"/>
      <c r="Y3742" s="40"/>
    </row>
    <row r="3743" spans="24:25" x14ac:dyDescent="0.35">
      <c r="X3743" s="40"/>
      <c r="Y3743" s="40"/>
    </row>
    <row r="3744" spans="24:25" x14ac:dyDescent="0.35">
      <c r="X3744" s="40"/>
      <c r="Y3744" s="40"/>
    </row>
    <row r="3745" spans="24:25" x14ac:dyDescent="0.35">
      <c r="X3745" s="40"/>
      <c r="Y3745" s="40"/>
    </row>
    <row r="3746" spans="24:25" x14ac:dyDescent="0.35">
      <c r="X3746" s="40"/>
      <c r="Y3746" s="40"/>
    </row>
    <row r="3747" spans="24:25" x14ac:dyDescent="0.35">
      <c r="X3747" s="40"/>
      <c r="Y3747" s="40"/>
    </row>
    <row r="3748" spans="24:25" x14ac:dyDescent="0.35">
      <c r="X3748" s="40"/>
      <c r="Y3748" s="40"/>
    </row>
    <row r="3749" spans="24:25" x14ac:dyDescent="0.35">
      <c r="X3749" s="40"/>
      <c r="Y3749" s="40"/>
    </row>
    <row r="3750" spans="24:25" x14ac:dyDescent="0.35">
      <c r="X3750" s="40"/>
      <c r="Y3750" s="40"/>
    </row>
    <row r="3751" spans="24:25" x14ac:dyDescent="0.35">
      <c r="X3751" s="40"/>
      <c r="Y3751" s="40"/>
    </row>
    <row r="3752" spans="24:25" x14ac:dyDescent="0.35">
      <c r="X3752" s="40"/>
      <c r="Y3752" s="40"/>
    </row>
    <row r="3753" spans="24:25" x14ac:dyDescent="0.35">
      <c r="X3753" s="40"/>
      <c r="Y3753" s="40"/>
    </row>
    <row r="3754" spans="24:25" x14ac:dyDescent="0.35">
      <c r="X3754" s="40"/>
      <c r="Y3754" s="40"/>
    </row>
    <row r="3755" spans="24:25" x14ac:dyDescent="0.35">
      <c r="X3755" s="40"/>
      <c r="Y3755" s="40"/>
    </row>
    <row r="3756" spans="24:25" x14ac:dyDescent="0.35">
      <c r="X3756" s="40"/>
      <c r="Y3756" s="40"/>
    </row>
    <row r="3757" spans="24:25" x14ac:dyDescent="0.35">
      <c r="X3757" s="40"/>
      <c r="Y3757" s="40"/>
    </row>
    <row r="3758" spans="24:25" x14ac:dyDescent="0.35">
      <c r="X3758" s="40"/>
      <c r="Y3758" s="40"/>
    </row>
    <row r="3759" spans="24:25" x14ac:dyDescent="0.35">
      <c r="X3759" s="40"/>
      <c r="Y3759" s="40"/>
    </row>
    <row r="3760" spans="24:25" x14ac:dyDescent="0.35">
      <c r="X3760" s="40"/>
      <c r="Y3760" s="40"/>
    </row>
    <row r="3761" spans="24:25" x14ac:dyDescent="0.35">
      <c r="X3761" s="40"/>
      <c r="Y3761" s="40"/>
    </row>
    <row r="3762" spans="24:25" x14ac:dyDescent="0.35">
      <c r="X3762" s="40"/>
      <c r="Y3762" s="40"/>
    </row>
    <row r="3763" spans="24:25" x14ac:dyDescent="0.35">
      <c r="X3763" s="40"/>
      <c r="Y3763" s="40"/>
    </row>
    <row r="3764" spans="24:25" x14ac:dyDescent="0.35">
      <c r="X3764" s="40"/>
      <c r="Y3764" s="40"/>
    </row>
    <row r="3765" spans="24:25" x14ac:dyDescent="0.35">
      <c r="X3765" s="40"/>
      <c r="Y3765" s="40"/>
    </row>
    <row r="3766" spans="24:25" x14ac:dyDescent="0.35">
      <c r="X3766" s="40"/>
      <c r="Y3766" s="40"/>
    </row>
    <row r="3767" spans="24:25" x14ac:dyDescent="0.35">
      <c r="X3767" s="40"/>
      <c r="Y3767" s="40"/>
    </row>
    <row r="3768" spans="24:25" x14ac:dyDescent="0.35">
      <c r="X3768" s="40"/>
      <c r="Y3768" s="40"/>
    </row>
    <row r="3769" spans="24:25" x14ac:dyDescent="0.35">
      <c r="X3769" s="40"/>
      <c r="Y3769" s="40"/>
    </row>
    <row r="3770" spans="24:25" x14ac:dyDescent="0.35">
      <c r="X3770" s="40"/>
      <c r="Y3770" s="40"/>
    </row>
    <row r="3771" spans="24:25" x14ac:dyDescent="0.35">
      <c r="X3771" s="40"/>
      <c r="Y3771" s="40"/>
    </row>
    <row r="3772" spans="24:25" x14ac:dyDescent="0.35">
      <c r="X3772" s="40"/>
      <c r="Y3772" s="40"/>
    </row>
    <row r="3773" spans="24:25" x14ac:dyDescent="0.35">
      <c r="X3773" s="40"/>
      <c r="Y3773" s="40"/>
    </row>
    <row r="3774" spans="24:25" x14ac:dyDescent="0.35">
      <c r="X3774" s="40"/>
      <c r="Y3774" s="40"/>
    </row>
    <row r="3775" spans="24:25" x14ac:dyDescent="0.35">
      <c r="X3775" s="40"/>
      <c r="Y3775" s="40"/>
    </row>
    <row r="3776" spans="24:25" x14ac:dyDescent="0.35">
      <c r="X3776" s="40"/>
      <c r="Y3776" s="40"/>
    </row>
    <row r="3777" spans="24:25" x14ac:dyDescent="0.35">
      <c r="X3777" s="40"/>
      <c r="Y3777" s="40"/>
    </row>
    <row r="3778" spans="24:25" x14ac:dyDescent="0.35">
      <c r="X3778" s="40"/>
      <c r="Y3778" s="40"/>
    </row>
    <row r="3779" spans="24:25" x14ac:dyDescent="0.35">
      <c r="X3779" s="40"/>
      <c r="Y3779" s="40"/>
    </row>
    <row r="3780" spans="24:25" x14ac:dyDescent="0.35">
      <c r="X3780" s="40"/>
      <c r="Y3780" s="40"/>
    </row>
    <row r="3781" spans="24:25" x14ac:dyDescent="0.35">
      <c r="X3781" s="40"/>
      <c r="Y3781" s="40"/>
    </row>
    <row r="3782" spans="24:25" x14ac:dyDescent="0.35">
      <c r="X3782" s="40"/>
      <c r="Y3782" s="40"/>
    </row>
    <row r="3783" spans="24:25" x14ac:dyDescent="0.35">
      <c r="X3783" s="40"/>
      <c r="Y3783" s="40"/>
    </row>
    <row r="3784" spans="24:25" x14ac:dyDescent="0.35">
      <c r="X3784" s="40"/>
      <c r="Y3784" s="40"/>
    </row>
    <row r="3785" spans="24:25" x14ac:dyDescent="0.35">
      <c r="X3785" s="40"/>
      <c r="Y3785" s="40"/>
    </row>
    <row r="3786" spans="24:25" x14ac:dyDescent="0.35">
      <c r="X3786" s="40"/>
      <c r="Y3786" s="40"/>
    </row>
    <row r="3787" spans="24:25" x14ac:dyDescent="0.35">
      <c r="X3787" s="40"/>
      <c r="Y3787" s="40"/>
    </row>
    <row r="3788" spans="24:25" x14ac:dyDescent="0.35">
      <c r="X3788" s="40"/>
      <c r="Y3788" s="40"/>
    </row>
    <row r="3789" spans="24:25" x14ac:dyDescent="0.35">
      <c r="X3789" s="40"/>
      <c r="Y3789" s="40"/>
    </row>
    <row r="3790" spans="24:25" x14ac:dyDescent="0.35">
      <c r="X3790" s="40"/>
      <c r="Y3790" s="40"/>
    </row>
    <row r="3791" spans="24:25" x14ac:dyDescent="0.35">
      <c r="X3791" s="40"/>
      <c r="Y3791" s="40"/>
    </row>
    <row r="3792" spans="24:25" x14ac:dyDescent="0.35">
      <c r="X3792" s="40"/>
      <c r="Y3792" s="40"/>
    </row>
    <row r="3793" spans="24:25" x14ac:dyDescent="0.35">
      <c r="X3793" s="40"/>
      <c r="Y3793" s="40"/>
    </row>
    <row r="3794" spans="24:25" x14ac:dyDescent="0.35">
      <c r="X3794" s="40"/>
      <c r="Y3794" s="40"/>
    </row>
    <row r="3795" spans="24:25" x14ac:dyDescent="0.35">
      <c r="X3795" s="40"/>
      <c r="Y3795" s="40"/>
    </row>
    <row r="3796" spans="24:25" x14ac:dyDescent="0.35">
      <c r="X3796" s="40"/>
      <c r="Y3796" s="40"/>
    </row>
    <row r="3797" spans="24:25" x14ac:dyDescent="0.35">
      <c r="X3797" s="40"/>
      <c r="Y3797" s="40"/>
    </row>
    <row r="3798" spans="24:25" x14ac:dyDescent="0.35">
      <c r="X3798" s="40"/>
      <c r="Y3798" s="40"/>
    </row>
    <row r="3799" spans="24:25" x14ac:dyDescent="0.35">
      <c r="X3799" s="40"/>
      <c r="Y3799" s="40"/>
    </row>
    <row r="3800" spans="24:25" x14ac:dyDescent="0.35">
      <c r="X3800" s="40"/>
      <c r="Y3800" s="40"/>
    </row>
    <row r="3801" spans="24:25" x14ac:dyDescent="0.35">
      <c r="X3801" s="40"/>
      <c r="Y3801" s="40"/>
    </row>
    <row r="3802" spans="24:25" x14ac:dyDescent="0.35">
      <c r="X3802" s="40"/>
      <c r="Y3802" s="40"/>
    </row>
    <row r="3803" spans="24:25" x14ac:dyDescent="0.35">
      <c r="X3803" s="40"/>
      <c r="Y3803" s="40"/>
    </row>
    <row r="3804" spans="24:25" x14ac:dyDescent="0.35">
      <c r="X3804" s="40"/>
      <c r="Y3804" s="40"/>
    </row>
    <row r="3805" spans="24:25" x14ac:dyDescent="0.35">
      <c r="X3805" s="40"/>
      <c r="Y3805" s="40"/>
    </row>
    <row r="3806" spans="24:25" x14ac:dyDescent="0.35">
      <c r="X3806" s="40"/>
      <c r="Y3806" s="40"/>
    </row>
    <row r="3807" spans="24:25" x14ac:dyDescent="0.35">
      <c r="X3807" s="40"/>
      <c r="Y3807" s="40"/>
    </row>
    <row r="3808" spans="24:25" x14ac:dyDescent="0.35">
      <c r="X3808" s="40"/>
      <c r="Y3808" s="40"/>
    </row>
    <row r="3809" spans="24:25" x14ac:dyDescent="0.35">
      <c r="X3809" s="40"/>
      <c r="Y3809" s="40"/>
    </row>
    <row r="3810" spans="24:25" x14ac:dyDescent="0.35">
      <c r="X3810" s="40"/>
      <c r="Y3810" s="40"/>
    </row>
    <row r="3811" spans="24:25" x14ac:dyDescent="0.35">
      <c r="X3811" s="40"/>
      <c r="Y3811" s="40"/>
    </row>
    <row r="3812" spans="24:25" x14ac:dyDescent="0.35">
      <c r="X3812" s="40"/>
      <c r="Y3812" s="40"/>
    </row>
    <row r="3813" spans="24:25" x14ac:dyDescent="0.35">
      <c r="X3813" s="40"/>
      <c r="Y3813" s="40"/>
    </row>
    <row r="3814" spans="24:25" x14ac:dyDescent="0.35">
      <c r="X3814" s="40"/>
      <c r="Y3814" s="40"/>
    </row>
    <row r="3815" spans="24:25" x14ac:dyDescent="0.35">
      <c r="X3815" s="40"/>
      <c r="Y3815" s="40"/>
    </row>
    <row r="3816" spans="24:25" x14ac:dyDescent="0.35">
      <c r="X3816" s="40"/>
      <c r="Y3816" s="40"/>
    </row>
    <row r="3817" spans="24:25" x14ac:dyDescent="0.35">
      <c r="X3817" s="40"/>
      <c r="Y3817" s="40"/>
    </row>
    <row r="3818" spans="24:25" x14ac:dyDescent="0.35">
      <c r="X3818" s="40"/>
      <c r="Y3818" s="40"/>
    </row>
    <row r="3819" spans="24:25" x14ac:dyDescent="0.35">
      <c r="X3819" s="40"/>
      <c r="Y3819" s="40"/>
    </row>
    <row r="3820" spans="24:25" x14ac:dyDescent="0.35">
      <c r="X3820" s="40"/>
      <c r="Y3820" s="40"/>
    </row>
    <row r="3821" spans="24:25" x14ac:dyDescent="0.35">
      <c r="X3821" s="40"/>
      <c r="Y3821" s="40"/>
    </row>
    <row r="3822" spans="24:25" x14ac:dyDescent="0.35">
      <c r="X3822" s="40"/>
      <c r="Y3822" s="40"/>
    </row>
    <row r="3823" spans="24:25" x14ac:dyDescent="0.35">
      <c r="X3823" s="40"/>
      <c r="Y3823" s="40"/>
    </row>
    <row r="3824" spans="24:25" x14ac:dyDescent="0.35">
      <c r="X3824" s="40"/>
      <c r="Y3824" s="40"/>
    </row>
    <row r="3825" spans="24:25" x14ac:dyDescent="0.35">
      <c r="X3825" s="40"/>
      <c r="Y3825" s="40"/>
    </row>
    <row r="3826" spans="24:25" x14ac:dyDescent="0.35">
      <c r="X3826" s="40"/>
      <c r="Y3826" s="40"/>
    </row>
    <row r="3827" spans="24:25" x14ac:dyDescent="0.35">
      <c r="X3827" s="40"/>
      <c r="Y3827" s="40"/>
    </row>
    <row r="3828" spans="24:25" x14ac:dyDescent="0.35">
      <c r="X3828" s="40"/>
      <c r="Y3828" s="40"/>
    </row>
    <row r="3829" spans="24:25" x14ac:dyDescent="0.35">
      <c r="X3829" s="40"/>
      <c r="Y3829" s="40"/>
    </row>
    <row r="3830" spans="24:25" x14ac:dyDescent="0.35">
      <c r="X3830" s="40"/>
      <c r="Y3830" s="40"/>
    </row>
    <row r="3831" spans="24:25" x14ac:dyDescent="0.35">
      <c r="X3831" s="40"/>
      <c r="Y3831" s="40"/>
    </row>
    <row r="3832" spans="24:25" x14ac:dyDescent="0.35">
      <c r="X3832" s="40"/>
      <c r="Y3832" s="40"/>
    </row>
    <row r="3833" spans="24:25" x14ac:dyDescent="0.35">
      <c r="X3833" s="40"/>
      <c r="Y3833" s="40"/>
    </row>
    <row r="3834" spans="24:25" x14ac:dyDescent="0.35">
      <c r="X3834" s="40"/>
      <c r="Y3834" s="40"/>
    </row>
    <row r="3835" spans="24:25" x14ac:dyDescent="0.35">
      <c r="X3835" s="40"/>
      <c r="Y3835" s="40"/>
    </row>
    <row r="3836" spans="24:25" x14ac:dyDescent="0.35">
      <c r="X3836" s="40"/>
      <c r="Y3836" s="40"/>
    </row>
    <row r="3837" spans="24:25" x14ac:dyDescent="0.35">
      <c r="X3837" s="40"/>
      <c r="Y3837" s="40"/>
    </row>
    <row r="3838" spans="24:25" x14ac:dyDescent="0.35">
      <c r="X3838" s="40"/>
      <c r="Y3838" s="40"/>
    </row>
    <row r="3839" spans="24:25" x14ac:dyDescent="0.35">
      <c r="X3839" s="40"/>
      <c r="Y3839" s="40"/>
    </row>
    <row r="3840" spans="24:25" x14ac:dyDescent="0.35">
      <c r="X3840" s="40"/>
      <c r="Y3840" s="40"/>
    </row>
    <row r="3841" spans="24:25" x14ac:dyDescent="0.35">
      <c r="X3841" s="40"/>
      <c r="Y3841" s="40"/>
    </row>
    <row r="3842" spans="24:25" x14ac:dyDescent="0.35">
      <c r="X3842" s="40"/>
      <c r="Y3842" s="40"/>
    </row>
    <row r="3843" spans="24:25" x14ac:dyDescent="0.35">
      <c r="X3843" s="40"/>
      <c r="Y3843" s="40"/>
    </row>
    <row r="3844" spans="24:25" x14ac:dyDescent="0.35">
      <c r="X3844" s="40"/>
      <c r="Y3844" s="40"/>
    </row>
    <row r="3845" spans="24:25" x14ac:dyDescent="0.35">
      <c r="X3845" s="40"/>
      <c r="Y3845" s="40"/>
    </row>
    <row r="3846" spans="24:25" x14ac:dyDescent="0.35">
      <c r="X3846" s="40"/>
      <c r="Y3846" s="40"/>
    </row>
    <row r="3847" spans="24:25" x14ac:dyDescent="0.35">
      <c r="X3847" s="40"/>
      <c r="Y3847" s="40"/>
    </row>
    <row r="3848" spans="24:25" x14ac:dyDescent="0.35">
      <c r="X3848" s="40"/>
      <c r="Y3848" s="40"/>
    </row>
    <row r="3849" spans="24:25" x14ac:dyDescent="0.35">
      <c r="X3849" s="40"/>
      <c r="Y3849" s="40"/>
    </row>
    <row r="3850" spans="24:25" x14ac:dyDescent="0.35">
      <c r="X3850" s="40"/>
      <c r="Y3850" s="40"/>
    </row>
    <row r="3851" spans="24:25" x14ac:dyDescent="0.35">
      <c r="X3851" s="40"/>
      <c r="Y3851" s="40"/>
    </row>
    <row r="3852" spans="24:25" x14ac:dyDescent="0.35">
      <c r="X3852" s="40"/>
      <c r="Y3852" s="40"/>
    </row>
    <row r="3853" spans="24:25" x14ac:dyDescent="0.35">
      <c r="X3853" s="40"/>
      <c r="Y3853" s="40"/>
    </row>
    <row r="3854" spans="24:25" x14ac:dyDescent="0.35">
      <c r="X3854" s="40"/>
      <c r="Y3854" s="40"/>
    </row>
    <row r="3855" spans="24:25" x14ac:dyDescent="0.35">
      <c r="X3855" s="40"/>
      <c r="Y3855" s="40"/>
    </row>
    <row r="3856" spans="24:25" x14ac:dyDescent="0.35">
      <c r="X3856" s="40"/>
      <c r="Y3856" s="40"/>
    </row>
    <row r="3857" spans="24:25" x14ac:dyDescent="0.35">
      <c r="X3857" s="40"/>
      <c r="Y3857" s="40"/>
    </row>
    <row r="3858" spans="24:25" x14ac:dyDescent="0.35">
      <c r="X3858" s="40"/>
      <c r="Y3858" s="40"/>
    </row>
    <row r="3859" spans="24:25" x14ac:dyDescent="0.35">
      <c r="X3859" s="40"/>
      <c r="Y3859" s="40"/>
    </row>
    <row r="3860" spans="24:25" x14ac:dyDescent="0.35">
      <c r="X3860" s="40"/>
      <c r="Y3860" s="40"/>
    </row>
    <row r="3861" spans="24:25" x14ac:dyDescent="0.35">
      <c r="X3861" s="40"/>
      <c r="Y3861" s="40"/>
    </row>
    <row r="3862" spans="24:25" x14ac:dyDescent="0.35">
      <c r="X3862" s="40"/>
      <c r="Y3862" s="40"/>
    </row>
    <row r="3863" spans="24:25" x14ac:dyDescent="0.35">
      <c r="X3863" s="40"/>
      <c r="Y3863" s="40"/>
    </row>
    <row r="3864" spans="24:25" x14ac:dyDescent="0.35">
      <c r="X3864" s="40"/>
      <c r="Y3864" s="40"/>
    </row>
    <row r="3865" spans="24:25" x14ac:dyDescent="0.35">
      <c r="X3865" s="40"/>
      <c r="Y3865" s="40"/>
    </row>
    <row r="3866" spans="24:25" x14ac:dyDescent="0.35">
      <c r="X3866" s="40"/>
      <c r="Y3866" s="40"/>
    </row>
    <row r="3867" spans="24:25" x14ac:dyDescent="0.35">
      <c r="X3867" s="40"/>
      <c r="Y3867" s="40"/>
    </row>
    <row r="3868" spans="24:25" x14ac:dyDescent="0.35">
      <c r="X3868" s="40"/>
      <c r="Y3868" s="40"/>
    </row>
    <row r="3869" spans="24:25" x14ac:dyDescent="0.35">
      <c r="X3869" s="40"/>
      <c r="Y3869" s="40"/>
    </row>
    <row r="3870" spans="24:25" x14ac:dyDescent="0.35">
      <c r="X3870" s="40"/>
      <c r="Y3870" s="40"/>
    </row>
    <row r="3871" spans="24:25" x14ac:dyDescent="0.35">
      <c r="X3871" s="40"/>
      <c r="Y3871" s="40"/>
    </row>
    <row r="3872" spans="24:25" x14ac:dyDescent="0.35">
      <c r="X3872" s="40"/>
      <c r="Y3872" s="40"/>
    </row>
    <row r="3873" spans="24:25" x14ac:dyDescent="0.35">
      <c r="X3873" s="40"/>
      <c r="Y3873" s="40"/>
    </row>
    <row r="3874" spans="24:25" x14ac:dyDescent="0.35">
      <c r="X3874" s="40"/>
      <c r="Y3874" s="40"/>
    </row>
    <row r="3875" spans="24:25" x14ac:dyDescent="0.35">
      <c r="X3875" s="40"/>
      <c r="Y3875" s="40"/>
    </row>
    <row r="3876" spans="24:25" x14ac:dyDescent="0.35">
      <c r="X3876" s="40"/>
      <c r="Y3876" s="40"/>
    </row>
    <row r="3877" spans="24:25" x14ac:dyDescent="0.35">
      <c r="X3877" s="40"/>
      <c r="Y3877" s="40"/>
    </row>
    <row r="3878" spans="24:25" x14ac:dyDescent="0.35">
      <c r="X3878" s="40"/>
      <c r="Y3878" s="40"/>
    </row>
    <row r="3879" spans="24:25" x14ac:dyDescent="0.35">
      <c r="X3879" s="40"/>
      <c r="Y3879" s="40"/>
    </row>
    <row r="3880" spans="24:25" x14ac:dyDescent="0.35">
      <c r="X3880" s="40"/>
      <c r="Y3880" s="40"/>
    </row>
    <row r="3881" spans="24:25" x14ac:dyDescent="0.35">
      <c r="X3881" s="40"/>
      <c r="Y3881" s="40"/>
    </row>
    <row r="3882" spans="24:25" x14ac:dyDescent="0.35">
      <c r="X3882" s="40"/>
      <c r="Y3882" s="40"/>
    </row>
    <row r="3883" spans="24:25" x14ac:dyDescent="0.35">
      <c r="X3883" s="40"/>
      <c r="Y3883" s="40"/>
    </row>
    <row r="3884" spans="24:25" x14ac:dyDescent="0.35">
      <c r="X3884" s="40"/>
      <c r="Y3884" s="40"/>
    </row>
    <row r="3885" spans="24:25" x14ac:dyDescent="0.35">
      <c r="X3885" s="40"/>
      <c r="Y3885" s="40"/>
    </row>
    <row r="3886" spans="24:25" x14ac:dyDescent="0.35">
      <c r="X3886" s="40"/>
      <c r="Y3886" s="40"/>
    </row>
    <row r="3887" spans="24:25" x14ac:dyDescent="0.35">
      <c r="X3887" s="40"/>
      <c r="Y3887" s="40"/>
    </row>
    <row r="3888" spans="24:25" x14ac:dyDescent="0.35">
      <c r="X3888" s="40"/>
      <c r="Y3888" s="40"/>
    </row>
    <row r="3889" spans="24:25" x14ac:dyDescent="0.35">
      <c r="X3889" s="40"/>
      <c r="Y3889" s="40"/>
    </row>
    <row r="3890" spans="24:25" x14ac:dyDescent="0.35">
      <c r="X3890" s="40"/>
      <c r="Y3890" s="40"/>
    </row>
    <row r="3891" spans="24:25" x14ac:dyDescent="0.35">
      <c r="X3891" s="40"/>
      <c r="Y3891" s="40"/>
    </row>
    <row r="3892" spans="24:25" x14ac:dyDescent="0.35">
      <c r="X3892" s="40"/>
      <c r="Y3892" s="40"/>
    </row>
    <row r="3893" spans="24:25" x14ac:dyDescent="0.35">
      <c r="X3893" s="40"/>
      <c r="Y3893" s="40"/>
    </row>
    <row r="3894" spans="24:25" x14ac:dyDescent="0.35">
      <c r="X3894" s="40"/>
      <c r="Y3894" s="40"/>
    </row>
    <row r="3895" spans="24:25" x14ac:dyDescent="0.35">
      <c r="X3895" s="40"/>
      <c r="Y3895" s="40"/>
    </row>
    <row r="3896" spans="24:25" x14ac:dyDescent="0.35">
      <c r="X3896" s="40"/>
      <c r="Y3896" s="40"/>
    </row>
    <row r="3897" spans="24:25" x14ac:dyDescent="0.35">
      <c r="X3897" s="40"/>
      <c r="Y3897" s="40"/>
    </row>
    <row r="3898" spans="24:25" x14ac:dyDescent="0.35">
      <c r="X3898" s="40"/>
      <c r="Y3898" s="40"/>
    </row>
    <row r="3899" spans="24:25" x14ac:dyDescent="0.35">
      <c r="X3899" s="40"/>
      <c r="Y3899" s="40"/>
    </row>
    <row r="3900" spans="24:25" x14ac:dyDescent="0.35">
      <c r="X3900" s="40"/>
      <c r="Y3900" s="40"/>
    </row>
    <row r="3901" spans="24:25" x14ac:dyDescent="0.35">
      <c r="X3901" s="40"/>
      <c r="Y3901" s="40"/>
    </row>
    <row r="3902" spans="24:25" x14ac:dyDescent="0.35">
      <c r="X3902" s="40"/>
      <c r="Y3902" s="40"/>
    </row>
    <row r="3903" spans="24:25" x14ac:dyDescent="0.35">
      <c r="X3903" s="40"/>
      <c r="Y3903" s="40"/>
    </row>
    <row r="3904" spans="24:25" x14ac:dyDescent="0.35">
      <c r="X3904" s="40"/>
      <c r="Y3904" s="40"/>
    </row>
    <row r="3905" spans="24:25" x14ac:dyDescent="0.35">
      <c r="X3905" s="40"/>
      <c r="Y3905" s="40"/>
    </row>
    <row r="3906" spans="24:25" x14ac:dyDescent="0.35">
      <c r="X3906" s="40"/>
      <c r="Y3906" s="40"/>
    </row>
    <row r="3907" spans="24:25" x14ac:dyDescent="0.35">
      <c r="X3907" s="40"/>
      <c r="Y3907" s="40"/>
    </row>
    <row r="3908" spans="24:25" x14ac:dyDescent="0.35">
      <c r="X3908" s="40"/>
      <c r="Y3908" s="40"/>
    </row>
    <row r="3909" spans="24:25" x14ac:dyDescent="0.35">
      <c r="X3909" s="40"/>
      <c r="Y3909" s="40"/>
    </row>
    <row r="3910" spans="24:25" x14ac:dyDescent="0.35">
      <c r="X3910" s="40"/>
      <c r="Y3910" s="40"/>
    </row>
    <row r="3911" spans="24:25" x14ac:dyDescent="0.35">
      <c r="X3911" s="40"/>
      <c r="Y3911" s="40"/>
    </row>
    <row r="3912" spans="24:25" x14ac:dyDescent="0.35">
      <c r="X3912" s="40"/>
      <c r="Y3912" s="40"/>
    </row>
    <row r="3913" spans="24:25" x14ac:dyDescent="0.35">
      <c r="X3913" s="40"/>
      <c r="Y3913" s="40"/>
    </row>
    <row r="3914" spans="24:25" x14ac:dyDescent="0.35">
      <c r="X3914" s="40"/>
      <c r="Y3914" s="40"/>
    </row>
    <row r="3915" spans="24:25" x14ac:dyDescent="0.35">
      <c r="X3915" s="40"/>
      <c r="Y3915" s="40"/>
    </row>
    <row r="3916" spans="24:25" x14ac:dyDescent="0.35">
      <c r="X3916" s="40"/>
      <c r="Y3916" s="40"/>
    </row>
    <row r="3917" spans="24:25" x14ac:dyDescent="0.35">
      <c r="X3917" s="40"/>
      <c r="Y3917" s="40"/>
    </row>
    <row r="3918" spans="24:25" x14ac:dyDescent="0.35">
      <c r="X3918" s="40"/>
      <c r="Y3918" s="40"/>
    </row>
    <row r="3919" spans="24:25" x14ac:dyDescent="0.35">
      <c r="X3919" s="40"/>
      <c r="Y3919" s="40"/>
    </row>
    <row r="3920" spans="24:25" x14ac:dyDescent="0.35">
      <c r="X3920" s="40"/>
      <c r="Y3920" s="40"/>
    </row>
    <row r="3921" spans="24:25" x14ac:dyDescent="0.35">
      <c r="X3921" s="40"/>
      <c r="Y3921" s="40"/>
    </row>
    <row r="3922" spans="24:25" x14ac:dyDescent="0.35">
      <c r="X3922" s="40"/>
      <c r="Y3922" s="40"/>
    </row>
    <row r="3923" spans="24:25" x14ac:dyDescent="0.35">
      <c r="X3923" s="40"/>
      <c r="Y3923" s="40"/>
    </row>
    <row r="3924" spans="24:25" x14ac:dyDescent="0.35">
      <c r="X3924" s="40"/>
      <c r="Y3924" s="40"/>
    </row>
    <row r="3925" spans="24:25" x14ac:dyDescent="0.35">
      <c r="X3925" s="40"/>
      <c r="Y3925" s="40"/>
    </row>
    <row r="3926" spans="24:25" x14ac:dyDescent="0.35">
      <c r="X3926" s="40"/>
      <c r="Y3926" s="40"/>
    </row>
    <row r="3927" spans="24:25" x14ac:dyDescent="0.35">
      <c r="X3927" s="40"/>
      <c r="Y3927" s="40"/>
    </row>
    <row r="3928" spans="24:25" x14ac:dyDescent="0.35">
      <c r="X3928" s="40"/>
      <c r="Y3928" s="40"/>
    </row>
    <row r="3929" spans="24:25" x14ac:dyDescent="0.35">
      <c r="X3929" s="40"/>
      <c r="Y3929" s="40"/>
    </row>
    <row r="3930" spans="24:25" x14ac:dyDescent="0.35">
      <c r="X3930" s="40"/>
      <c r="Y3930" s="40"/>
    </row>
    <row r="3931" spans="24:25" x14ac:dyDescent="0.35">
      <c r="X3931" s="40"/>
      <c r="Y3931" s="40"/>
    </row>
    <row r="3932" spans="24:25" x14ac:dyDescent="0.35">
      <c r="X3932" s="40"/>
      <c r="Y3932" s="40"/>
    </row>
    <row r="3933" spans="24:25" x14ac:dyDescent="0.35">
      <c r="X3933" s="40"/>
      <c r="Y3933" s="40"/>
    </row>
    <row r="3934" spans="24:25" x14ac:dyDescent="0.35">
      <c r="X3934" s="40"/>
      <c r="Y3934" s="40"/>
    </row>
    <row r="3935" spans="24:25" x14ac:dyDescent="0.35">
      <c r="X3935" s="40"/>
      <c r="Y3935" s="40"/>
    </row>
    <row r="3936" spans="24:25" x14ac:dyDescent="0.35">
      <c r="X3936" s="40"/>
      <c r="Y3936" s="40"/>
    </row>
    <row r="3937" spans="24:25" x14ac:dyDescent="0.35">
      <c r="X3937" s="40"/>
      <c r="Y3937" s="40"/>
    </row>
    <row r="3938" spans="24:25" x14ac:dyDescent="0.35">
      <c r="X3938" s="40"/>
      <c r="Y3938" s="40"/>
    </row>
    <row r="3939" spans="24:25" x14ac:dyDescent="0.35">
      <c r="X3939" s="40"/>
      <c r="Y3939" s="40"/>
    </row>
    <row r="3940" spans="24:25" x14ac:dyDescent="0.35">
      <c r="X3940" s="40"/>
      <c r="Y3940" s="40"/>
    </row>
    <row r="3941" spans="24:25" x14ac:dyDescent="0.35">
      <c r="X3941" s="40"/>
      <c r="Y3941" s="40"/>
    </row>
    <row r="3942" spans="24:25" x14ac:dyDescent="0.35">
      <c r="X3942" s="40"/>
      <c r="Y3942" s="40"/>
    </row>
    <row r="3943" spans="24:25" x14ac:dyDescent="0.35">
      <c r="X3943" s="40"/>
      <c r="Y3943" s="40"/>
    </row>
    <row r="3944" spans="24:25" x14ac:dyDescent="0.35">
      <c r="X3944" s="40"/>
      <c r="Y3944" s="40"/>
    </row>
    <row r="3945" spans="24:25" x14ac:dyDescent="0.35">
      <c r="X3945" s="40"/>
      <c r="Y3945" s="40"/>
    </row>
    <row r="3946" spans="24:25" x14ac:dyDescent="0.35">
      <c r="X3946" s="40"/>
      <c r="Y3946" s="40"/>
    </row>
    <row r="3947" spans="24:25" x14ac:dyDescent="0.35">
      <c r="X3947" s="40"/>
      <c r="Y3947" s="40"/>
    </row>
    <row r="3948" spans="24:25" x14ac:dyDescent="0.35">
      <c r="X3948" s="40"/>
      <c r="Y3948" s="40"/>
    </row>
    <row r="3949" spans="24:25" x14ac:dyDescent="0.35">
      <c r="X3949" s="40"/>
      <c r="Y3949" s="40"/>
    </row>
    <row r="3950" spans="24:25" x14ac:dyDescent="0.35">
      <c r="X3950" s="40"/>
      <c r="Y3950" s="40"/>
    </row>
    <row r="3951" spans="24:25" x14ac:dyDescent="0.35">
      <c r="X3951" s="40"/>
      <c r="Y3951" s="40"/>
    </row>
    <row r="3952" spans="24:25" x14ac:dyDescent="0.35">
      <c r="X3952" s="40"/>
      <c r="Y3952" s="40"/>
    </row>
    <row r="3953" spans="24:25" x14ac:dyDescent="0.35">
      <c r="X3953" s="40"/>
      <c r="Y3953" s="40"/>
    </row>
    <row r="3954" spans="24:25" x14ac:dyDescent="0.35">
      <c r="X3954" s="40"/>
      <c r="Y3954" s="40"/>
    </row>
    <row r="3955" spans="24:25" x14ac:dyDescent="0.35">
      <c r="X3955" s="40"/>
      <c r="Y3955" s="40"/>
    </row>
    <row r="3956" spans="24:25" x14ac:dyDescent="0.35">
      <c r="X3956" s="40"/>
      <c r="Y3956" s="40"/>
    </row>
    <row r="3957" spans="24:25" x14ac:dyDescent="0.35">
      <c r="X3957" s="40"/>
      <c r="Y3957" s="40"/>
    </row>
    <row r="3958" spans="24:25" x14ac:dyDescent="0.35">
      <c r="X3958" s="40"/>
      <c r="Y3958" s="40"/>
    </row>
    <row r="3959" spans="24:25" x14ac:dyDescent="0.35">
      <c r="X3959" s="40"/>
      <c r="Y3959" s="40"/>
    </row>
    <row r="3960" spans="24:25" x14ac:dyDescent="0.35">
      <c r="X3960" s="40"/>
      <c r="Y3960" s="40"/>
    </row>
    <row r="3961" spans="24:25" x14ac:dyDescent="0.35">
      <c r="X3961" s="40"/>
      <c r="Y3961" s="40"/>
    </row>
    <row r="3962" spans="24:25" x14ac:dyDescent="0.35">
      <c r="X3962" s="40"/>
      <c r="Y3962" s="40"/>
    </row>
    <row r="3963" spans="24:25" x14ac:dyDescent="0.35">
      <c r="X3963" s="40"/>
      <c r="Y3963" s="40"/>
    </row>
    <row r="3964" spans="24:25" x14ac:dyDescent="0.35">
      <c r="X3964" s="40"/>
      <c r="Y3964" s="40"/>
    </row>
    <row r="3965" spans="24:25" x14ac:dyDescent="0.35">
      <c r="X3965" s="40"/>
      <c r="Y3965" s="40"/>
    </row>
    <row r="3966" spans="24:25" x14ac:dyDescent="0.35">
      <c r="X3966" s="40"/>
      <c r="Y3966" s="40"/>
    </row>
    <row r="3967" spans="24:25" x14ac:dyDescent="0.35">
      <c r="X3967" s="40"/>
      <c r="Y3967" s="40"/>
    </row>
    <row r="3968" spans="24:25" x14ac:dyDescent="0.35">
      <c r="X3968" s="40"/>
      <c r="Y3968" s="40"/>
    </row>
    <row r="3969" spans="24:25" x14ac:dyDescent="0.35">
      <c r="X3969" s="40"/>
      <c r="Y3969" s="40"/>
    </row>
    <row r="3970" spans="24:25" x14ac:dyDescent="0.35">
      <c r="X3970" s="40"/>
      <c r="Y3970" s="40"/>
    </row>
    <row r="3971" spans="24:25" x14ac:dyDescent="0.35">
      <c r="X3971" s="40"/>
      <c r="Y3971" s="40"/>
    </row>
    <row r="3972" spans="24:25" x14ac:dyDescent="0.35">
      <c r="X3972" s="40"/>
      <c r="Y3972" s="40"/>
    </row>
    <row r="3973" spans="24:25" x14ac:dyDescent="0.35">
      <c r="X3973" s="40"/>
      <c r="Y3973" s="40"/>
    </row>
    <row r="3974" spans="24:25" x14ac:dyDescent="0.35">
      <c r="X3974" s="40"/>
      <c r="Y3974" s="40"/>
    </row>
    <row r="3975" spans="24:25" x14ac:dyDescent="0.35">
      <c r="X3975" s="40"/>
      <c r="Y3975" s="40"/>
    </row>
    <row r="3976" spans="24:25" x14ac:dyDescent="0.35">
      <c r="X3976" s="40"/>
      <c r="Y3976" s="40"/>
    </row>
    <row r="3977" spans="24:25" x14ac:dyDescent="0.35">
      <c r="X3977" s="40"/>
      <c r="Y3977" s="40"/>
    </row>
    <row r="3978" spans="24:25" x14ac:dyDescent="0.35">
      <c r="X3978" s="40"/>
      <c r="Y3978" s="40"/>
    </row>
    <row r="3979" spans="24:25" x14ac:dyDescent="0.35">
      <c r="X3979" s="40"/>
      <c r="Y3979" s="40"/>
    </row>
    <row r="3980" spans="24:25" x14ac:dyDescent="0.35">
      <c r="X3980" s="40"/>
      <c r="Y3980" s="40"/>
    </row>
    <row r="3981" spans="24:25" x14ac:dyDescent="0.35">
      <c r="X3981" s="40"/>
      <c r="Y3981" s="40"/>
    </row>
    <row r="3982" spans="24:25" x14ac:dyDescent="0.35">
      <c r="X3982" s="40"/>
      <c r="Y3982" s="40"/>
    </row>
    <row r="3983" spans="24:25" x14ac:dyDescent="0.35">
      <c r="X3983" s="40"/>
      <c r="Y3983" s="40"/>
    </row>
    <row r="3984" spans="24:25" x14ac:dyDescent="0.35">
      <c r="X3984" s="40"/>
      <c r="Y3984" s="40"/>
    </row>
    <row r="3985" spans="24:25" x14ac:dyDescent="0.35">
      <c r="X3985" s="40"/>
      <c r="Y3985" s="40"/>
    </row>
    <row r="3986" spans="24:25" x14ac:dyDescent="0.35">
      <c r="X3986" s="40"/>
      <c r="Y3986" s="40"/>
    </row>
    <row r="3987" spans="24:25" x14ac:dyDescent="0.35">
      <c r="X3987" s="40"/>
      <c r="Y3987" s="40"/>
    </row>
    <row r="3988" spans="24:25" x14ac:dyDescent="0.35">
      <c r="X3988" s="40"/>
      <c r="Y3988" s="40"/>
    </row>
    <row r="3989" spans="24:25" x14ac:dyDescent="0.35">
      <c r="X3989" s="40"/>
      <c r="Y3989" s="40"/>
    </row>
    <row r="3990" spans="24:25" x14ac:dyDescent="0.35">
      <c r="X3990" s="40"/>
      <c r="Y3990" s="40"/>
    </row>
    <row r="3991" spans="24:25" x14ac:dyDescent="0.35">
      <c r="X3991" s="40"/>
      <c r="Y3991" s="40"/>
    </row>
    <row r="3992" spans="24:25" x14ac:dyDescent="0.35">
      <c r="X3992" s="40"/>
      <c r="Y3992" s="40"/>
    </row>
    <row r="3993" spans="24:25" x14ac:dyDescent="0.35">
      <c r="X3993" s="40"/>
      <c r="Y3993" s="40"/>
    </row>
    <row r="3994" spans="24:25" x14ac:dyDescent="0.35">
      <c r="X3994" s="40"/>
      <c r="Y3994" s="40"/>
    </row>
    <row r="3995" spans="24:25" x14ac:dyDescent="0.35">
      <c r="X3995" s="40"/>
      <c r="Y3995" s="40"/>
    </row>
    <row r="3996" spans="24:25" x14ac:dyDescent="0.35">
      <c r="X3996" s="40"/>
      <c r="Y3996" s="40"/>
    </row>
    <row r="3997" spans="24:25" x14ac:dyDescent="0.35">
      <c r="X3997" s="40"/>
      <c r="Y3997" s="40"/>
    </row>
    <row r="3998" spans="24:25" x14ac:dyDescent="0.35">
      <c r="X3998" s="40"/>
      <c r="Y3998" s="40"/>
    </row>
    <row r="3999" spans="24:25" x14ac:dyDescent="0.35">
      <c r="X3999" s="40"/>
      <c r="Y3999" s="40"/>
    </row>
    <row r="4000" spans="24:25" x14ac:dyDescent="0.35">
      <c r="X4000" s="40"/>
      <c r="Y4000" s="40"/>
    </row>
    <row r="4001" spans="24:25" x14ac:dyDescent="0.35">
      <c r="X4001" s="40"/>
      <c r="Y4001" s="40"/>
    </row>
    <row r="4002" spans="24:25" x14ac:dyDescent="0.35">
      <c r="X4002" s="40"/>
      <c r="Y4002" s="40"/>
    </row>
    <row r="4003" spans="24:25" x14ac:dyDescent="0.35">
      <c r="X4003" s="40"/>
      <c r="Y4003" s="40"/>
    </row>
    <row r="4004" spans="24:25" x14ac:dyDescent="0.35">
      <c r="X4004" s="40"/>
      <c r="Y4004" s="40"/>
    </row>
    <row r="4005" spans="24:25" x14ac:dyDescent="0.35">
      <c r="X4005" s="40"/>
      <c r="Y4005" s="40"/>
    </row>
    <row r="4006" spans="24:25" x14ac:dyDescent="0.35">
      <c r="X4006" s="40"/>
      <c r="Y4006" s="40"/>
    </row>
    <row r="4007" spans="24:25" x14ac:dyDescent="0.35">
      <c r="X4007" s="40"/>
      <c r="Y4007" s="40"/>
    </row>
    <row r="4008" spans="24:25" x14ac:dyDescent="0.35">
      <c r="X4008" s="40"/>
      <c r="Y4008" s="40"/>
    </row>
    <row r="4009" spans="24:25" x14ac:dyDescent="0.35">
      <c r="X4009" s="40"/>
      <c r="Y4009" s="40"/>
    </row>
    <row r="4010" spans="24:25" x14ac:dyDescent="0.35">
      <c r="X4010" s="40"/>
      <c r="Y4010" s="40"/>
    </row>
    <row r="4011" spans="24:25" x14ac:dyDescent="0.35">
      <c r="X4011" s="40"/>
      <c r="Y4011" s="40"/>
    </row>
    <row r="4012" spans="24:25" x14ac:dyDescent="0.35">
      <c r="X4012" s="40"/>
      <c r="Y4012" s="40"/>
    </row>
    <row r="4013" spans="24:25" x14ac:dyDescent="0.35">
      <c r="X4013" s="40"/>
      <c r="Y4013" s="40"/>
    </row>
    <row r="4014" spans="24:25" x14ac:dyDescent="0.35">
      <c r="X4014" s="40"/>
      <c r="Y4014" s="40"/>
    </row>
    <row r="4015" spans="24:25" x14ac:dyDescent="0.35">
      <c r="X4015" s="40"/>
      <c r="Y4015" s="40"/>
    </row>
    <row r="4016" spans="24:25" x14ac:dyDescent="0.35">
      <c r="X4016" s="40"/>
      <c r="Y4016" s="40"/>
    </row>
    <row r="4017" spans="24:25" x14ac:dyDescent="0.35">
      <c r="X4017" s="40"/>
      <c r="Y4017" s="40"/>
    </row>
    <row r="4018" spans="24:25" x14ac:dyDescent="0.35">
      <c r="X4018" s="40"/>
      <c r="Y4018" s="40"/>
    </row>
    <row r="4019" spans="24:25" x14ac:dyDescent="0.35">
      <c r="X4019" s="40"/>
      <c r="Y4019" s="40"/>
    </row>
    <row r="4020" spans="24:25" x14ac:dyDescent="0.35">
      <c r="X4020" s="40"/>
      <c r="Y4020" s="40"/>
    </row>
    <row r="4021" spans="24:25" x14ac:dyDescent="0.35">
      <c r="X4021" s="40"/>
      <c r="Y4021" s="40"/>
    </row>
    <row r="4022" spans="24:25" x14ac:dyDescent="0.35">
      <c r="X4022" s="40"/>
      <c r="Y4022" s="40"/>
    </row>
    <row r="4023" spans="24:25" x14ac:dyDescent="0.35">
      <c r="X4023" s="40"/>
      <c r="Y4023" s="40"/>
    </row>
    <row r="4024" spans="24:25" x14ac:dyDescent="0.35">
      <c r="X4024" s="40"/>
      <c r="Y4024" s="40"/>
    </row>
    <row r="4025" spans="24:25" x14ac:dyDescent="0.35">
      <c r="X4025" s="40"/>
      <c r="Y4025" s="40"/>
    </row>
    <row r="4026" spans="24:25" x14ac:dyDescent="0.35">
      <c r="X4026" s="40"/>
      <c r="Y4026" s="40"/>
    </row>
    <row r="4027" spans="24:25" x14ac:dyDescent="0.35">
      <c r="X4027" s="40"/>
      <c r="Y4027" s="40"/>
    </row>
    <row r="4028" spans="24:25" x14ac:dyDescent="0.35">
      <c r="X4028" s="40"/>
      <c r="Y4028" s="40"/>
    </row>
    <row r="4029" spans="24:25" x14ac:dyDescent="0.35">
      <c r="X4029" s="40"/>
      <c r="Y4029" s="40"/>
    </row>
    <row r="4030" spans="24:25" x14ac:dyDescent="0.35">
      <c r="X4030" s="40"/>
      <c r="Y4030" s="40"/>
    </row>
    <row r="4031" spans="24:25" x14ac:dyDescent="0.35">
      <c r="X4031" s="40"/>
      <c r="Y4031" s="40"/>
    </row>
    <row r="4032" spans="24:25" x14ac:dyDescent="0.35">
      <c r="X4032" s="40"/>
      <c r="Y4032" s="40"/>
    </row>
    <row r="4033" spans="24:25" x14ac:dyDescent="0.35">
      <c r="X4033" s="40"/>
      <c r="Y4033" s="40"/>
    </row>
    <row r="4034" spans="24:25" x14ac:dyDescent="0.35">
      <c r="X4034" s="40"/>
      <c r="Y4034" s="40"/>
    </row>
    <row r="4035" spans="24:25" x14ac:dyDescent="0.35">
      <c r="X4035" s="40"/>
      <c r="Y4035" s="40"/>
    </row>
    <row r="4036" spans="24:25" x14ac:dyDescent="0.35">
      <c r="X4036" s="40"/>
      <c r="Y4036" s="40"/>
    </row>
    <row r="4037" spans="24:25" x14ac:dyDescent="0.35">
      <c r="X4037" s="40"/>
      <c r="Y4037" s="40"/>
    </row>
    <row r="4038" spans="24:25" x14ac:dyDescent="0.35">
      <c r="X4038" s="40"/>
      <c r="Y4038" s="40"/>
    </row>
    <row r="4039" spans="24:25" x14ac:dyDescent="0.35">
      <c r="X4039" s="40"/>
      <c r="Y4039" s="40"/>
    </row>
    <row r="4040" spans="24:25" x14ac:dyDescent="0.35">
      <c r="X4040" s="40"/>
      <c r="Y4040" s="40"/>
    </row>
    <row r="4041" spans="24:25" x14ac:dyDescent="0.35">
      <c r="X4041" s="40"/>
      <c r="Y4041" s="40"/>
    </row>
    <row r="4042" spans="24:25" x14ac:dyDescent="0.35">
      <c r="X4042" s="40"/>
      <c r="Y4042" s="40"/>
    </row>
    <row r="4043" spans="24:25" x14ac:dyDescent="0.35">
      <c r="X4043" s="40"/>
      <c r="Y4043" s="40"/>
    </row>
    <row r="4044" spans="24:25" x14ac:dyDescent="0.35">
      <c r="X4044" s="40"/>
      <c r="Y4044" s="40"/>
    </row>
    <row r="4045" spans="24:25" x14ac:dyDescent="0.35">
      <c r="X4045" s="40"/>
      <c r="Y4045" s="40"/>
    </row>
    <row r="4046" spans="24:25" x14ac:dyDescent="0.35">
      <c r="X4046" s="40"/>
      <c r="Y4046" s="40"/>
    </row>
    <row r="4047" spans="24:25" x14ac:dyDescent="0.35">
      <c r="X4047" s="40"/>
      <c r="Y4047" s="40"/>
    </row>
    <row r="4048" spans="24:25" x14ac:dyDescent="0.35">
      <c r="X4048" s="40"/>
      <c r="Y4048" s="40"/>
    </row>
    <row r="4049" spans="24:25" x14ac:dyDescent="0.35">
      <c r="X4049" s="40"/>
      <c r="Y4049" s="40"/>
    </row>
    <row r="4050" spans="24:25" x14ac:dyDescent="0.35">
      <c r="X4050" s="40"/>
      <c r="Y4050" s="40"/>
    </row>
    <row r="4051" spans="24:25" x14ac:dyDescent="0.35">
      <c r="X4051" s="40"/>
      <c r="Y4051" s="40"/>
    </row>
    <row r="4052" spans="24:25" x14ac:dyDescent="0.35">
      <c r="X4052" s="40"/>
      <c r="Y4052" s="40"/>
    </row>
    <row r="4053" spans="24:25" x14ac:dyDescent="0.35">
      <c r="X4053" s="40"/>
      <c r="Y4053" s="40"/>
    </row>
    <row r="4054" spans="24:25" x14ac:dyDescent="0.35">
      <c r="X4054" s="40"/>
      <c r="Y4054" s="40"/>
    </row>
    <row r="4055" spans="24:25" x14ac:dyDescent="0.35">
      <c r="X4055" s="40"/>
      <c r="Y4055" s="40"/>
    </row>
    <row r="4056" spans="24:25" x14ac:dyDescent="0.35">
      <c r="X4056" s="40"/>
      <c r="Y4056" s="40"/>
    </row>
    <row r="4057" spans="24:25" x14ac:dyDescent="0.35">
      <c r="X4057" s="40"/>
      <c r="Y4057" s="40"/>
    </row>
    <row r="4058" spans="24:25" x14ac:dyDescent="0.35">
      <c r="X4058" s="40"/>
      <c r="Y4058" s="40"/>
    </row>
    <row r="4059" spans="24:25" x14ac:dyDescent="0.35">
      <c r="X4059" s="40"/>
      <c r="Y4059" s="40"/>
    </row>
    <row r="4060" spans="24:25" x14ac:dyDescent="0.35">
      <c r="X4060" s="40"/>
      <c r="Y4060" s="40"/>
    </row>
    <row r="4061" spans="24:25" x14ac:dyDescent="0.35">
      <c r="X4061" s="40"/>
      <c r="Y4061" s="40"/>
    </row>
    <row r="4062" spans="24:25" x14ac:dyDescent="0.35">
      <c r="X4062" s="40"/>
      <c r="Y4062" s="40"/>
    </row>
    <row r="4063" spans="24:25" x14ac:dyDescent="0.35">
      <c r="X4063" s="40"/>
      <c r="Y4063" s="40"/>
    </row>
    <row r="4064" spans="24:25" x14ac:dyDescent="0.35">
      <c r="X4064" s="40"/>
      <c r="Y4064" s="40"/>
    </row>
    <row r="4065" spans="24:25" x14ac:dyDescent="0.35">
      <c r="X4065" s="40"/>
      <c r="Y4065" s="40"/>
    </row>
    <row r="4066" spans="24:25" x14ac:dyDescent="0.35">
      <c r="X4066" s="40"/>
      <c r="Y4066" s="40"/>
    </row>
    <row r="4067" spans="24:25" x14ac:dyDescent="0.35">
      <c r="X4067" s="40"/>
      <c r="Y4067" s="40"/>
    </row>
    <row r="4068" spans="24:25" x14ac:dyDescent="0.35">
      <c r="X4068" s="40"/>
      <c r="Y4068" s="40"/>
    </row>
    <row r="4069" spans="24:25" x14ac:dyDescent="0.35">
      <c r="X4069" s="40"/>
      <c r="Y4069" s="40"/>
    </row>
    <row r="4070" spans="24:25" x14ac:dyDescent="0.35">
      <c r="X4070" s="40"/>
      <c r="Y4070" s="40"/>
    </row>
    <row r="4071" spans="24:25" x14ac:dyDescent="0.35">
      <c r="X4071" s="40"/>
      <c r="Y4071" s="40"/>
    </row>
    <row r="4072" spans="24:25" x14ac:dyDescent="0.35">
      <c r="X4072" s="40"/>
      <c r="Y4072" s="40"/>
    </row>
    <row r="4073" spans="24:25" x14ac:dyDescent="0.35">
      <c r="X4073" s="40"/>
      <c r="Y4073" s="40"/>
    </row>
    <row r="4074" spans="24:25" x14ac:dyDescent="0.35">
      <c r="X4074" s="40"/>
      <c r="Y4074" s="40"/>
    </row>
    <row r="4075" spans="24:25" x14ac:dyDescent="0.35">
      <c r="X4075" s="40"/>
      <c r="Y4075" s="40"/>
    </row>
    <row r="4076" spans="24:25" x14ac:dyDescent="0.35">
      <c r="X4076" s="40"/>
      <c r="Y4076" s="40"/>
    </row>
    <row r="4077" spans="24:25" x14ac:dyDescent="0.35">
      <c r="X4077" s="40"/>
      <c r="Y4077" s="40"/>
    </row>
    <row r="4078" spans="24:25" x14ac:dyDescent="0.35">
      <c r="X4078" s="40"/>
      <c r="Y4078" s="40"/>
    </row>
    <row r="4079" spans="24:25" x14ac:dyDescent="0.35">
      <c r="X4079" s="40"/>
      <c r="Y4079" s="40"/>
    </row>
    <row r="4080" spans="24:25" x14ac:dyDescent="0.35">
      <c r="X4080" s="40"/>
      <c r="Y4080" s="40"/>
    </row>
    <row r="4081" spans="24:25" x14ac:dyDescent="0.35">
      <c r="X4081" s="40"/>
      <c r="Y4081" s="40"/>
    </row>
    <row r="4082" spans="24:25" x14ac:dyDescent="0.35">
      <c r="X4082" s="40"/>
      <c r="Y4082" s="40"/>
    </row>
    <row r="4083" spans="24:25" x14ac:dyDescent="0.35">
      <c r="X4083" s="40"/>
      <c r="Y4083" s="40"/>
    </row>
    <row r="4084" spans="24:25" x14ac:dyDescent="0.35">
      <c r="X4084" s="40"/>
      <c r="Y4084" s="40"/>
    </row>
    <row r="4085" spans="24:25" x14ac:dyDescent="0.35">
      <c r="X4085" s="40"/>
      <c r="Y4085" s="40"/>
    </row>
    <row r="4086" spans="24:25" x14ac:dyDescent="0.35">
      <c r="X4086" s="40"/>
      <c r="Y4086" s="40"/>
    </row>
    <row r="4087" spans="24:25" x14ac:dyDescent="0.35">
      <c r="X4087" s="40"/>
      <c r="Y4087" s="40"/>
    </row>
    <row r="4088" spans="24:25" x14ac:dyDescent="0.35">
      <c r="X4088" s="40"/>
      <c r="Y4088" s="40"/>
    </row>
    <row r="4089" spans="24:25" x14ac:dyDescent="0.35">
      <c r="X4089" s="40"/>
      <c r="Y4089" s="40"/>
    </row>
    <row r="4090" spans="24:25" x14ac:dyDescent="0.35">
      <c r="X4090" s="40"/>
      <c r="Y4090" s="40"/>
    </row>
    <row r="4091" spans="24:25" x14ac:dyDescent="0.35">
      <c r="X4091" s="40"/>
      <c r="Y4091" s="40"/>
    </row>
    <row r="4092" spans="24:25" x14ac:dyDescent="0.35">
      <c r="X4092" s="40"/>
      <c r="Y4092" s="40"/>
    </row>
    <row r="4093" spans="24:25" x14ac:dyDescent="0.35">
      <c r="X4093" s="40"/>
      <c r="Y4093" s="40"/>
    </row>
    <row r="4094" spans="24:25" x14ac:dyDescent="0.35">
      <c r="X4094" s="40"/>
      <c r="Y4094" s="40"/>
    </row>
    <row r="4095" spans="24:25" x14ac:dyDescent="0.35">
      <c r="X4095" s="40"/>
      <c r="Y4095" s="40"/>
    </row>
    <row r="4096" spans="24:25" x14ac:dyDescent="0.35">
      <c r="X4096" s="40"/>
      <c r="Y4096" s="40"/>
    </row>
    <row r="4097" spans="24:25" x14ac:dyDescent="0.35">
      <c r="X4097" s="40"/>
      <c r="Y4097" s="40"/>
    </row>
    <row r="4098" spans="24:25" x14ac:dyDescent="0.35">
      <c r="X4098" s="40"/>
      <c r="Y4098" s="40"/>
    </row>
    <row r="4099" spans="24:25" x14ac:dyDescent="0.35">
      <c r="X4099" s="40"/>
      <c r="Y4099" s="40"/>
    </row>
    <row r="4100" spans="24:25" x14ac:dyDescent="0.35">
      <c r="X4100" s="40"/>
      <c r="Y4100" s="40"/>
    </row>
    <row r="4101" spans="24:25" x14ac:dyDescent="0.35">
      <c r="X4101" s="40"/>
      <c r="Y4101" s="40"/>
    </row>
    <row r="4102" spans="24:25" x14ac:dyDescent="0.35">
      <c r="X4102" s="40"/>
      <c r="Y4102" s="40"/>
    </row>
    <row r="4103" spans="24:25" x14ac:dyDescent="0.35">
      <c r="X4103" s="40"/>
      <c r="Y4103" s="40"/>
    </row>
    <row r="4104" spans="24:25" x14ac:dyDescent="0.35">
      <c r="X4104" s="40"/>
      <c r="Y4104" s="40"/>
    </row>
    <row r="4105" spans="24:25" x14ac:dyDescent="0.35">
      <c r="X4105" s="40"/>
      <c r="Y4105" s="40"/>
    </row>
    <row r="4106" spans="24:25" x14ac:dyDescent="0.35">
      <c r="X4106" s="40"/>
      <c r="Y4106" s="40"/>
    </row>
    <row r="4107" spans="24:25" x14ac:dyDescent="0.35">
      <c r="X4107" s="40"/>
      <c r="Y4107" s="40"/>
    </row>
    <row r="4108" spans="24:25" x14ac:dyDescent="0.35">
      <c r="X4108" s="40"/>
      <c r="Y4108" s="40"/>
    </row>
    <row r="4109" spans="24:25" x14ac:dyDescent="0.35">
      <c r="X4109" s="40"/>
      <c r="Y4109" s="40"/>
    </row>
    <row r="4110" spans="24:25" x14ac:dyDescent="0.35">
      <c r="X4110" s="40"/>
      <c r="Y4110" s="40"/>
    </row>
    <row r="4111" spans="24:25" x14ac:dyDescent="0.35">
      <c r="X4111" s="40"/>
      <c r="Y4111" s="40"/>
    </row>
    <row r="4112" spans="24:25" x14ac:dyDescent="0.35">
      <c r="X4112" s="40"/>
      <c r="Y4112" s="40"/>
    </row>
    <row r="4113" spans="24:25" x14ac:dyDescent="0.35">
      <c r="X4113" s="40"/>
      <c r="Y4113" s="40"/>
    </row>
    <row r="4114" spans="24:25" x14ac:dyDescent="0.35">
      <c r="X4114" s="40"/>
      <c r="Y4114" s="40"/>
    </row>
    <row r="4115" spans="24:25" x14ac:dyDescent="0.35">
      <c r="X4115" s="40"/>
      <c r="Y4115" s="40"/>
    </row>
    <row r="4116" spans="24:25" x14ac:dyDescent="0.35">
      <c r="X4116" s="40"/>
      <c r="Y4116" s="40"/>
    </row>
    <row r="4117" spans="24:25" x14ac:dyDescent="0.35">
      <c r="X4117" s="40"/>
      <c r="Y4117" s="40"/>
    </row>
    <row r="4118" spans="24:25" x14ac:dyDescent="0.35">
      <c r="X4118" s="40"/>
      <c r="Y4118" s="40"/>
    </row>
    <row r="4119" spans="24:25" x14ac:dyDescent="0.35">
      <c r="X4119" s="40"/>
      <c r="Y4119" s="40"/>
    </row>
    <row r="4120" spans="24:25" x14ac:dyDescent="0.35">
      <c r="X4120" s="40"/>
      <c r="Y4120" s="40"/>
    </row>
    <row r="4121" spans="24:25" x14ac:dyDescent="0.35">
      <c r="X4121" s="40"/>
      <c r="Y4121" s="40"/>
    </row>
    <row r="4122" spans="24:25" x14ac:dyDescent="0.35">
      <c r="X4122" s="40"/>
      <c r="Y4122" s="40"/>
    </row>
    <row r="4123" spans="24:25" x14ac:dyDescent="0.35">
      <c r="X4123" s="40"/>
      <c r="Y4123" s="40"/>
    </row>
    <row r="4124" spans="24:25" x14ac:dyDescent="0.35">
      <c r="X4124" s="40"/>
      <c r="Y4124" s="40"/>
    </row>
    <row r="4125" spans="24:25" x14ac:dyDescent="0.35">
      <c r="X4125" s="40"/>
      <c r="Y4125" s="40"/>
    </row>
    <row r="4126" spans="24:25" x14ac:dyDescent="0.35">
      <c r="X4126" s="40"/>
      <c r="Y4126" s="40"/>
    </row>
    <row r="4127" spans="24:25" x14ac:dyDescent="0.35">
      <c r="X4127" s="40"/>
      <c r="Y4127" s="40"/>
    </row>
    <row r="4128" spans="24:25" x14ac:dyDescent="0.35">
      <c r="X4128" s="40"/>
      <c r="Y4128" s="40"/>
    </row>
    <row r="4129" spans="24:25" x14ac:dyDescent="0.35">
      <c r="X4129" s="40"/>
      <c r="Y4129" s="40"/>
    </row>
    <row r="4130" spans="24:25" x14ac:dyDescent="0.35">
      <c r="X4130" s="40"/>
      <c r="Y4130" s="40"/>
    </row>
    <row r="4131" spans="24:25" x14ac:dyDescent="0.35">
      <c r="X4131" s="40"/>
      <c r="Y4131" s="40"/>
    </row>
    <row r="4132" spans="24:25" x14ac:dyDescent="0.35">
      <c r="X4132" s="40"/>
      <c r="Y4132" s="40"/>
    </row>
    <row r="4133" spans="24:25" x14ac:dyDescent="0.35">
      <c r="X4133" s="40"/>
      <c r="Y4133" s="40"/>
    </row>
    <row r="4134" spans="24:25" x14ac:dyDescent="0.35">
      <c r="X4134" s="40"/>
      <c r="Y4134" s="40"/>
    </row>
    <row r="4135" spans="24:25" x14ac:dyDescent="0.35">
      <c r="X4135" s="40"/>
      <c r="Y4135" s="40"/>
    </row>
    <row r="4136" spans="24:25" x14ac:dyDescent="0.35">
      <c r="X4136" s="40"/>
      <c r="Y4136" s="40"/>
    </row>
    <row r="4137" spans="24:25" x14ac:dyDescent="0.35">
      <c r="X4137" s="40"/>
      <c r="Y4137" s="40"/>
    </row>
    <row r="4138" spans="24:25" x14ac:dyDescent="0.35">
      <c r="X4138" s="40"/>
      <c r="Y4138" s="40"/>
    </row>
    <row r="4139" spans="24:25" x14ac:dyDescent="0.35">
      <c r="X4139" s="40"/>
      <c r="Y4139" s="40"/>
    </row>
    <row r="4140" spans="24:25" x14ac:dyDescent="0.35">
      <c r="X4140" s="40"/>
      <c r="Y4140" s="40"/>
    </row>
    <row r="4141" spans="24:25" x14ac:dyDescent="0.35">
      <c r="X4141" s="40"/>
      <c r="Y4141" s="40"/>
    </row>
    <row r="4142" spans="24:25" x14ac:dyDescent="0.35">
      <c r="X4142" s="40"/>
      <c r="Y4142" s="40"/>
    </row>
    <row r="4143" spans="24:25" x14ac:dyDescent="0.35">
      <c r="X4143" s="40"/>
      <c r="Y4143" s="40"/>
    </row>
    <row r="4144" spans="24:25" x14ac:dyDescent="0.35">
      <c r="X4144" s="40"/>
      <c r="Y4144" s="40"/>
    </row>
    <row r="4145" spans="24:25" x14ac:dyDescent="0.35">
      <c r="X4145" s="40"/>
      <c r="Y4145" s="40"/>
    </row>
    <row r="4146" spans="24:25" x14ac:dyDescent="0.35">
      <c r="X4146" s="40"/>
      <c r="Y4146" s="40"/>
    </row>
    <row r="4147" spans="24:25" x14ac:dyDescent="0.35">
      <c r="X4147" s="40"/>
      <c r="Y4147" s="40"/>
    </row>
    <row r="4148" spans="24:25" x14ac:dyDescent="0.35">
      <c r="X4148" s="40"/>
      <c r="Y4148" s="40"/>
    </row>
    <row r="4149" spans="24:25" x14ac:dyDescent="0.35">
      <c r="X4149" s="40"/>
      <c r="Y4149" s="40"/>
    </row>
    <row r="4150" spans="24:25" x14ac:dyDescent="0.35">
      <c r="X4150" s="40"/>
      <c r="Y4150" s="40"/>
    </row>
    <row r="4151" spans="24:25" x14ac:dyDescent="0.35">
      <c r="X4151" s="40"/>
      <c r="Y4151" s="40"/>
    </row>
    <row r="4152" spans="24:25" x14ac:dyDescent="0.35">
      <c r="X4152" s="40"/>
      <c r="Y4152" s="40"/>
    </row>
    <row r="4153" spans="24:25" x14ac:dyDescent="0.35">
      <c r="X4153" s="40"/>
      <c r="Y4153" s="40"/>
    </row>
    <row r="4154" spans="24:25" x14ac:dyDescent="0.35">
      <c r="X4154" s="40"/>
      <c r="Y4154" s="40"/>
    </row>
    <row r="4155" spans="24:25" x14ac:dyDescent="0.35">
      <c r="X4155" s="40"/>
      <c r="Y4155" s="40"/>
    </row>
    <row r="4156" spans="24:25" x14ac:dyDescent="0.35">
      <c r="X4156" s="40"/>
      <c r="Y4156" s="40"/>
    </row>
    <row r="4157" spans="24:25" x14ac:dyDescent="0.35">
      <c r="X4157" s="40"/>
      <c r="Y4157" s="40"/>
    </row>
    <row r="4158" spans="24:25" x14ac:dyDescent="0.35">
      <c r="X4158" s="40"/>
      <c r="Y4158" s="40"/>
    </row>
    <row r="4159" spans="24:25" x14ac:dyDescent="0.35">
      <c r="X4159" s="40"/>
      <c r="Y4159" s="40"/>
    </row>
    <row r="4160" spans="24:25" x14ac:dyDescent="0.35">
      <c r="X4160" s="40"/>
      <c r="Y4160" s="40"/>
    </row>
    <row r="4161" spans="24:25" x14ac:dyDescent="0.35">
      <c r="X4161" s="40"/>
      <c r="Y4161" s="40"/>
    </row>
    <row r="4162" spans="24:25" x14ac:dyDescent="0.35">
      <c r="X4162" s="40"/>
      <c r="Y4162" s="40"/>
    </row>
    <row r="4163" spans="24:25" x14ac:dyDescent="0.35">
      <c r="X4163" s="40"/>
      <c r="Y4163" s="40"/>
    </row>
    <row r="4164" spans="24:25" x14ac:dyDescent="0.35">
      <c r="X4164" s="40"/>
      <c r="Y4164" s="40"/>
    </row>
    <row r="4165" spans="24:25" x14ac:dyDescent="0.35">
      <c r="X4165" s="40"/>
      <c r="Y4165" s="40"/>
    </row>
    <row r="4166" spans="24:25" x14ac:dyDescent="0.35">
      <c r="X4166" s="40"/>
      <c r="Y4166" s="40"/>
    </row>
    <row r="4167" spans="24:25" x14ac:dyDescent="0.35">
      <c r="X4167" s="40"/>
      <c r="Y4167" s="40"/>
    </row>
    <row r="4168" spans="24:25" x14ac:dyDescent="0.35">
      <c r="X4168" s="40"/>
      <c r="Y4168" s="40"/>
    </row>
    <row r="4169" spans="24:25" x14ac:dyDescent="0.35">
      <c r="X4169" s="40"/>
      <c r="Y4169" s="40"/>
    </row>
    <row r="4170" spans="24:25" x14ac:dyDescent="0.35">
      <c r="X4170" s="40"/>
      <c r="Y4170" s="40"/>
    </row>
    <row r="4171" spans="24:25" x14ac:dyDescent="0.35">
      <c r="X4171" s="40"/>
      <c r="Y4171" s="40"/>
    </row>
    <row r="4172" spans="24:25" x14ac:dyDescent="0.35">
      <c r="X4172" s="40"/>
      <c r="Y4172" s="40"/>
    </row>
    <row r="4173" spans="24:25" x14ac:dyDescent="0.35">
      <c r="X4173" s="40"/>
      <c r="Y4173" s="40"/>
    </row>
    <row r="4174" spans="24:25" x14ac:dyDescent="0.35">
      <c r="X4174" s="40"/>
      <c r="Y4174" s="40"/>
    </row>
    <row r="4175" spans="24:25" x14ac:dyDescent="0.35">
      <c r="X4175" s="40"/>
      <c r="Y4175" s="40"/>
    </row>
    <row r="4176" spans="24:25" x14ac:dyDescent="0.35">
      <c r="X4176" s="40"/>
      <c r="Y4176" s="40"/>
    </row>
    <row r="4177" spans="24:25" x14ac:dyDescent="0.35">
      <c r="X4177" s="40"/>
      <c r="Y4177" s="40"/>
    </row>
    <row r="4178" spans="24:25" x14ac:dyDescent="0.35">
      <c r="X4178" s="40"/>
      <c r="Y4178" s="40"/>
    </row>
    <row r="4179" spans="24:25" x14ac:dyDescent="0.35">
      <c r="X4179" s="40"/>
      <c r="Y4179" s="40"/>
    </row>
    <row r="4180" spans="24:25" x14ac:dyDescent="0.35">
      <c r="X4180" s="40"/>
      <c r="Y4180" s="40"/>
    </row>
    <row r="4181" spans="24:25" x14ac:dyDescent="0.35">
      <c r="X4181" s="40"/>
      <c r="Y4181" s="40"/>
    </row>
    <row r="4182" spans="24:25" x14ac:dyDescent="0.35">
      <c r="X4182" s="40"/>
      <c r="Y4182" s="40"/>
    </row>
    <row r="4183" spans="24:25" x14ac:dyDescent="0.35">
      <c r="X4183" s="40"/>
      <c r="Y4183" s="40"/>
    </row>
    <row r="4184" spans="24:25" x14ac:dyDescent="0.35">
      <c r="X4184" s="40"/>
      <c r="Y4184" s="40"/>
    </row>
    <row r="4185" spans="24:25" x14ac:dyDescent="0.35">
      <c r="X4185" s="40"/>
      <c r="Y4185" s="40"/>
    </row>
    <row r="4186" spans="24:25" x14ac:dyDescent="0.35">
      <c r="X4186" s="40"/>
      <c r="Y4186" s="40"/>
    </row>
    <row r="4187" spans="24:25" x14ac:dyDescent="0.35">
      <c r="X4187" s="40"/>
      <c r="Y4187" s="40"/>
    </row>
    <row r="4188" spans="24:25" x14ac:dyDescent="0.35">
      <c r="X4188" s="40"/>
      <c r="Y4188" s="40"/>
    </row>
    <row r="4189" spans="24:25" x14ac:dyDescent="0.35">
      <c r="X4189" s="40"/>
      <c r="Y4189" s="40"/>
    </row>
    <row r="4190" spans="24:25" x14ac:dyDescent="0.35">
      <c r="X4190" s="40"/>
      <c r="Y4190" s="40"/>
    </row>
    <row r="4191" spans="24:25" x14ac:dyDescent="0.35">
      <c r="X4191" s="40"/>
      <c r="Y4191" s="40"/>
    </row>
    <row r="4192" spans="24:25" x14ac:dyDescent="0.35">
      <c r="X4192" s="40"/>
      <c r="Y4192" s="40"/>
    </row>
    <row r="4193" spans="24:25" x14ac:dyDescent="0.35">
      <c r="X4193" s="40"/>
      <c r="Y4193" s="40"/>
    </row>
    <row r="4194" spans="24:25" x14ac:dyDescent="0.35">
      <c r="X4194" s="40"/>
      <c r="Y4194" s="40"/>
    </row>
    <row r="4195" spans="24:25" x14ac:dyDescent="0.35">
      <c r="X4195" s="40"/>
      <c r="Y4195" s="40"/>
    </row>
    <row r="4196" spans="24:25" x14ac:dyDescent="0.35">
      <c r="X4196" s="40"/>
      <c r="Y4196" s="40"/>
    </row>
    <row r="4197" spans="24:25" x14ac:dyDescent="0.35">
      <c r="X4197" s="40"/>
      <c r="Y4197" s="40"/>
    </row>
    <row r="4198" spans="24:25" x14ac:dyDescent="0.35">
      <c r="X4198" s="40"/>
      <c r="Y4198" s="40"/>
    </row>
    <row r="4199" spans="24:25" x14ac:dyDescent="0.35">
      <c r="X4199" s="40"/>
      <c r="Y4199" s="40"/>
    </row>
    <row r="4200" spans="24:25" x14ac:dyDescent="0.35">
      <c r="X4200" s="40"/>
      <c r="Y4200" s="40"/>
    </row>
    <row r="4201" spans="24:25" x14ac:dyDescent="0.35">
      <c r="X4201" s="40"/>
      <c r="Y4201" s="40"/>
    </row>
    <row r="4202" spans="24:25" x14ac:dyDescent="0.35">
      <c r="X4202" s="40"/>
      <c r="Y4202" s="40"/>
    </row>
    <row r="4203" spans="24:25" x14ac:dyDescent="0.35">
      <c r="X4203" s="40"/>
      <c r="Y4203" s="40"/>
    </row>
    <row r="4204" spans="24:25" x14ac:dyDescent="0.35">
      <c r="X4204" s="40"/>
      <c r="Y4204" s="40"/>
    </row>
    <row r="4205" spans="24:25" x14ac:dyDescent="0.35">
      <c r="X4205" s="40"/>
      <c r="Y4205" s="40"/>
    </row>
    <row r="4206" spans="24:25" x14ac:dyDescent="0.35">
      <c r="X4206" s="40"/>
      <c r="Y4206" s="40"/>
    </row>
    <row r="4207" spans="24:25" x14ac:dyDescent="0.35">
      <c r="X4207" s="40"/>
      <c r="Y4207" s="40"/>
    </row>
    <row r="4208" spans="24:25" x14ac:dyDescent="0.35">
      <c r="X4208" s="40"/>
      <c r="Y4208" s="40"/>
    </row>
    <row r="4209" spans="24:25" x14ac:dyDescent="0.35">
      <c r="X4209" s="40"/>
      <c r="Y4209" s="40"/>
    </row>
    <row r="4210" spans="24:25" x14ac:dyDescent="0.35">
      <c r="X4210" s="40"/>
      <c r="Y4210" s="40"/>
    </row>
    <row r="4211" spans="24:25" x14ac:dyDescent="0.35">
      <c r="X4211" s="40"/>
      <c r="Y4211" s="40"/>
    </row>
    <row r="4212" spans="24:25" x14ac:dyDescent="0.35">
      <c r="X4212" s="40"/>
      <c r="Y4212" s="40"/>
    </row>
    <row r="4213" spans="24:25" x14ac:dyDescent="0.35">
      <c r="X4213" s="40"/>
      <c r="Y4213" s="40"/>
    </row>
    <row r="4214" spans="24:25" x14ac:dyDescent="0.35">
      <c r="X4214" s="40"/>
      <c r="Y4214" s="40"/>
    </row>
    <row r="4215" spans="24:25" x14ac:dyDescent="0.35">
      <c r="X4215" s="40"/>
      <c r="Y4215" s="40"/>
    </row>
    <row r="4216" spans="24:25" x14ac:dyDescent="0.35">
      <c r="X4216" s="40"/>
      <c r="Y4216" s="40"/>
    </row>
    <row r="4217" spans="24:25" x14ac:dyDescent="0.35">
      <c r="X4217" s="40"/>
      <c r="Y4217" s="40"/>
    </row>
    <row r="4218" spans="24:25" x14ac:dyDescent="0.35">
      <c r="X4218" s="40"/>
      <c r="Y4218" s="40"/>
    </row>
    <row r="4219" spans="24:25" x14ac:dyDescent="0.35">
      <c r="X4219" s="40"/>
      <c r="Y4219" s="40"/>
    </row>
    <row r="4220" spans="24:25" x14ac:dyDescent="0.35">
      <c r="X4220" s="40"/>
      <c r="Y4220" s="40"/>
    </row>
    <row r="4221" spans="24:25" x14ac:dyDescent="0.35">
      <c r="X4221" s="40"/>
      <c r="Y4221" s="40"/>
    </row>
    <row r="4222" spans="24:25" x14ac:dyDescent="0.35">
      <c r="X4222" s="40"/>
      <c r="Y4222" s="40"/>
    </row>
    <row r="4223" spans="24:25" x14ac:dyDescent="0.35">
      <c r="X4223" s="40"/>
      <c r="Y4223" s="40"/>
    </row>
    <row r="4224" spans="24:25" x14ac:dyDescent="0.35">
      <c r="X4224" s="40"/>
      <c r="Y4224" s="40"/>
    </row>
    <row r="4225" spans="24:25" x14ac:dyDescent="0.35">
      <c r="X4225" s="40"/>
      <c r="Y4225" s="40"/>
    </row>
    <row r="4226" spans="24:25" x14ac:dyDescent="0.35">
      <c r="X4226" s="40"/>
      <c r="Y4226" s="40"/>
    </row>
    <row r="4227" spans="24:25" x14ac:dyDescent="0.35">
      <c r="X4227" s="40"/>
      <c r="Y4227" s="40"/>
    </row>
    <row r="4228" spans="24:25" x14ac:dyDescent="0.35">
      <c r="X4228" s="40"/>
      <c r="Y4228" s="40"/>
    </row>
    <row r="4229" spans="24:25" x14ac:dyDescent="0.35">
      <c r="X4229" s="40"/>
      <c r="Y4229" s="40"/>
    </row>
    <row r="4230" spans="24:25" x14ac:dyDescent="0.35">
      <c r="X4230" s="40"/>
      <c r="Y4230" s="40"/>
    </row>
    <row r="4231" spans="24:25" x14ac:dyDescent="0.35">
      <c r="X4231" s="40"/>
      <c r="Y4231" s="40"/>
    </row>
    <row r="4232" spans="24:25" x14ac:dyDescent="0.35">
      <c r="X4232" s="40"/>
      <c r="Y4232" s="40"/>
    </row>
    <row r="4233" spans="24:25" x14ac:dyDescent="0.35">
      <c r="X4233" s="40"/>
      <c r="Y4233" s="40"/>
    </row>
    <row r="4234" spans="24:25" x14ac:dyDescent="0.35">
      <c r="X4234" s="40"/>
      <c r="Y4234" s="40"/>
    </row>
    <row r="4235" spans="24:25" x14ac:dyDescent="0.35">
      <c r="X4235" s="40"/>
      <c r="Y4235" s="40"/>
    </row>
    <row r="4236" spans="24:25" x14ac:dyDescent="0.35">
      <c r="X4236" s="40"/>
      <c r="Y4236" s="40"/>
    </row>
    <row r="4237" spans="24:25" x14ac:dyDescent="0.35">
      <c r="X4237" s="40"/>
      <c r="Y4237" s="40"/>
    </row>
    <row r="4238" spans="24:25" x14ac:dyDescent="0.35">
      <c r="X4238" s="40"/>
      <c r="Y4238" s="40"/>
    </row>
    <row r="4239" spans="24:25" x14ac:dyDescent="0.35">
      <c r="X4239" s="40"/>
      <c r="Y4239" s="40"/>
    </row>
    <row r="4240" spans="24:25" x14ac:dyDescent="0.35">
      <c r="X4240" s="40"/>
      <c r="Y4240" s="40"/>
    </row>
    <row r="4241" spans="24:25" x14ac:dyDescent="0.35">
      <c r="X4241" s="40"/>
      <c r="Y4241" s="40"/>
    </row>
    <row r="4242" spans="24:25" x14ac:dyDescent="0.35">
      <c r="X4242" s="40"/>
      <c r="Y4242" s="40"/>
    </row>
    <row r="4243" spans="24:25" x14ac:dyDescent="0.35">
      <c r="X4243" s="40"/>
      <c r="Y4243" s="40"/>
    </row>
    <row r="4244" spans="24:25" x14ac:dyDescent="0.35">
      <c r="X4244" s="40"/>
      <c r="Y4244" s="40"/>
    </row>
    <row r="4245" spans="24:25" x14ac:dyDescent="0.35">
      <c r="X4245" s="40"/>
      <c r="Y4245" s="40"/>
    </row>
    <row r="4246" spans="24:25" x14ac:dyDescent="0.35">
      <c r="X4246" s="40"/>
      <c r="Y4246" s="40"/>
    </row>
    <row r="4247" spans="24:25" x14ac:dyDescent="0.35">
      <c r="X4247" s="40"/>
      <c r="Y4247" s="40"/>
    </row>
    <row r="4248" spans="24:25" x14ac:dyDescent="0.35">
      <c r="X4248" s="40"/>
      <c r="Y4248" s="40"/>
    </row>
    <row r="4249" spans="24:25" x14ac:dyDescent="0.35">
      <c r="X4249" s="40"/>
      <c r="Y4249" s="40"/>
    </row>
    <row r="4250" spans="24:25" x14ac:dyDescent="0.35">
      <c r="X4250" s="40"/>
      <c r="Y4250" s="40"/>
    </row>
    <row r="4251" spans="24:25" x14ac:dyDescent="0.35">
      <c r="X4251" s="40"/>
      <c r="Y4251" s="40"/>
    </row>
    <row r="4252" spans="24:25" x14ac:dyDescent="0.35">
      <c r="X4252" s="40"/>
      <c r="Y4252" s="40"/>
    </row>
    <row r="4253" spans="24:25" x14ac:dyDescent="0.35">
      <c r="X4253" s="40"/>
      <c r="Y4253" s="40"/>
    </row>
    <row r="4254" spans="24:25" x14ac:dyDescent="0.35">
      <c r="X4254" s="40"/>
      <c r="Y4254" s="40"/>
    </row>
    <row r="4255" spans="24:25" x14ac:dyDescent="0.35">
      <c r="X4255" s="40"/>
      <c r="Y4255" s="40"/>
    </row>
    <row r="4256" spans="24:25" x14ac:dyDescent="0.35">
      <c r="X4256" s="40"/>
      <c r="Y4256" s="40"/>
    </row>
    <row r="4257" spans="24:25" x14ac:dyDescent="0.35">
      <c r="X4257" s="40"/>
      <c r="Y4257" s="40"/>
    </row>
    <row r="4258" spans="24:25" x14ac:dyDescent="0.35">
      <c r="X4258" s="40"/>
      <c r="Y4258" s="40"/>
    </row>
    <row r="4259" spans="24:25" x14ac:dyDescent="0.35">
      <c r="X4259" s="40"/>
      <c r="Y4259" s="40"/>
    </row>
    <row r="4260" spans="24:25" x14ac:dyDescent="0.35">
      <c r="X4260" s="40"/>
      <c r="Y4260" s="40"/>
    </row>
    <row r="4261" spans="24:25" x14ac:dyDescent="0.35">
      <c r="X4261" s="40"/>
      <c r="Y4261" s="40"/>
    </row>
    <row r="4262" spans="24:25" x14ac:dyDescent="0.35">
      <c r="X4262" s="40"/>
      <c r="Y4262" s="40"/>
    </row>
    <row r="4263" spans="24:25" x14ac:dyDescent="0.35">
      <c r="X4263" s="40"/>
      <c r="Y4263" s="40"/>
    </row>
    <row r="4264" spans="24:25" x14ac:dyDescent="0.35">
      <c r="X4264" s="40"/>
      <c r="Y4264" s="40"/>
    </row>
    <row r="4265" spans="24:25" x14ac:dyDescent="0.35">
      <c r="X4265" s="40"/>
      <c r="Y4265" s="40"/>
    </row>
    <row r="4266" spans="24:25" x14ac:dyDescent="0.35">
      <c r="X4266" s="40"/>
      <c r="Y4266" s="40"/>
    </row>
    <row r="4267" spans="24:25" x14ac:dyDescent="0.35">
      <c r="X4267" s="40"/>
      <c r="Y4267" s="40"/>
    </row>
    <row r="4268" spans="24:25" x14ac:dyDescent="0.35">
      <c r="X4268" s="40"/>
      <c r="Y4268" s="40"/>
    </row>
    <row r="4269" spans="24:25" x14ac:dyDescent="0.35">
      <c r="X4269" s="40"/>
      <c r="Y4269" s="40"/>
    </row>
    <row r="4270" spans="24:25" x14ac:dyDescent="0.35">
      <c r="X4270" s="40"/>
      <c r="Y4270" s="40"/>
    </row>
    <row r="4271" spans="24:25" x14ac:dyDescent="0.35">
      <c r="X4271" s="40"/>
      <c r="Y4271" s="40"/>
    </row>
    <row r="4272" spans="24:25" x14ac:dyDescent="0.35">
      <c r="X4272" s="40"/>
      <c r="Y4272" s="40"/>
    </row>
    <row r="4273" spans="24:25" x14ac:dyDescent="0.35">
      <c r="X4273" s="40"/>
      <c r="Y4273" s="40"/>
    </row>
    <row r="4274" spans="24:25" x14ac:dyDescent="0.35">
      <c r="X4274" s="40"/>
      <c r="Y4274" s="40"/>
    </row>
    <row r="4275" spans="24:25" x14ac:dyDescent="0.35">
      <c r="X4275" s="40"/>
      <c r="Y4275" s="40"/>
    </row>
    <row r="4276" spans="24:25" x14ac:dyDescent="0.35">
      <c r="X4276" s="40"/>
      <c r="Y4276" s="40"/>
    </row>
    <row r="4277" spans="24:25" x14ac:dyDescent="0.35">
      <c r="X4277" s="40"/>
      <c r="Y4277" s="40"/>
    </row>
    <row r="4278" spans="24:25" x14ac:dyDescent="0.35">
      <c r="X4278" s="40"/>
      <c r="Y4278" s="40"/>
    </row>
    <row r="4279" spans="24:25" x14ac:dyDescent="0.35">
      <c r="X4279" s="40"/>
      <c r="Y4279" s="40"/>
    </row>
    <row r="4280" spans="24:25" x14ac:dyDescent="0.35">
      <c r="X4280" s="40"/>
      <c r="Y4280" s="40"/>
    </row>
    <row r="4281" spans="24:25" x14ac:dyDescent="0.35">
      <c r="X4281" s="40"/>
      <c r="Y4281" s="40"/>
    </row>
    <row r="4282" spans="24:25" x14ac:dyDescent="0.35">
      <c r="X4282" s="40"/>
      <c r="Y4282" s="40"/>
    </row>
    <row r="4283" spans="24:25" x14ac:dyDescent="0.35">
      <c r="X4283" s="40"/>
      <c r="Y4283" s="40"/>
    </row>
    <row r="4284" spans="24:25" x14ac:dyDescent="0.35">
      <c r="X4284" s="40"/>
      <c r="Y4284" s="40"/>
    </row>
    <row r="4285" spans="24:25" x14ac:dyDescent="0.35">
      <c r="X4285" s="40"/>
      <c r="Y4285" s="40"/>
    </row>
    <row r="4286" spans="24:25" x14ac:dyDescent="0.35">
      <c r="X4286" s="40"/>
      <c r="Y4286" s="40"/>
    </row>
    <row r="4287" spans="24:25" x14ac:dyDescent="0.35">
      <c r="X4287" s="40"/>
      <c r="Y4287" s="40"/>
    </row>
    <row r="4288" spans="24:25" x14ac:dyDescent="0.35">
      <c r="X4288" s="40"/>
      <c r="Y4288" s="40"/>
    </row>
    <row r="4289" spans="24:25" x14ac:dyDescent="0.35">
      <c r="X4289" s="40"/>
      <c r="Y4289" s="40"/>
    </row>
    <row r="4290" spans="24:25" x14ac:dyDescent="0.35">
      <c r="X4290" s="40"/>
      <c r="Y4290" s="40"/>
    </row>
    <row r="4291" spans="24:25" x14ac:dyDescent="0.35">
      <c r="X4291" s="40"/>
      <c r="Y4291" s="40"/>
    </row>
    <row r="4292" spans="24:25" x14ac:dyDescent="0.35">
      <c r="X4292" s="40"/>
      <c r="Y4292" s="40"/>
    </row>
    <row r="4293" spans="24:25" x14ac:dyDescent="0.35">
      <c r="X4293" s="40"/>
      <c r="Y4293" s="40"/>
    </row>
    <row r="4294" spans="24:25" x14ac:dyDescent="0.35">
      <c r="X4294" s="40"/>
      <c r="Y4294" s="40"/>
    </row>
    <row r="4295" spans="24:25" x14ac:dyDescent="0.35">
      <c r="X4295" s="40"/>
      <c r="Y4295" s="40"/>
    </row>
    <row r="4296" spans="24:25" x14ac:dyDescent="0.35">
      <c r="X4296" s="40"/>
      <c r="Y4296" s="40"/>
    </row>
    <row r="4297" spans="24:25" x14ac:dyDescent="0.35">
      <c r="X4297" s="40"/>
      <c r="Y4297" s="40"/>
    </row>
    <row r="4298" spans="24:25" x14ac:dyDescent="0.35">
      <c r="X4298" s="40"/>
      <c r="Y4298" s="40"/>
    </row>
    <row r="4299" spans="24:25" x14ac:dyDescent="0.35">
      <c r="X4299" s="40"/>
      <c r="Y4299" s="40"/>
    </row>
    <row r="4300" spans="24:25" x14ac:dyDescent="0.35">
      <c r="X4300" s="40"/>
      <c r="Y4300" s="40"/>
    </row>
    <row r="4301" spans="24:25" x14ac:dyDescent="0.35">
      <c r="X4301" s="40"/>
      <c r="Y4301" s="40"/>
    </row>
    <row r="4302" spans="24:25" x14ac:dyDescent="0.35">
      <c r="X4302" s="40"/>
      <c r="Y4302" s="40"/>
    </row>
    <row r="4303" spans="24:25" x14ac:dyDescent="0.35">
      <c r="X4303" s="40"/>
      <c r="Y4303" s="40"/>
    </row>
    <row r="4304" spans="24:25" x14ac:dyDescent="0.35">
      <c r="X4304" s="40"/>
      <c r="Y4304" s="40"/>
    </row>
    <row r="4305" spans="24:25" x14ac:dyDescent="0.35">
      <c r="X4305" s="40"/>
      <c r="Y4305" s="40"/>
    </row>
    <row r="4306" spans="24:25" x14ac:dyDescent="0.35">
      <c r="X4306" s="40"/>
      <c r="Y4306" s="40"/>
    </row>
    <row r="4307" spans="24:25" x14ac:dyDescent="0.35">
      <c r="X4307" s="40"/>
      <c r="Y4307" s="40"/>
    </row>
    <row r="4308" spans="24:25" x14ac:dyDescent="0.35">
      <c r="X4308" s="40"/>
      <c r="Y4308" s="40"/>
    </row>
    <row r="4309" spans="24:25" x14ac:dyDescent="0.35">
      <c r="X4309" s="40"/>
      <c r="Y4309" s="40"/>
    </row>
    <row r="4310" spans="24:25" x14ac:dyDescent="0.35">
      <c r="X4310" s="40"/>
      <c r="Y4310" s="40"/>
    </row>
    <row r="4311" spans="24:25" x14ac:dyDescent="0.35">
      <c r="X4311" s="40"/>
      <c r="Y4311" s="40"/>
    </row>
    <row r="4312" spans="24:25" x14ac:dyDescent="0.35">
      <c r="X4312" s="40"/>
      <c r="Y4312" s="40"/>
    </row>
    <row r="4313" spans="24:25" x14ac:dyDescent="0.35">
      <c r="X4313" s="40"/>
      <c r="Y4313" s="40"/>
    </row>
    <row r="4314" spans="24:25" x14ac:dyDescent="0.35">
      <c r="X4314" s="40"/>
      <c r="Y4314" s="40"/>
    </row>
    <row r="4315" spans="24:25" x14ac:dyDescent="0.35">
      <c r="X4315" s="40"/>
      <c r="Y4315" s="40"/>
    </row>
    <row r="4316" spans="24:25" x14ac:dyDescent="0.35">
      <c r="X4316" s="40"/>
      <c r="Y4316" s="40"/>
    </row>
    <row r="4317" spans="24:25" x14ac:dyDescent="0.35">
      <c r="X4317" s="40"/>
      <c r="Y4317" s="40"/>
    </row>
    <row r="4318" spans="24:25" x14ac:dyDescent="0.35">
      <c r="X4318" s="40"/>
      <c r="Y4318" s="40"/>
    </row>
    <row r="4319" spans="24:25" x14ac:dyDescent="0.35">
      <c r="X4319" s="40"/>
      <c r="Y4319" s="40"/>
    </row>
    <row r="4320" spans="24:25" x14ac:dyDescent="0.35">
      <c r="X4320" s="40"/>
      <c r="Y4320" s="40"/>
    </row>
    <row r="4321" spans="24:25" x14ac:dyDescent="0.35">
      <c r="X4321" s="40"/>
      <c r="Y4321" s="40"/>
    </row>
    <row r="4322" spans="24:25" x14ac:dyDescent="0.35">
      <c r="X4322" s="40"/>
      <c r="Y4322" s="40"/>
    </row>
    <row r="4323" spans="24:25" x14ac:dyDescent="0.35">
      <c r="X4323" s="40"/>
      <c r="Y4323" s="40"/>
    </row>
    <row r="4324" spans="24:25" x14ac:dyDescent="0.35">
      <c r="X4324" s="40"/>
      <c r="Y4324" s="40"/>
    </row>
    <row r="4325" spans="24:25" x14ac:dyDescent="0.35">
      <c r="X4325" s="40"/>
      <c r="Y4325" s="40"/>
    </row>
    <row r="4326" spans="24:25" x14ac:dyDescent="0.35">
      <c r="X4326" s="40"/>
      <c r="Y4326" s="40"/>
    </row>
    <row r="4327" spans="24:25" x14ac:dyDescent="0.35">
      <c r="X4327" s="40"/>
      <c r="Y4327" s="40"/>
    </row>
    <row r="4328" spans="24:25" x14ac:dyDescent="0.35">
      <c r="X4328" s="40"/>
      <c r="Y4328" s="40"/>
    </row>
    <row r="4329" spans="24:25" x14ac:dyDescent="0.35">
      <c r="X4329" s="40"/>
      <c r="Y4329" s="40"/>
    </row>
    <row r="4330" spans="24:25" x14ac:dyDescent="0.35">
      <c r="X4330" s="40"/>
      <c r="Y4330" s="40"/>
    </row>
    <row r="4331" spans="24:25" x14ac:dyDescent="0.35">
      <c r="X4331" s="40"/>
      <c r="Y4331" s="40"/>
    </row>
    <row r="4332" spans="24:25" x14ac:dyDescent="0.35">
      <c r="X4332" s="40"/>
      <c r="Y4332" s="40"/>
    </row>
    <row r="4333" spans="24:25" x14ac:dyDescent="0.35">
      <c r="X4333" s="40"/>
      <c r="Y4333" s="40"/>
    </row>
    <row r="4334" spans="24:25" x14ac:dyDescent="0.35">
      <c r="X4334" s="40"/>
      <c r="Y4334" s="40"/>
    </row>
    <row r="4335" spans="24:25" x14ac:dyDescent="0.35">
      <c r="X4335" s="40"/>
      <c r="Y4335" s="40"/>
    </row>
    <row r="4336" spans="24:25" x14ac:dyDescent="0.35">
      <c r="X4336" s="40"/>
      <c r="Y4336" s="40"/>
    </row>
    <row r="4337" spans="24:25" x14ac:dyDescent="0.35">
      <c r="X4337" s="40"/>
      <c r="Y4337" s="40"/>
    </row>
    <row r="4338" spans="24:25" x14ac:dyDescent="0.35">
      <c r="X4338" s="40"/>
      <c r="Y4338" s="40"/>
    </row>
    <row r="4339" spans="24:25" x14ac:dyDescent="0.35">
      <c r="X4339" s="40"/>
      <c r="Y4339" s="40"/>
    </row>
    <row r="4340" spans="24:25" x14ac:dyDescent="0.35">
      <c r="X4340" s="40"/>
      <c r="Y4340" s="40"/>
    </row>
    <row r="4341" spans="24:25" x14ac:dyDescent="0.35">
      <c r="X4341" s="40"/>
      <c r="Y4341" s="40"/>
    </row>
    <row r="4342" spans="24:25" x14ac:dyDescent="0.35">
      <c r="X4342" s="40"/>
      <c r="Y4342" s="40"/>
    </row>
    <row r="4343" spans="24:25" x14ac:dyDescent="0.35">
      <c r="X4343" s="40"/>
      <c r="Y4343" s="40"/>
    </row>
    <row r="4344" spans="24:25" x14ac:dyDescent="0.35">
      <c r="X4344" s="40"/>
      <c r="Y4344" s="40"/>
    </row>
    <row r="4345" spans="24:25" x14ac:dyDescent="0.35">
      <c r="X4345" s="40"/>
      <c r="Y4345" s="40"/>
    </row>
    <row r="4346" spans="24:25" x14ac:dyDescent="0.35">
      <c r="X4346" s="40"/>
      <c r="Y4346" s="40"/>
    </row>
    <row r="4347" spans="24:25" x14ac:dyDescent="0.35">
      <c r="X4347" s="40"/>
      <c r="Y4347" s="40"/>
    </row>
    <row r="4348" spans="24:25" x14ac:dyDescent="0.35">
      <c r="X4348" s="40"/>
      <c r="Y4348" s="40"/>
    </row>
    <row r="4349" spans="24:25" x14ac:dyDescent="0.35">
      <c r="X4349" s="40"/>
      <c r="Y4349" s="40"/>
    </row>
    <row r="4350" spans="24:25" x14ac:dyDescent="0.35">
      <c r="X4350" s="40"/>
      <c r="Y4350" s="40"/>
    </row>
    <row r="4351" spans="24:25" x14ac:dyDescent="0.35">
      <c r="X4351" s="40"/>
      <c r="Y4351" s="40"/>
    </row>
    <row r="4352" spans="24:25" x14ac:dyDescent="0.35">
      <c r="X4352" s="40"/>
      <c r="Y4352" s="40"/>
    </row>
    <row r="4353" spans="24:25" x14ac:dyDescent="0.35">
      <c r="X4353" s="40"/>
      <c r="Y4353" s="40"/>
    </row>
    <row r="4354" spans="24:25" x14ac:dyDescent="0.35">
      <c r="X4354" s="40"/>
      <c r="Y4354" s="40"/>
    </row>
    <row r="4355" spans="24:25" x14ac:dyDescent="0.35">
      <c r="X4355" s="40"/>
      <c r="Y4355" s="40"/>
    </row>
    <row r="4356" spans="24:25" x14ac:dyDescent="0.35">
      <c r="X4356" s="40"/>
      <c r="Y4356" s="40"/>
    </row>
    <row r="4357" spans="24:25" x14ac:dyDescent="0.35">
      <c r="X4357" s="40"/>
      <c r="Y4357" s="40"/>
    </row>
    <row r="4358" spans="24:25" x14ac:dyDescent="0.35">
      <c r="X4358" s="40"/>
      <c r="Y4358" s="40"/>
    </row>
    <row r="4359" spans="24:25" x14ac:dyDescent="0.35">
      <c r="X4359" s="40"/>
      <c r="Y4359" s="40"/>
    </row>
    <row r="4360" spans="24:25" x14ac:dyDescent="0.35">
      <c r="X4360" s="40"/>
      <c r="Y4360" s="40"/>
    </row>
    <row r="4361" spans="24:25" x14ac:dyDescent="0.35">
      <c r="X4361" s="40"/>
      <c r="Y4361" s="40"/>
    </row>
    <row r="4362" spans="24:25" x14ac:dyDescent="0.35">
      <c r="X4362" s="40"/>
      <c r="Y4362" s="40"/>
    </row>
    <row r="4363" spans="24:25" x14ac:dyDescent="0.35">
      <c r="X4363" s="40"/>
      <c r="Y4363" s="40"/>
    </row>
    <row r="4364" spans="24:25" x14ac:dyDescent="0.35">
      <c r="X4364" s="40"/>
      <c r="Y4364" s="40"/>
    </row>
    <row r="4365" spans="24:25" x14ac:dyDescent="0.35">
      <c r="X4365" s="40"/>
      <c r="Y4365" s="40"/>
    </row>
    <row r="4366" spans="24:25" x14ac:dyDescent="0.35">
      <c r="X4366" s="40"/>
      <c r="Y4366" s="40"/>
    </row>
    <row r="4367" spans="24:25" x14ac:dyDescent="0.35">
      <c r="X4367" s="40"/>
      <c r="Y4367" s="40"/>
    </row>
    <row r="4368" spans="24:25" x14ac:dyDescent="0.35">
      <c r="X4368" s="40"/>
      <c r="Y4368" s="40"/>
    </row>
    <row r="4369" spans="24:25" x14ac:dyDescent="0.35">
      <c r="X4369" s="40"/>
      <c r="Y4369" s="40"/>
    </row>
    <row r="4370" spans="24:25" x14ac:dyDescent="0.35">
      <c r="X4370" s="40"/>
      <c r="Y4370" s="40"/>
    </row>
    <row r="4371" spans="24:25" x14ac:dyDescent="0.35">
      <c r="X4371" s="40"/>
      <c r="Y4371" s="40"/>
    </row>
    <row r="4372" spans="24:25" x14ac:dyDescent="0.35">
      <c r="X4372" s="40"/>
      <c r="Y4372" s="40"/>
    </row>
    <row r="4373" spans="24:25" x14ac:dyDescent="0.35">
      <c r="X4373" s="40"/>
      <c r="Y4373" s="40"/>
    </row>
    <row r="4374" spans="24:25" x14ac:dyDescent="0.35">
      <c r="X4374" s="40"/>
      <c r="Y4374" s="40"/>
    </row>
    <row r="4375" spans="24:25" x14ac:dyDescent="0.35">
      <c r="X4375" s="40"/>
      <c r="Y4375" s="40"/>
    </row>
    <row r="4376" spans="24:25" x14ac:dyDescent="0.35">
      <c r="X4376" s="40"/>
      <c r="Y4376" s="40"/>
    </row>
    <row r="4377" spans="24:25" x14ac:dyDescent="0.35">
      <c r="X4377" s="40"/>
      <c r="Y4377" s="40"/>
    </row>
    <row r="4378" spans="24:25" x14ac:dyDescent="0.35">
      <c r="X4378" s="40"/>
      <c r="Y4378" s="40"/>
    </row>
    <row r="4379" spans="24:25" x14ac:dyDescent="0.35">
      <c r="X4379" s="40"/>
      <c r="Y4379" s="40"/>
    </row>
    <row r="4380" spans="24:25" x14ac:dyDescent="0.35">
      <c r="X4380" s="40"/>
      <c r="Y4380" s="40"/>
    </row>
    <row r="4381" spans="24:25" x14ac:dyDescent="0.35">
      <c r="X4381" s="40"/>
      <c r="Y4381" s="40"/>
    </row>
    <row r="4382" spans="24:25" x14ac:dyDescent="0.35">
      <c r="X4382" s="40"/>
      <c r="Y4382" s="40"/>
    </row>
    <row r="4383" spans="24:25" x14ac:dyDescent="0.35">
      <c r="X4383" s="40"/>
      <c r="Y4383" s="40"/>
    </row>
    <row r="4384" spans="24:25" x14ac:dyDescent="0.35">
      <c r="X4384" s="40"/>
      <c r="Y4384" s="40"/>
    </row>
    <row r="4385" spans="24:25" x14ac:dyDescent="0.35">
      <c r="X4385" s="40"/>
      <c r="Y4385" s="40"/>
    </row>
    <row r="4386" spans="24:25" x14ac:dyDescent="0.35">
      <c r="X4386" s="40"/>
      <c r="Y4386" s="40"/>
    </row>
    <row r="4387" spans="24:25" x14ac:dyDescent="0.35">
      <c r="X4387" s="40"/>
      <c r="Y4387" s="40"/>
    </row>
    <row r="4388" spans="24:25" x14ac:dyDescent="0.35">
      <c r="X4388" s="40"/>
      <c r="Y4388" s="40"/>
    </row>
    <row r="4389" spans="24:25" x14ac:dyDescent="0.35">
      <c r="X4389" s="40"/>
      <c r="Y4389" s="40"/>
    </row>
    <row r="4390" spans="24:25" x14ac:dyDescent="0.35">
      <c r="X4390" s="40"/>
      <c r="Y4390" s="40"/>
    </row>
    <row r="4391" spans="24:25" x14ac:dyDescent="0.35">
      <c r="X4391" s="40"/>
      <c r="Y4391" s="40"/>
    </row>
    <row r="4392" spans="24:25" x14ac:dyDescent="0.35">
      <c r="X4392" s="40"/>
      <c r="Y4392" s="40"/>
    </row>
    <row r="4393" spans="24:25" x14ac:dyDescent="0.35">
      <c r="X4393" s="40"/>
      <c r="Y4393" s="40"/>
    </row>
    <row r="4394" spans="24:25" x14ac:dyDescent="0.35">
      <c r="X4394" s="40"/>
      <c r="Y4394" s="40"/>
    </row>
    <row r="4395" spans="24:25" x14ac:dyDescent="0.35">
      <c r="X4395" s="40"/>
      <c r="Y4395" s="40"/>
    </row>
    <row r="4396" spans="24:25" x14ac:dyDescent="0.35">
      <c r="X4396" s="40"/>
      <c r="Y4396" s="40"/>
    </row>
    <row r="4397" spans="24:25" x14ac:dyDescent="0.35">
      <c r="X4397" s="40"/>
      <c r="Y4397" s="40"/>
    </row>
    <row r="4398" spans="24:25" x14ac:dyDescent="0.35">
      <c r="X4398" s="40"/>
      <c r="Y4398" s="40"/>
    </row>
    <row r="4399" spans="24:25" x14ac:dyDescent="0.35">
      <c r="X4399" s="40"/>
      <c r="Y4399" s="40"/>
    </row>
    <row r="4400" spans="24:25" x14ac:dyDescent="0.35">
      <c r="X4400" s="40"/>
      <c r="Y4400" s="40"/>
    </row>
    <row r="4401" spans="24:25" x14ac:dyDescent="0.35">
      <c r="X4401" s="40"/>
      <c r="Y4401" s="40"/>
    </row>
    <row r="4402" spans="24:25" x14ac:dyDescent="0.35">
      <c r="X4402" s="40"/>
      <c r="Y4402" s="40"/>
    </row>
    <row r="4403" spans="24:25" x14ac:dyDescent="0.35">
      <c r="X4403" s="40"/>
      <c r="Y4403" s="40"/>
    </row>
    <row r="4404" spans="24:25" x14ac:dyDescent="0.35">
      <c r="X4404" s="40"/>
      <c r="Y4404" s="40"/>
    </row>
    <row r="4405" spans="24:25" x14ac:dyDescent="0.35">
      <c r="X4405" s="40"/>
      <c r="Y4405" s="40"/>
    </row>
    <row r="4406" spans="24:25" x14ac:dyDescent="0.35">
      <c r="X4406" s="40"/>
      <c r="Y4406" s="40"/>
    </row>
    <row r="4407" spans="24:25" x14ac:dyDescent="0.35">
      <c r="X4407" s="40"/>
      <c r="Y4407" s="40"/>
    </row>
    <row r="4408" spans="24:25" x14ac:dyDescent="0.35">
      <c r="X4408" s="40"/>
      <c r="Y4408" s="40"/>
    </row>
    <row r="4409" spans="24:25" x14ac:dyDescent="0.35">
      <c r="X4409" s="40"/>
      <c r="Y4409" s="40"/>
    </row>
    <row r="4410" spans="24:25" x14ac:dyDescent="0.35">
      <c r="X4410" s="40"/>
      <c r="Y4410" s="40"/>
    </row>
    <row r="4411" spans="24:25" x14ac:dyDescent="0.35">
      <c r="X4411" s="40"/>
      <c r="Y4411" s="40"/>
    </row>
    <row r="4412" spans="24:25" x14ac:dyDescent="0.35">
      <c r="X4412" s="40"/>
      <c r="Y4412" s="40"/>
    </row>
    <row r="4413" spans="24:25" x14ac:dyDescent="0.35">
      <c r="X4413" s="40"/>
      <c r="Y4413" s="40"/>
    </row>
    <row r="4414" spans="24:25" x14ac:dyDescent="0.35">
      <c r="X4414" s="40"/>
      <c r="Y4414" s="40"/>
    </row>
    <row r="4415" spans="24:25" x14ac:dyDescent="0.35">
      <c r="X4415" s="40"/>
      <c r="Y4415" s="40"/>
    </row>
    <row r="4416" spans="24:25" x14ac:dyDescent="0.35">
      <c r="X4416" s="40"/>
      <c r="Y4416" s="40"/>
    </row>
    <row r="4417" spans="24:25" x14ac:dyDescent="0.35">
      <c r="X4417" s="40"/>
      <c r="Y4417" s="40"/>
    </row>
    <row r="4418" spans="24:25" x14ac:dyDescent="0.35">
      <c r="X4418" s="40"/>
      <c r="Y4418" s="40"/>
    </row>
    <row r="4419" spans="24:25" x14ac:dyDescent="0.35">
      <c r="X4419" s="40"/>
      <c r="Y4419" s="40"/>
    </row>
    <row r="4420" spans="24:25" x14ac:dyDescent="0.35">
      <c r="X4420" s="40"/>
      <c r="Y4420" s="40"/>
    </row>
    <row r="4421" spans="24:25" x14ac:dyDescent="0.35">
      <c r="X4421" s="40"/>
      <c r="Y4421" s="40"/>
    </row>
    <row r="4422" spans="24:25" x14ac:dyDescent="0.35">
      <c r="X4422" s="40"/>
      <c r="Y4422" s="40"/>
    </row>
    <row r="4423" spans="24:25" x14ac:dyDescent="0.35">
      <c r="X4423" s="40"/>
      <c r="Y4423" s="40"/>
    </row>
    <row r="4424" spans="24:25" x14ac:dyDescent="0.35">
      <c r="X4424" s="40"/>
      <c r="Y4424" s="40"/>
    </row>
    <row r="4425" spans="24:25" x14ac:dyDescent="0.35">
      <c r="X4425" s="40"/>
      <c r="Y4425" s="40"/>
    </row>
    <row r="4426" spans="24:25" x14ac:dyDescent="0.35">
      <c r="X4426" s="40"/>
      <c r="Y4426" s="40"/>
    </row>
    <row r="4427" spans="24:25" x14ac:dyDescent="0.35">
      <c r="X4427" s="40"/>
      <c r="Y4427" s="40"/>
    </row>
    <row r="4428" spans="24:25" x14ac:dyDescent="0.35">
      <c r="X4428" s="40"/>
      <c r="Y4428" s="40"/>
    </row>
    <row r="4429" spans="24:25" x14ac:dyDescent="0.35">
      <c r="X4429" s="40"/>
      <c r="Y4429" s="40"/>
    </row>
    <row r="4430" spans="24:25" x14ac:dyDescent="0.35">
      <c r="X4430" s="40"/>
      <c r="Y4430" s="40"/>
    </row>
    <row r="4431" spans="24:25" x14ac:dyDescent="0.35">
      <c r="X4431" s="40"/>
      <c r="Y4431" s="40"/>
    </row>
    <row r="4432" spans="24:25" x14ac:dyDescent="0.35">
      <c r="X4432" s="40"/>
      <c r="Y4432" s="40"/>
    </row>
    <row r="4433" spans="24:25" x14ac:dyDescent="0.35">
      <c r="X4433" s="40"/>
      <c r="Y4433" s="40"/>
    </row>
    <row r="4434" spans="24:25" x14ac:dyDescent="0.35">
      <c r="X4434" s="40"/>
      <c r="Y4434" s="40"/>
    </row>
    <row r="4435" spans="24:25" x14ac:dyDescent="0.35">
      <c r="X4435" s="40"/>
      <c r="Y4435" s="40"/>
    </row>
    <row r="4436" spans="24:25" x14ac:dyDescent="0.35">
      <c r="X4436" s="40"/>
      <c r="Y4436" s="40"/>
    </row>
    <row r="4437" spans="24:25" x14ac:dyDescent="0.35">
      <c r="X4437" s="40"/>
      <c r="Y4437" s="40"/>
    </row>
    <row r="4438" spans="24:25" x14ac:dyDescent="0.35">
      <c r="X4438" s="40"/>
      <c r="Y4438" s="40"/>
    </row>
    <row r="4439" spans="24:25" x14ac:dyDescent="0.35">
      <c r="X4439" s="40"/>
      <c r="Y4439" s="40"/>
    </row>
    <row r="4440" spans="24:25" x14ac:dyDescent="0.35">
      <c r="X4440" s="40"/>
      <c r="Y4440" s="40"/>
    </row>
    <row r="4441" spans="24:25" x14ac:dyDescent="0.35">
      <c r="X4441" s="40"/>
      <c r="Y4441" s="40"/>
    </row>
    <row r="4442" spans="24:25" x14ac:dyDescent="0.35">
      <c r="X4442" s="40"/>
      <c r="Y4442" s="40"/>
    </row>
    <row r="4443" spans="24:25" x14ac:dyDescent="0.35">
      <c r="X4443" s="40"/>
      <c r="Y4443" s="40"/>
    </row>
    <row r="4444" spans="24:25" x14ac:dyDescent="0.35">
      <c r="X4444" s="40"/>
      <c r="Y4444" s="40"/>
    </row>
    <row r="4445" spans="24:25" x14ac:dyDescent="0.35">
      <c r="X4445" s="40"/>
      <c r="Y4445" s="40"/>
    </row>
    <row r="4446" spans="24:25" x14ac:dyDescent="0.35">
      <c r="X4446" s="40"/>
      <c r="Y4446" s="40"/>
    </row>
    <row r="4447" spans="24:25" x14ac:dyDescent="0.35">
      <c r="X4447" s="40"/>
      <c r="Y4447" s="40"/>
    </row>
    <row r="4448" spans="24:25" x14ac:dyDescent="0.35">
      <c r="X4448" s="40"/>
      <c r="Y4448" s="40"/>
    </row>
    <row r="4449" spans="24:25" x14ac:dyDescent="0.35">
      <c r="X4449" s="40"/>
      <c r="Y4449" s="40"/>
    </row>
    <row r="4450" spans="24:25" x14ac:dyDescent="0.35">
      <c r="X4450" s="40"/>
      <c r="Y4450" s="40"/>
    </row>
    <row r="4451" spans="24:25" x14ac:dyDescent="0.35">
      <c r="X4451" s="40"/>
      <c r="Y4451" s="40"/>
    </row>
    <row r="4452" spans="24:25" x14ac:dyDescent="0.35">
      <c r="X4452" s="40"/>
      <c r="Y4452" s="40"/>
    </row>
    <row r="4453" spans="24:25" x14ac:dyDescent="0.35">
      <c r="X4453" s="40"/>
      <c r="Y4453" s="40"/>
    </row>
    <row r="4454" spans="24:25" x14ac:dyDescent="0.35">
      <c r="X4454" s="40"/>
      <c r="Y4454" s="40"/>
    </row>
    <row r="4455" spans="24:25" x14ac:dyDescent="0.35">
      <c r="X4455" s="40"/>
      <c r="Y4455" s="40"/>
    </row>
    <row r="4456" spans="24:25" x14ac:dyDescent="0.35">
      <c r="X4456" s="40"/>
      <c r="Y4456" s="40"/>
    </row>
    <row r="4457" spans="24:25" x14ac:dyDescent="0.35">
      <c r="X4457" s="40"/>
      <c r="Y4457" s="40"/>
    </row>
    <row r="4458" spans="24:25" x14ac:dyDescent="0.35">
      <c r="X4458" s="40"/>
      <c r="Y4458" s="40"/>
    </row>
    <row r="4459" spans="24:25" x14ac:dyDescent="0.35">
      <c r="X4459" s="40"/>
      <c r="Y4459" s="40"/>
    </row>
    <row r="4460" spans="24:25" x14ac:dyDescent="0.35">
      <c r="X4460" s="40"/>
      <c r="Y4460" s="40"/>
    </row>
    <row r="4461" spans="24:25" x14ac:dyDescent="0.35">
      <c r="X4461" s="40"/>
      <c r="Y4461" s="40"/>
    </row>
    <row r="4462" spans="24:25" x14ac:dyDescent="0.35">
      <c r="X4462" s="40"/>
      <c r="Y4462" s="40"/>
    </row>
    <row r="4463" spans="24:25" x14ac:dyDescent="0.35">
      <c r="X4463" s="40"/>
      <c r="Y4463" s="40"/>
    </row>
    <row r="4464" spans="24:25" x14ac:dyDescent="0.35">
      <c r="X4464" s="40"/>
      <c r="Y4464" s="40"/>
    </row>
    <row r="4465" spans="24:25" x14ac:dyDescent="0.35">
      <c r="X4465" s="40"/>
      <c r="Y4465" s="40"/>
    </row>
    <row r="4466" spans="24:25" x14ac:dyDescent="0.35">
      <c r="X4466" s="40"/>
      <c r="Y4466" s="40"/>
    </row>
    <row r="4467" spans="24:25" x14ac:dyDescent="0.35">
      <c r="X4467" s="40"/>
      <c r="Y4467" s="40"/>
    </row>
    <row r="4468" spans="24:25" x14ac:dyDescent="0.35">
      <c r="X4468" s="40"/>
      <c r="Y4468" s="40"/>
    </row>
    <row r="4469" spans="24:25" x14ac:dyDescent="0.35">
      <c r="X4469" s="40"/>
      <c r="Y4469" s="40"/>
    </row>
    <row r="4470" spans="24:25" x14ac:dyDescent="0.35">
      <c r="X4470" s="40"/>
      <c r="Y4470" s="40"/>
    </row>
    <row r="4471" spans="24:25" x14ac:dyDescent="0.35">
      <c r="X4471" s="40"/>
      <c r="Y4471" s="40"/>
    </row>
    <row r="4472" spans="24:25" x14ac:dyDescent="0.35">
      <c r="X4472" s="40"/>
      <c r="Y4472" s="40"/>
    </row>
    <row r="4473" spans="24:25" x14ac:dyDescent="0.35">
      <c r="X4473" s="40"/>
      <c r="Y4473" s="40"/>
    </row>
    <row r="4474" spans="24:25" x14ac:dyDescent="0.35">
      <c r="X4474" s="40"/>
      <c r="Y4474" s="40"/>
    </row>
    <row r="4475" spans="24:25" x14ac:dyDescent="0.35">
      <c r="X4475" s="40"/>
      <c r="Y4475" s="40"/>
    </row>
    <row r="4476" spans="24:25" x14ac:dyDescent="0.35">
      <c r="X4476" s="40"/>
      <c r="Y4476" s="40"/>
    </row>
    <row r="4477" spans="24:25" x14ac:dyDescent="0.35">
      <c r="X4477" s="40"/>
      <c r="Y4477" s="40"/>
    </row>
    <row r="4478" spans="24:25" x14ac:dyDescent="0.35">
      <c r="X4478" s="40"/>
      <c r="Y4478" s="40"/>
    </row>
    <row r="4479" spans="24:25" x14ac:dyDescent="0.35">
      <c r="X4479" s="40"/>
      <c r="Y4479" s="40"/>
    </row>
    <row r="4480" spans="24:25" x14ac:dyDescent="0.35">
      <c r="X4480" s="40"/>
      <c r="Y4480" s="40"/>
    </row>
    <row r="4481" spans="24:25" x14ac:dyDescent="0.35">
      <c r="X4481" s="40"/>
      <c r="Y4481" s="40"/>
    </row>
    <row r="4482" spans="24:25" x14ac:dyDescent="0.35">
      <c r="X4482" s="40"/>
      <c r="Y4482" s="40"/>
    </row>
    <row r="4483" spans="24:25" x14ac:dyDescent="0.35">
      <c r="X4483" s="40"/>
      <c r="Y4483" s="40"/>
    </row>
    <row r="4484" spans="24:25" x14ac:dyDescent="0.35">
      <c r="X4484" s="40"/>
      <c r="Y4484" s="40"/>
    </row>
    <row r="4485" spans="24:25" x14ac:dyDescent="0.35">
      <c r="X4485" s="40"/>
      <c r="Y4485" s="40"/>
    </row>
    <row r="4486" spans="24:25" x14ac:dyDescent="0.35">
      <c r="X4486" s="40"/>
      <c r="Y4486" s="40"/>
    </row>
    <row r="4487" spans="24:25" x14ac:dyDescent="0.35">
      <c r="X4487" s="40"/>
      <c r="Y4487" s="40"/>
    </row>
    <row r="4488" spans="24:25" x14ac:dyDescent="0.35">
      <c r="X4488" s="40"/>
      <c r="Y4488" s="40"/>
    </row>
    <row r="4489" spans="24:25" x14ac:dyDescent="0.35">
      <c r="X4489" s="40"/>
      <c r="Y4489" s="40"/>
    </row>
    <row r="4490" spans="24:25" x14ac:dyDescent="0.35">
      <c r="X4490" s="40"/>
      <c r="Y4490" s="40"/>
    </row>
    <row r="4491" spans="24:25" x14ac:dyDescent="0.35">
      <c r="X4491" s="40"/>
      <c r="Y4491" s="40"/>
    </row>
    <row r="4492" spans="24:25" x14ac:dyDescent="0.35">
      <c r="X4492" s="40"/>
      <c r="Y4492" s="40"/>
    </row>
    <row r="4493" spans="24:25" x14ac:dyDescent="0.35">
      <c r="X4493" s="40"/>
      <c r="Y4493" s="40"/>
    </row>
    <row r="4494" spans="24:25" x14ac:dyDescent="0.35">
      <c r="X4494" s="40"/>
      <c r="Y4494" s="40"/>
    </row>
    <row r="4495" spans="24:25" x14ac:dyDescent="0.35">
      <c r="X4495" s="40"/>
      <c r="Y4495" s="40"/>
    </row>
    <row r="4496" spans="24:25" x14ac:dyDescent="0.35">
      <c r="X4496" s="40"/>
      <c r="Y4496" s="40"/>
    </row>
    <row r="4497" spans="24:25" x14ac:dyDescent="0.35">
      <c r="X4497" s="40"/>
      <c r="Y4497" s="40"/>
    </row>
    <row r="4498" spans="24:25" x14ac:dyDescent="0.35">
      <c r="X4498" s="40"/>
      <c r="Y4498" s="40"/>
    </row>
    <row r="4499" spans="24:25" x14ac:dyDescent="0.35">
      <c r="X4499" s="40"/>
      <c r="Y4499" s="40"/>
    </row>
    <row r="4500" spans="24:25" x14ac:dyDescent="0.35">
      <c r="X4500" s="40"/>
      <c r="Y4500" s="40"/>
    </row>
    <row r="4501" spans="24:25" x14ac:dyDescent="0.35">
      <c r="X4501" s="40"/>
      <c r="Y4501" s="40"/>
    </row>
    <row r="4502" spans="24:25" x14ac:dyDescent="0.35">
      <c r="X4502" s="40"/>
      <c r="Y4502" s="40"/>
    </row>
    <row r="4503" spans="24:25" x14ac:dyDescent="0.35">
      <c r="X4503" s="40"/>
      <c r="Y4503" s="40"/>
    </row>
    <row r="4504" spans="24:25" x14ac:dyDescent="0.35">
      <c r="X4504" s="40"/>
      <c r="Y4504" s="40"/>
    </row>
    <row r="4505" spans="24:25" x14ac:dyDescent="0.35">
      <c r="X4505" s="40"/>
      <c r="Y4505" s="40"/>
    </row>
    <row r="4506" spans="24:25" x14ac:dyDescent="0.35">
      <c r="X4506" s="40"/>
      <c r="Y4506" s="40"/>
    </row>
    <row r="4507" spans="24:25" x14ac:dyDescent="0.35">
      <c r="X4507" s="40"/>
      <c r="Y4507" s="40"/>
    </row>
    <row r="4508" spans="24:25" x14ac:dyDescent="0.35">
      <c r="X4508" s="40"/>
      <c r="Y4508" s="40"/>
    </row>
    <row r="4509" spans="24:25" x14ac:dyDescent="0.35">
      <c r="X4509" s="40"/>
      <c r="Y4509" s="40"/>
    </row>
    <row r="4510" spans="24:25" x14ac:dyDescent="0.35">
      <c r="X4510" s="40"/>
      <c r="Y4510" s="40"/>
    </row>
    <row r="4511" spans="24:25" x14ac:dyDescent="0.35">
      <c r="X4511" s="40"/>
      <c r="Y4511" s="40"/>
    </row>
    <row r="4512" spans="24:25" x14ac:dyDescent="0.35">
      <c r="X4512" s="40"/>
      <c r="Y4512" s="40"/>
    </row>
    <row r="4513" spans="24:25" x14ac:dyDescent="0.35">
      <c r="X4513" s="40"/>
      <c r="Y4513" s="40"/>
    </row>
    <row r="4514" spans="24:25" x14ac:dyDescent="0.35">
      <c r="X4514" s="40"/>
      <c r="Y4514" s="40"/>
    </row>
    <row r="4515" spans="24:25" x14ac:dyDescent="0.35">
      <c r="X4515" s="40"/>
      <c r="Y4515" s="40"/>
    </row>
    <row r="4516" spans="24:25" x14ac:dyDescent="0.35">
      <c r="X4516" s="40"/>
      <c r="Y4516" s="40"/>
    </row>
    <row r="4517" spans="24:25" x14ac:dyDescent="0.35">
      <c r="X4517" s="40"/>
      <c r="Y4517" s="40"/>
    </row>
    <row r="4518" spans="24:25" x14ac:dyDescent="0.35">
      <c r="X4518" s="40"/>
      <c r="Y4518" s="40"/>
    </row>
    <row r="4519" spans="24:25" x14ac:dyDescent="0.35">
      <c r="X4519" s="40"/>
      <c r="Y4519" s="40"/>
    </row>
    <row r="4520" spans="24:25" x14ac:dyDescent="0.35">
      <c r="X4520" s="40"/>
      <c r="Y4520" s="40"/>
    </row>
    <row r="4521" spans="24:25" x14ac:dyDescent="0.35">
      <c r="X4521" s="40"/>
      <c r="Y4521" s="40"/>
    </row>
    <row r="4522" spans="24:25" x14ac:dyDescent="0.35">
      <c r="X4522" s="40"/>
      <c r="Y4522" s="40"/>
    </row>
    <row r="4523" spans="24:25" x14ac:dyDescent="0.35">
      <c r="X4523" s="40"/>
      <c r="Y4523" s="40"/>
    </row>
    <row r="4524" spans="24:25" x14ac:dyDescent="0.35">
      <c r="X4524" s="40"/>
      <c r="Y4524" s="40"/>
    </row>
    <row r="4525" spans="24:25" x14ac:dyDescent="0.35">
      <c r="X4525" s="40"/>
      <c r="Y4525" s="40"/>
    </row>
    <row r="4526" spans="24:25" x14ac:dyDescent="0.35">
      <c r="X4526" s="40"/>
      <c r="Y4526" s="40"/>
    </row>
    <row r="4527" spans="24:25" x14ac:dyDescent="0.35">
      <c r="X4527" s="40"/>
      <c r="Y4527" s="40"/>
    </row>
    <row r="4528" spans="24:25" x14ac:dyDescent="0.35">
      <c r="X4528" s="40"/>
      <c r="Y4528" s="40"/>
    </row>
    <row r="4529" spans="24:25" x14ac:dyDescent="0.35">
      <c r="X4529" s="40"/>
      <c r="Y4529" s="40"/>
    </row>
    <row r="4530" spans="24:25" x14ac:dyDescent="0.35">
      <c r="X4530" s="40"/>
      <c r="Y4530" s="40"/>
    </row>
    <row r="4531" spans="24:25" x14ac:dyDescent="0.35">
      <c r="X4531" s="40"/>
      <c r="Y4531" s="40"/>
    </row>
    <row r="4532" spans="24:25" x14ac:dyDescent="0.35">
      <c r="X4532" s="40"/>
      <c r="Y4532" s="40"/>
    </row>
    <row r="4533" spans="24:25" x14ac:dyDescent="0.35">
      <c r="X4533" s="40"/>
      <c r="Y4533" s="40"/>
    </row>
    <row r="4534" spans="24:25" x14ac:dyDescent="0.35">
      <c r="X4534" s="40"/>
      <c r="Y4534" s="40"/>
    </row>
    <row r="4535" spans="24:25" x14ac:dyDescent="0.35">
      <c r="X4535" s="40"/>
      <c r="Y4535" s="40"/>
    </row>
    <row r="4536" spans="24:25" x14ac:dyDescent="0.35">
      <c r="X4536" s="40"/>
      <c r="Y4536" s="40"/>
    </row>
    <row r="4537" spans="24:25" x14ac:dyDescent="0.35">
      <c r="X4537" s="40"/>
      <c r="Y4537" s="40"/>
    </row>
    <row r="4538" spans="24:25" x14ac:dyDescent="0.35">
      <c r="X4538" s="40"/>
      <c r="Y4538" s="40"/>
    </row>
    <row r="4539" spans="24:25" x14ac:dyDescent="0.35">
      <c r="X4539" s="40"/>
      <c r="Y4539" s="40"/>
    </row>
    <row r="4540" spans="24:25" x14ac:dyDescent="0.35">
      <c r="X4540" s="40"/>
      <c r="Y4540" s="40"/>
    </row>
    <row r="4541" spans="24:25" x14ac:dyDescent="0.35">
      <c r="X4541" s="40"/>
      <c r="Y4541" s="40"/>
    </row>
    <row r="4542" spans="24:25" x14ac:dyDescent="0.35">
      <c r="X4542" s="40"/>
      <c r="Y4542" s="40"/>
    </row>
    <row r="4543" spans="24:25" x14ac:dyDescent="0.35">
      <c r="X4543" s="40"/>
      <c r="Y4543" s="40"/>
    </row>
    <row r="4544" spans="24:25" x14ac:dyDescent="0.35">
      <c r="X4544" s="40"/>
      <c r="Y4544" s="40"/>
    </row>
    <row r="4545" spans="24:25" x14ac:dyDescent="0.35">
      <c r="X4545" s="40"/>
      <c r="Y4545" s="40"/>
    </row>
    <row r="4546" spans="24:25" x14ac:dyDescent="0.35">
      <c r="X4546" s="40"/>
      <c r="Y4546" s="40"/>
    </row>
    <row r="4547" spans="24:25" x14ac:dyDescent="0.35">
      <c r="X4547" s="40"/>
      <c r="Y4547" s="40"/>
    </row>
    <row r="4548" spans="24:25" x14ac:dyDescent="0.35">
      <c r="X4548" s="40"/>
      <c r="Y4548" s="40"/>
    </row>
    <row r="4549" spans="24:25" x14ac:dyDescent="0.35">
      <c r="X4549" s="40"/>
      <c r="Y4549" s="40"/>
    </row>
    <row r="4550" spans="24:25" x14ac:dyDescent="0.35">
      <c r="X4550" s="40"/>
      <c r="Y4550" s="40"/>
    </row>
    <row r="4551" spans="24:25" x14ac:dyDescent="0.35">
      <c r="X4551" s="40"/>
      <c r="Y4551" s="40"/>
    </row>
    <row r="4552" spans="24:25" x14ac:dyDescent="0.35">
      <c r="X4552" s="40"/>
      <c r="Y4552" s="40"/>
    </row>
    <row r="4553" spans="24:25" x14ac:dyDescent="0.35">
      <c r="X4553" s="40"/>
      <c r="Y4553" s="40"/>
    </row>
    <row r="4554" spans="24:25" x14ac:dyDescent="0.35">
      <c r="X4554" s="40"/>
      <c r="Y4554" s="40"/>
    </row>
    <row r="4555" spans="24:25" x14ac:dyDescent="0.35">
      <c r="X4555" s="40"/>
      <c r="Y4555" s="40"/>
    </row>
    <row r="4556" spans="24:25" x14ac:dyDescent="0.35">
      <c r="X4556" s="40"/>
      <c r="Y4556" s="40"/>
    </row>
    <row r="4557" spans="24:25" x14ac:dyDescent="0.35">
      <c r="X4557" s="40"/>
      <c r="Y4557" s="40"/>
    </row>
    <row r="4558" spans="24:25" x14ac:dyDescent="0.35">
      <c r="X4558" s="40"/>
      <c r="Y4558" s="40"/>
    </row>
    <row r="4559" spans="24:25" x14ac:dyDescent="0.35">
      <c r="X4559" s="40"/>
      <c r="Y4559" s="40"/>
    </row>
    <row r="4560" spans="24:25" x14ac:dyDescent="0.35">
      <c r="X4560" s="40"/>
      <c r="Y4560" s="40"/>
    </row>
    <row r="4561" spans="24:25" x14ac:dyDescent="0.35">
      <c r="X4561" s="40"/>
      <c r="Y4561" s="40"/>
    </row>
    <row r="4562" spans="24:25" x14ac:dyDescent="0.35">
      <c r="X4562" s="40"/>
      <c r="Y4562" s="40"/>
    </row>
    <row r="4563" spans="24:25" x14ac:dyDescent="0.35">
      <c r="X4563" s="40"/>
      <c r="Y4563" s="40"/>
    </row>
    <row r="4564" spans="24:25" x14ac:dyDescent="0.35">
      <c r="X4564" s="40"/>
      <c r="Y4564" s="40"/>
    </row>
    <row r="4565" spans="24:25" x14ac:dyDescent="0.35">
      <c r="X4565" s="40"/>
      <c r="Y4565" s="40"/>
    </row>
    <row r="4566" spans="24:25" x14ac:dyDescent="0.35">
      <c r="X4566" s="40"/>
      <c r="Y4566" s="40"/>
    </row>
    <row r="4567" spans="24:25" x14ac:dyDescent="0.35">
      <c r="X4567" s="40"/>
      <c r="Y4567" s="40"/>
    </row>
    <row r="4568" spans="24:25" x14ac:dyDescent="0.35">
      <c r="X4568" s="40"/>
      <c r="Y4568" s="40"/>
    </row>
    <row r="4569" spans="24:25" x14ac:dyDescent="0.35">
      <c r="X4569" s="40"/>
      <c r="Y4569" s="40"/>
    </row>
    <row r="4570" spans="24:25" x14ac:dyDescent="0.35">
      <c r="X4570" s="40"/>
      <c r="Y4570" s="40"/>
    </row>
    <row r="4571" spans="24:25" x14ac:dyDescent="0.35">
      <c r="X4571" s="40"/>
      <c r="Y4571" s="40"/>
    </row>
    <row r="4572" spans="24:25" x14ac:dyDescent="0.35">
      <c r="X4572" s="40"/>
      <c r="Y4572" s="40"/>
    </row>
    <row r="4573" spans="24:25" x14ac:dyDescent="0.35">
      <c r="X4573" s="40"/>
      <c r="Y4573" s="40"/>
    </row>
    <row r="4574" spans="24:25" x14ac:dyDescent="0.35">
      <c r="X4574" s="40"/>
      <c r="Y4574" s="40"/>
    </row>
    <row r="4575" spans="24:25" x14ac:dyDescent="0.35">
      <c r="X4575" s="40"/>
      <c r="Y4575" s="40"/>
    </row>
    <row r="4576" spans="24:25" x14ac:dyDescent="0.35">
      <c r="X4576" s="40"/>
      <c r="Y4576" s="40"/>
    </row>
    <row r="4577" spans="24:25" x14ac:dyDescent="0.35">
      <c r="X4577" s="40"/>
      <c r="Y4577" s="40"/>
    </row>
    <row r="4578" spans="24:25" x14ac:dyDescent="0.35">
      <c r="X4578" s="40"/>
      <c r="Y4578" s="40"/>
    </row>
    <row r="4579" spans="24:25" x14ac:dyDescent="0.35">
      <c r="X4579" s="40"/>
      <c r="Y4579" s="40"/>
    </row>
    <row r="4580" spans="24:25" x14ac:dyDescent="0.35">
      <c r="X4580" s="40"/>
      <c r="Y4580" s="40"/>
    </row>
    <row r="4581" spans="24:25" x14ac:dyDescent="0.35">
      <c r="X4581" s="40"/>
      <c r="Y4581" s="40"/>
    </row>
    <row r="4582" spans="24:25" x14ac:dyDescent="0.35">
      <c r="X4582" s="40"/>
      <c r="Y4582" s="40"/>
    </row>
    <row r="4583" spans="24:25" x14ac:dyDescent="0.35">
      <c r="X4583" s="40"/>
      <c r="Y4583" s="40"/>
    </row>
    <row r="4584" spans="24:25" x14ac:dyDescent="0.35">
      <c r="X4584" s="40"/>
      <c r="Y4584" s="40"/>
    </row>
    <row r="4585" spans="24:25" x14ac:dyDescent="0.35">
      <c r="X4585" s="40"/>
      <c r="Y4585" s="40"/>
    </row>
    <row r="4586" spans="24:25" x14ac:dyDescent="0.35">
      <c r="X4586" s="40"/>
      <c r="Y4586" s="40"/>
    </row>
    <row r="4587" spans="24:25" x14ac:dyDescent="0.35">
      <c r="X4587" s="40"/>
      <c r="Y4587" s="40"/>
    </row>
    <row r="4588" spans="24:25" x14ac:dyDescent="0.35">
      <c r="X4588" s="40"/>
      <c r="Y4588" s="40"/>
    </row>
    <row r="4589" spans="24:25" x14ac:dyDescent="0.35">
      <c r="X4589" s="40"/>
      <c r="Y4589" s="40"/>
    </row>
    <row r="4590" spans="24:25" x14ac:dyDescent="0.35">
      <c r="X4590" s="40"/>
      <c r="Y4590" s="40"/>
    </row>
    <row r="4591" spans="24:25" x14ac:dyDescent="0.35">
      <c r="X4591" s="40"/>
      <c r="Y4591" s="40"/>
    </row>
    <row r="4592" spans="24:25" x14ac:dyDescent="0.35">
      <c r="X4592" s="40"/>
      <c r="Y4592" s="40"/>
    </row>
    <row r="4593" spans="24:25" x14ac:dyDescent="0.35">
      <c r="X4593" s="40"/>
      <c r="Y4593" s="40"/>
    </row>
    <row r="4594" spans="24:25" x14ac:dyDescent="0.35">
      <c r="X4594" s="40"/>
      <c r="Y4594" s="40"/>
    </row>
    <row r="4595" spans="24:25" x14ac:dyDescent="0.35">
      <c r="X4595" s="40"/>
      <c r="Y4595" s="40"/>
    </row>
    <row r="4596" spans="24:25" x14ac:dyDescent="0.35">
      <c r="X4596" s="40"/>
      <c r="Y4596" s="40"/>
    </row>
    <row r="4597" spans="24:25" x14ac:dyDescent="0.35">
      <c r="X4597" s="40"/>
      <c r="Y4597" s="40"/>
    </row>
    <row r="4598" spans="24:25" x14ac:dyDescent="0.35">
      <c r="X4598" s="40"/>
      <c r="Y4598" s="40"/>
    </row>
    <row r="4599" spans="24:25" x14ac:dyDescent="0.35">
      <c r="X4599" s="40"/>
      <c r="Y4599" s="40"/>
    </row>
    <row r="4600" spans="24:25" x14ac:dyDescent="0.35">
      <c r="X4600" s="40"/>
      <c r="Y4600" s="40"/>
    </row>
    <row r="4601" spans="24:25" x14ac:dyDescent="0.35">
      <c r="X4601" s="40"/>
      <c r="Y4601" s="40"/>
    </row>
    <row r="4602" spans="24:25" x14ac:dyDescent="0.35">
      <c r="X4602" s="40"/>
      <c r="Y4602" s="40"/>
    </row>
    <row r="4603" spans="24:25" x14ac:dyDescent="0.35">
      <c r="X4603" s="40"/>
      <c r="Y4603" s="40"/>
    </row>
    <row r="4604" spans="24:25" x14ac:dyDescent="0.35">
      <c r="X4604" s="40"/>
      <c r="Y4604" s="40"/>
    </row>
    <row r="4605" spans="24:25" x14ac:dyDescent="0.35">
      <c r="X4605" s="40"/>
      <c r="Y4605" s="40"/>
    </row>
    <row r="4606" spans="24:25" x14ac:dyDescent="0.35">
      <c r="X4606" s="40"/>
      <c r="Y4606" s="40"/>
    </row>
    <row r="4607" spans="24:25" x14ac:dyDescent="0.35">
      <c r="X4607" s="40"/>
      <c r="Y4607" s="40"/>
    </row>
    <row r="4608" spans="24:25" x14ac:dyDescent="0.35">
      <c r="X4608" s="40"/>
      <c r="Y4608" s="40"/>
    </row>
    <row r="4609" spans="24:25" x14ac:dyDescent="0.35">
      <c r="X4609" s="40"/>
      <c r="Y4609" s="40"/>
    </row>
    <row r="4610" spans="24:25" x14ac:dyDescent="0.35">
      <c r="X4610" s="40"/>
      <c r="Y4610" s="40"/>
    </row>
    <row r="4611" spans="24:25" x14ac:dyDescent="0.35">
      <c r="X4611" s="40"/>
      <c r="Y4611" s="40"/>
    </row>
    <row r="4612" spans="24:25" x14ac:dyDescent="0.35">
      <c r="X4612" s="40"/>
      <c r="Y4612" s="40"/>
    </row>
    <row r="4613" spans="24:25" x14ac:dyDescent="0.35">
      <c r="X4613" s="40"/>
      <c r="Y4613" s="40"/>
    </row>
    <row r="4614" spans="24:25" x14ac:dyDescent="0.35">
      <c r="X4614" s="40"/>
      <c r="Y4614" s="40"/>
    </row>
    <row r="4615" spans="24:25" x14ac:dyDescent="0.35">
      <c r="X4615" s="40"/>
      <c r="Y4615" s="40"/>
    </row>
    <row r="4616" spans="24:25" x14ac:dyDescent="0.35">
      <c r="X4616" s="40"/>
      <c r="Y4616" s="40"/>
    </row>
    <row r="4617" spans="24:25" x14ac:dyDescent="0.35">
      <c r="X4617" s="40"/>
      <c r="Y4617" s="40"/>
    </row>
    <row r="4618" spans="24:25" x14ac:dyDescent="0.35">
      <c r="X4618" s="40"/>
      <c r="Y4618" s="40"/>
    </row>
    <row r="4619" spans="24:25" x14ac:dyDescent="0.35">
      <c r="X4619" s="40"/>
      <c r="Y4619" s="40"/>
    </row>
    <row r="4620" spans="24:25" x14ac:dyDescent="0.35">
      <c r="X4620" s="40"/>
      <c r="Y4620" s="40"/>
    </row>
    <row r="4621" spans="24:25" x14ac:dyDescent="0.35">
      <c r="X4621" s="40"/>
      <c r="Y4621" s="40"/>
    </row>
    <row r="4622" spans="24:25" x14ac:dyDescent="0.35">
      <c r="X4622" s="40"/>
      <c r="Y4622" s="40"/>
    </row>
    <row r="4623" spans="24:25" x14ac:dyDescent="0.35">
      <c r="X4623" s="40"/>
      <c r="Y4623" s="40"/>
    </row>
    <row r="4624" spans="24:25" x14ac:dyDescent="0.35">
      <c r="X4624" s="40"/>
      <c r="Y4624" s="40"/>
    </row>
    <row r="4625" spans="24:25" x14ac:dyDescent="0.35">
      <c r="X4625" s="40"/>
      <c r="Y4625" s="40"/>
    </row>
    <row r="4626" spans="24:25" x14ac:dyDescent="0.35">
      <c r="X4626" s="40"/>
      <c r="Y4626" s="40"/>
    </row>
    <row r="4627" spans="24:25" x14ac:dyDescent="0.35">
      <c r="X4627" s="40"/>
      <c r="Y4627" s="40"/>
    </row>
    <row r="4628" spans="24:25" x14ac:dyDescent="0.35">
      <c r="X4628" s="40"/>
      <c r="Y4628" s="40"/>
    </row>
    <row r="4629" spans="24:25" x14ac:dyDescent="0.35">
      <c r="X4629" s="40"/>
      <c r="Y4629" s="40"/>
    </row>
    <row r="4630" spans="24:25" x14ac:dyDescent="0.35">
      <c r="X4630" s="40"/>
      <c r="Y4630" s="40"/>
    </row>
    <row r="4631" spans="24:25" x14ac:dyDescent="0.35">
      <c r="X4631" s="40"/>
      <c r="Y4631" s="40"/>
    </row>
    <row r="4632" spans="24:25" x14ac:dyDescent="0.35">
      <c r="X4632" s="40"/>
      <c r="Y4632" s="40"/>
    </row>
    <row r="4633" spans="24:25" x14ac:dyDescent="0.35">
      <c r="X4633" s="40"/>
      <c r="Y4633" s="40"/>
    </row>
    <row r="4634" spans="24:25" x14ac:dyDescent="0.35">
      <c r="X4634" s="40"/>
      <c r="Y4634" s="40"/>
    </row>
    <row r="4635" spans="24:25" x14ac:dyDescent="0.35">
      <c r="X4635" s="40"/>
      <c r="Y4635" s="40"/>
    </row>
    <row r="4636" spans="24:25" x14ac:dyDescent="0.35">
      <c r="X4636" s="40"/>
      <c r="Y4636" s="40"/>
    </row>
    <row r="4637" spans="24:25" x14ac:dyDescent="0.35">
      <c r="X4637" s="40"/>
      <c r="Y4637" s="40"/>
    </row>
    <row r="4638" spans="24:25" x14ac:dyDescent="0.35">
      <c r="X4638" s="40"/>
      <c r="Y4638" s="40"/>
    </row>
    <row r="4639" spans="24:25" x14ac:dyDescent="0.35">
      <c r="X4639" s="40"/>
      <c r="Y4639" s="40"/>
    </row>
    <row r="4640" spans="24:25" x14ac:dyDescent="0.35">
      <c r="X4640" s="40"/>
      <c r="Y4640" s="40"/>
    </row>
    <row r="4641" spans="24:25" x14ac:dyDescent="0.35">
      <c r="X4641" s="40"/>
      <c r="Y4641" s="40"/>
    </row>
    <row r="4642" spans="24:25" x14ac:dyDescent="0.35">
      <c r="X4642" s="40"/>
      <c r="Y4642" s="40"/>
    </row>
    <row r="4643" spans="24:25" x14ac:dyDescent="0.35">
      <c r="X4643" s="40"/>
      <c r="Y4643" s="40"/>
    </row>
    <row r="4644" spans="24:25" x14ac:dyDescent="0.35">
      <c r="X4644" s="40"/>
      <c r="Y4644" s="40"/>
    </row>
    <row r="4645" spans="24:25" x14ac:dyDescent="0.35">
      <c r="X4645" s="40"/>
      <c r="Y4645" s="40"/>
    </row>
    <row r="4646" spans="24:25" x14ac:dyDescent="0.35">
      <c r="X4646" s="40"/>
      <c r="Y4646" s="40"/>
    </row>
    <row r="4647" spans="24:25" x14ac:dyDescent="0.35">
      <c r="X4647" s="40"/>
      <c r="Y4647" s="40"/>
    </row>
    <row r="4648" spans="24:25" x14ac:dyDescent="0.35">
      <c r="X4648" s="40"/>
      <c r="Y4648" s="40"/>
    </row>
    <row r="4649" spans="24:25" x14ac:dyDescent="0.35">
      <c r="X4649" s="40"/>
      <c r="Y4649" s="40"/>
    </row>
    <row r="4650" spans="24:25" x14ac:dyDescent="0.35">
      <c r="X4650" s="40"/>
      <c r="Y4650" s="40"/>
    </row>
    <row r="4651" spans="24:25" x14ac:dyDescent="0.35">
      <c r="X4651" s="40"/>
      <c r="Y4651" s="40"/>
    </row>
    <row r="4652" spans="24:25" x14ac:dyDescent="0.35">
      <c r="X4652" s="40"/>
      <c r="Y4652" s="40"/>
    </row>
    <row r="4653" spans="24:25" x14ac:dyDescent="0.35">
      <c r="X4653" s="40"/>
      <c r="Y4653" s="40"/>
    </row>
    <row r="4654" spans="24:25" x14ac:dyDescent="0.35">
      <c r="X4654" s="40"/>
      <c r="Y4654" s="40"/>
    </row>
    <row r="4655" spans="24:25" x14ac:dyDescent="0.35">
      <c r="X4655" s="40"/>
      <c r="Y4655" s="40"/>
    </row>
    <row r="4656" spans="24:25" x14ac:dyDescent="0.35">
      <c r="X4656" s="40"/>
      <c r="Y4656" s="40"/>
    </row>
    <row r="4657" spans="24:25" x14ac:dyDescent="0.35">
      <c r="X4657" s="40"/>
      <c r="Y4657" s="40"/>
    </row>
    <row r="4658" spans="24:25" x14ac:dyDescent="0.35">
      <c r="X4658" s="40"/>
      <c r="Y4658" s="40"/>
    </row>
    <row r="4659" spans="24:25" x14ac:dyDescent="0.35">
      <c r="X4659" s="40"/>
      <c r="Y4659" s="40"/>
    </row>
    <row r="4660" spans="24:25" x14ac:dyDescent="0.35">
      <c r="X4660" s="40"/>
      <c r="Y4660" s="40"/>
    </row>
    <row r="4661" spans="24:25" x14ac:dyDescent="0.35">
      <c r="X4661" s="40"/>
      <c r="Y4661" s="40"/>
    </row>
    <row r="4662" spans="24:25" x14ac:dyDescent="0.35">
      <c r="X4662" s="40"/>
      <c r="Y4662" s="40"/>
    </row>
    <row r="4663" spans="24:25" x14ac:dyDescent="0.35">
      <c r="X4663" s="40"/>
      <c r="Y4663" s="40"/>
    </row>
    <row r="4664" spans="24:25" x14ac:dyDescent="0.35">
      <c r="X4664" s="40"/>
      <c r="Y4664" s="40"/>
    </row>
    <row r="4665" spans="24:25" x14ac:dyDescent="0.35">
      <c r="X4665" s="40"/>
      <c r="Y4665" s="40"/>
    </row>
    <row r="4666" spans="24:25" x14ac:dyDescent="0.35">
      <c r="X4666" s="40"/>
      <c r="Y4666" s="40"/>
    </row>
    <row r="4667" spans="24:25" x14ac:dyDescent="0.35">
      <c r="X4667" s="40"/>
      <c r="Y4667" s="40"/>
    </row>
    <row r="4668" spans="24:25" x14ac:dyDescent="0.35">
      <c r="X4668" s="40"/>
      <c r="Y4668" s="40"/>
    </row>
    <row r="4669" spans="24:25" x14ac:dyDescent="0.35">
      <c r="X4669" s="40"/>
      <c r="Y4669" s="40"/>
    </row>
    <row r="4670" spans="24:25" x14ac:dyDescent="0.35">
      <c r="X4670" s="40"/>
      <c r="Y4670" s="40"/>
    </row>
    <row r="4671" spans="24:25" x14ac:dyDescent="0.35">
      <c r="X4671" s="40"/>
      <c r="Y4671" s="40"/>
    </row>
    <row r="4672" spans="24:25" x14ac:dyDescent="0.35">
      <c r="X4672" s="40"/>
      <c r="Y4672" s="40"/>
    </row>
    <row r="4673" spans="24:25" x14ac:dyDescent="0.35">
      <c r="X4673" s="40"/>
      <c r="Y4673" s="40"/>
    </row>
    <row r="4674" spans="24:25" x14ac:dyDescent="0.35">
      <c r="X4674" s="40"/>
      <c r="Y4674" s="40"/>
    </row>
    <row r="4675" spans="24:25" x14ac:dyDescent="0.35">
      <c r="X4675" s="40"/>
      <c r="Y4675" s="40"/>
    </row>
    <row r="4676" spans="24:25" x14ac:dyDescent="0.35">
      <c r="X4676" s="40"/>
      <c r="Y4676" s="40"/>
    </row>
    <row r="4677" spans="24:25" x14ac:dyDescent="0.35">
      <c r="X4677" s="40"/>
      <c r="Y4677" s="40"/>
    </row>
    <row r="4678" spans="24:25" x14ac:dyDescent="0.35">
      <c r="X4678" s="40"/>
      <c r="Y4678" s="40"/>
    </row>
    <row r="4679" spans="24:25" x14ac:dyDescent="0.35">
      <c r="X4679" s="40"/>
      <c r="Y4679" s="40"/>
    </row>
    <row r="4680" spans="24:25" x14ac:dyDescent="0.35">
      <c r="X4680" s="40"/>
      <c r="Y4680" s="40"/>
    </row>
    <row r="4681" spans="24:25" x14ac:dyDescent="0.35">
      <c r="X4681" s="40"/>
      <c r="Y4681" s="40"/>
    </row>
    <row r="4682" spans="24:25" x14ac:dyDescent="0.35">
      <c r="X4682" s="40"/>
      <c r="Y4682" s="40"/>
    </row>
    <row r="4683" spans="24:25" x14ac:dyDescent="0.35">
      <c r="X4683" s="40"/>
      <c r="Y4683" s="40"/>
    </row>
    <row r="4684" spans="24:25" x14ac:dyDescent="0.35">
      <c r="X4684" s="40"/>
      <c r="Y4684" s="40"/>
    </row>
    <row r="4685" spans="24:25" x14ac:dyDescent="0.35">
      <c r="X4685" s="40"/>
      <c r="Y4685" s="40"/>
    </row>
    <row r="4686" spans="24:25" x14ac:dyDescent="0.35">
      <c r="X4686" s="40"/>
      <c r="Y4686" s="40"/>
    </row>
    <row r="4687" spans="24:25" x14ac:dyDescent="0.35">
      <c r="X4687" s="40"/>
      <c r="Y4687" s="40"/>
    </row>
    <row r="4688" spans="24:25" x14ac:dyDescent="0.35">
      <c r="X4688" s="40"/>
      <c r="Y4688" s="40"/>
    </row>
    <row r="4689" spans="24:25" x14ac:dyDescent="0.35">
      <c r="X4689" s="40"/>
      <c r="Y4689" s="40"/>
    </row>
    <row r="4690" spans="24:25" x14ac:dyDescent="0.35">
      <c r="X4690" s="40"/>
      <c r="Y4690" s="40"/>
    </row>
    <row r="4691" spans="24:25" x14ac:dyDescent="0.35">
      <c r="X4691" s="40"/>
      <c r="Y4691" s="40"/>
    </row>
    <row r="4692" spans="24:25" x14ac:dyDescent="0.35">
      <c r="X4692" s="40"/>
      <c r="Y4692" s="40"/>
    </row>
    <row r="4693" spans="24:25" x14ac:dyDescent="0.35">
      <c r="X4693" s="40"/>
      <c r="Y4693" s="40"/>
    </row>
    <row r="4694" spans="24:25" x14ac:dyDescent="0.35">
      <c r="X4694" s="40"/>
      <c r="Y4694" s="40"/>
    </row>
    <row r="4695" spans="24:25" x14ac:dyDescent="0.35">
      <c r="X4695" s="40"/>
      <c r="Y4695" s="40"/>
    </row>
    <row r="4696" spans="24:25" x14ac:dyDescent="0.35">
      <c r="X4696" s="40"/>
      <c r="Y4696" s="40"/>
    </row>
    <row r="4697" spans="24:25" x14ac:dyDescent="0.35">
      <c r="X4697" s="40"/>
      <c r="Y4697" s="40"/>
    </row>
    <row r="4698" spans="24:25" x14ac:dyDescent="0.35">
      <c r="X4698" s="40"/>
      <c r="Y4698" s="40"/>
    </row>
    <row r="4699" spans="24:25" x14ac:dyDescent="0.35">
      <c r="X4699" s="40"/>
      <c r="Y4699" s="40"/>
    </row>
    <row r="4700" spans="24:25" x14ac:dyDescent="0.35">
      <c r="X4700" s="40"/>
      <c r="Y4700" s="40"/>
    </row>
    <row r="4701" spans="24:25" x14ac:dyDescent="0.35">
      <c r="X4701" s="40"/>
      <c r="Y4701" s="40"/>
    </row>
    <row r="4702" spans="24:25" x14ac:dyDescent="0.35">
      <c r="X4702" s="40"/>
      <c r="Y4702" s="40"/>
    </row>
    <row r="4703" spans="24:25" x14ac:dyDescent="0.35">
      <c r="X4703" s="40"/>
      <c r="Y4703" s="40"/>
    </row>
    <row r="4704" spans="24:25" x14ac:dyDescent="0.35">
      <c r="X4704" s="40"/>
      <c r="Y4704" s="40"/>
    </row>
    <row r="4705" spans="24:25" x14ac:dyDescent="0.35">
      <c r="X4705" s="40"/>
      <c r="Y4705" s="40"/>
    </row>
    <row r="4706" spans="24:25" x14ac:dyDescent="0.35">
      <c r="X4706" s="40"/>
      <c r="Y4706" s="40"/>
    </row>
    <row r="4707" spans="24:25" x14ac:dyDescent="0.35">
      <c r="X4707" s="40"/>
      <c r="Y4707" s="40"/>
    </row>
    <row r="4708" spans="24:25" x14ac:dyDescent="0.35">
      <c r="X4708" s="40"/>
      <c r="Y4708" s="40"/>
    </row>
    <row r="4709" spans="24:25" x14ac:dyDescent="0.35">
      <c r="X4709" s="40"/>
      <c r="Y4709" s="40"/>
    </row>
    <row r="4710" spans="24:25" x14ac:dyDescent="0.35">
      <c r="X4710" s="40"/>
      <c r="Y4710" s="40"/>
    </row>
    <row r="4711" spans="24:25" x14ac:dyDescent="0.35">
      <c r="X4711" s="40"/>
      <c r="Y4711" s="40"/>
    </row>
    <row r="4712" spans="24:25" x14ac:dyDescent="0.35">
      <c r="X4712" s="40"/>
      <c r="Y4712" s="40"/>
    </row>
    <row r="4713" spans="24:25" x14ac:dyDescent="0.35">
      <c r="X4713" s="40"/>
      <c r="Y4713" s="40"/>
    </row>
    <row r="4714" spans="24:25" x14ac:dyDescent="0.35">
      <c r="X4714" s="40"/>
      <c r="Y4714" s="40"/>
    </row>
    <row r="4715" spans="24:25" x14ac:dyDescent="0.35">
      <c r="X4715" s="40"/>
      <c r="Y4715" s="40"/>
    </row>
    <row r="4716" spans="24:25" x14ac:dyDescent="0.35">
      <c r="X4716" s="40"/>
      <c r="Y4716" s="40"/>
    </row>
    <row r="4717" spans="24:25" x14ac:dyDescent="0.35">
      <c r="X4717" s="40"/>
      <c r="Y4717" s="40"/>
    </row>
    <row r="4718" spans="24:25" x14ac:dyDescent="0.35">
      <c r="X4718" s="40"/>
      <c r="Y4718" s="40"/>
    </row>
    <row r="4719" spans="24:25" x14ac:dyDescent="0.35">
      <c r="X4719" s="40"/>
      <c r="Y4719" s="40"/>
    </row>
    <row r="4720" spans="24:25" x14ac:dyDescent="0.35">
      <c r="X4720" s="40"/>
      <c r="Y4720" s="40"/>
    </row>
    <row r="4721" spans="24:25" x14ac:dyDescent="0.35">
      <c r="X4721" s="40"/>
      <c r="Y4721" s="40"/>
    </row>
    <row r="4722" spans="24:25" x14ac:dyDescent="0.35">
      <c r="X4722" s="40"/>
      <c r="Y4722" s="40"/>
    </row>
    <row r="4723" spans="24:25" x14ac:dyDescent="0.35">
      <c r="X4723" s="40"/>
      <c r="Y4723" s="40"/>
    </row>
    <row r="4724" spans="24:25" x14ac:dyDescent="0.35">
      <c r="X4724" s="40"/>
      <c r="Y4724" s="40"/>
    </row>
    <row r="4725" spans="24:25" x14ac:dyDescent="0.35">
      <c r="X4725" s="40"/>
      <c r="Y4725" s="40"/>
    </row>
    <row r="4726" spans="24:25" x14ac:dyDescent="0.35">
      <c r="X4726" s="40"/>
      <c r="Y4726" s="40"/>
    </row>
    <row r="4727" spans="24:25" x14ac:dyDescent="0.35">
      <c r="X4727" s="40"/>
      <c r="Y4727" s="40"/>
    </row>
    <row r="4728" spans="24:25" x14ac:dyDescent="0.35">
      <c r="X4728" s="40"/>
      <c r="Y4728" s="40"/>
    </row>
    <row r="4729" spans="24:25" x14ac:dyDescent="0.35">
      <c r="X4729" s="40"/>
      <c r="Y4729" s="40"/>
    </row>
    <row r="4730" spans="24:25" x14ac:dyDescent="0.35">
      <c r="X4730" s="40"/>
      <c r="Y4730" s="40"/>
    </row>
    <row r="4731" spans="24:25" x14ac:dyDescent="0.35">
      <c r="X4731" s="40"/>
      <c r="Y4731" s="40"/>
    </row>
    <row r="4732" spans="24:25" x14ac:dyDescent="0.35">
      <c r="X4732" s="40"/>
      <c r="Y4732" s="40"/>
    </row>
    <row r="4733" spans="24:25" x14ac:dyDescent="0.35">
      <c r="X4733" s="40"/>
      <c r="Y4733" s="40"/>
    </row>
    <row r="4734" spans="24:25" x14ac:dyDescent="0.35">
      <c r="X4734" s="40"/>
      <c r="Y4734" s="40"/>
    </row>
    <row r="4735" spans="24:25" x14ac:dyDescent="0.35">
      <c r="X4735" s="40"/>
      <c r="Y4735" s="40"/>
    </row>
    <row r="4736" spans="24:25" x14ac:dyDescent="0.35">
      <c r="X4736" s="40"/>
      <c r="Y4736" s="40"/>
    </row>
    <row r="4737" spans="24:25" x14ac:dyDescent="0.35">
      <c r="X4737" s="40"/>
      <c r="Y4737" s="40"/>
    </row>
    <row r="4738" spans="24:25" x14ac:dyDescent="0.35">
      <c r="X4738" s="40"/>
      <c r="Y4738" s="40"/>
    </row>
    <row r="4739" spans="24:25" x14ac:dyDescent="0.35">
      <c r="X4739" s="40"/>
      <c r="Y4739" s="40"/>
    </row>
    <row r="4740" spans="24:25" x14ac:dyDescent="0.35">
      <c r="X4740" s="40"/>
      <c r="Y4740" s="40"/>
    </row>
    <row r="4741" spans="24:25" x14ac:dyDescent="0.35">
      <c r="X4741" s="40"/>
      <c r="Y4741" s="40"/>
    </row>
    <row r="4742" spans="24:25" x14ac:dyDescent="0.35">
      <c r="X4742" s="40"/>
      <c r="Y4742" s="40"/>
    </row>
    <row r="4743" spans="24:25" x14ac:dyDescent="0.35">
      <c r="X4743" s="40"/>
      <c r="Y4743" s="40"/>
    </row>
    <row r="4744" spans="24:25" x14ac:dyDescent="0.35">
      <c r="X4744" s="40"/>
      <c r="Y4744" s="40"/>
    </row>
    <row r="4745" spans="24:25" x14ac:dyDescent="0.35">
      <c r="X4745" s="40"/>
      <c r="Y4745" s="40"/>
    </row>
    <row r="4746" spans="24:25" x14ac:dyDescent="0.35">
      <c r="X4746" s="40"/>
      <c r="Y4746" s="40"/>
    </row>
    <row r="4747" spans="24:25" x14ac:dyDescent="0.35">
      <c r="X4747" s="40"/>
      <c r="Y4747" s="40"/>
    </row>
    <row r="4748" spans="24:25" x14ac:dyDescent="0.35">
      <c r="X4748" s="40"/>
      <c r="Y4748" s="40"/>
    </row>
    <row r="4749" spans="24:25" x14ac:dyDescent="0.35">
      <c r="X4749" s="40"/>
      <c r="Y4749" s="40"/>
    </row>
    <row r="4750" spans="24:25" x14ac:dyDescent="0.35">
      <c r="X4750" s="40"/>
      <c r="Y4750" s="40"/>
    </row>
    <row r="4751" spans="24:25" x14ac:dyDescent="0.35">
      <c r="X4751" s="40"/>
      <c r="Y4751" s="40"/>
    </row>
    <row r="4752" spans="24:25" x14ac:dyDescent="0.35">
      <c r="X4752" s="40"/>
      <c r="Y4752" s="40"/>
    </row>
    <row r="4753" spans="24:25" x14ac:dyDescent="0.35">
      <c r="X4753" s="40"/>
      <c r="Y4753" s="40"/>
    </row>
    <row r="4754" spans="24:25" x14ac:dyDescent="0.35">
      <c r="X4754" s="40"/>
      <c r="Y4754" s="40"/>
    </row>
    <row r="4755" spans="24:25" x14ac:dyDescent="0.35">
      <c r="X4755" s="40"/>
      <c r="Y4755" s="40"/>
    </row>
    <row r="4756" spans="24:25" x14ac:dyDescent="0.35">
      <c r="X4756" s="40"/>
      <c r="Y4756" s="40"/>
    </row>
    <row r="4757" spans="24:25" x14ac:dyDescent="0.35">
      <c r="X4757" s="40"/>
      <c r="Y4757" s="40"/>
    </row>
    <row r="4758" spans="24:25" x14ac:dyDescent="0.35">
      <c r="X4758" s="40"/>
      <c r="Y4758" s="40"/>
    </row>
    <row r="4759" spans="24:25" x14ac:dyDescent="0.35">
      <c r="X4759" s="40"/>
      <c r="Y4759" s="40"/>
    </row>
    <row r="4760" spans="24:25" x14ac:dyDescent="0.35">
      <c r="X4760" s="40"/>
      <c r="Y4760" s="40"/>
    </row>
    <row r="4761" spans="24:25" x14ac:dyDescent="0.35">
      <c r="X4761" s="40"/>
      <c r="Y4761" s="40"/>
    </row>
    <row r="4762" spans="24:25" x14ac:dyDescent="0.35">
      <c r="X4762" s="40"/>
      <c r="Y4762" s="40"/>
    </row>
    <row r="4763" spans="24:25" x14ac:dyDescent="0.35">
      <c r="X4763" s="40"/>
      <c r="Y4763" s="40"/>
    </row>
    <row r="4764" spans="24:25" x14ac:dyDescent="0.35">
      <c r="X4764" s="40"/>
      <c r="Y4764" s="40"/>
    </row>
    <row r="4765" spans="24:25" x14ac:dyDescent="0.35">
      <c r="X4765" s="40"/>
      <c r="Y4765" s="40"/>
    </row>
    <row r="4766" spans="24:25" x14ac:dyDescent="0.35">
      <c r="X4766" s="40"/>
      <c r="Y4766" s="40"/>
    </row>
    <row r="4767" spans="24:25" x14ac:dyDescent="0.35">
      <c r="X4767" s="40"/>
      <c r="Y4767" s="40"/>
    </row>
    <row r="4768" spans="24:25" x14ac:dyDescent="0.35">
      <c r="X4768" s="40"/>
      <c r="Y4768" s="40"/>
    </row>
    <row r="4769" spans="24:25" x14ac:dyDescent="0.35">
      <c r="X4769" s="40"/>
      <c r="Y4769" s="40"/>
    </row>
    <row r="4770" spans="24:25" x14ac:dyDescent="0.35">
      <c r="X4770" s="40"/>
      <c r="Y4770" s="40"/>
    </row>
    <row r="4771" spans="24:25" x14ac:dyDescent="0.35">
      <c r="X4771" s="40"/>
      <c r="Y4771" s="40"/>
    </row>
    <row r="4772" spans="24:25" x14ac:dyDescent="0.35">
      <c r="X4772" s="40"/>
      <c r="Y4772" s="40"/>
    </row>
    <row r="4773" spans="24:25" x14ac:dyDescent="0.35">
      <c r="X4773" s="40"/>
      <c r="Y4773" s="40"/>
    </row>
    <row r="4774" spans="24:25" x14ac:dyDescent="0.35">
      <c r="X4774" s="40"/>
      <c r="Y4774" s="40"/>
    </row>
    <row r="4775" spans="24:25" x14ac:dyDescent="0.35">
      <c r="X4775" s="40"/>
      <c r="Y4775" s="40"/>
    </row>
    <row r="4776" spans="24:25" x14ac:dyDescent="0.35">
      <c r="X4776" s="40"/>
      <c r="Y4776" s="40"/>
    </row>
    <row r="4777" spans="24:25" x14ac:dyDescent="0.35">
      <c r="X4777" s="40"/>
      <c r="Y4777" s="40"/>
    </row>
    <row r="4778" spans="24:25" x14ac:dyDescent="0.35">
      <c r="X4778" s="40"/>
      <c r="Y4778" s="40"/>
    </row>
    <row r="4779" spans="24:25" x14ac:dyDescent="0.35">
      <c r="X4779" s="40"/>
      <c r="Y4779" s="40"/>
    </row>
    <row r="4780" spans="24:25" x14ac:dyDescent="0.35">
      <c r="X4780" s="40"/>
      <c r="Y4780" s="40"/>
    </row>
    <row r="4781" spans="24:25" x14ac:dyDescent="0.35">
      <c r="X4781" s="40"/>
      <c r="Y4781" s="40"/>
    </row>
    <row r="4782" spans="24:25" x14ac:dyDescent="0.35">
      <c r="X4782" s="40"/>
      <c r="Y4782" s="40"/>
    </row>
    <row r="4783" spans="24:25" x14ac:dyDescent="0.35">
      <c r="X4783" s="40"/>
      <c r="Y4783" s="40"/>
    </row>
    <row r="4784" spans="24:25" x14ac:dyDescent="0.35">
      <c r="X4784" s="40"/>
      <c r="Y4784" s="40"/>
    </row>
    <row r="4785" spans="24:25" x14ac:dyDescent="0.35">
      <c r="X4785" s="40"/>
      <c r="Y4785" s="40"/>
    </row>
    <row r="4786" spans="24:25" x14ac:dyDescent="0.35">
      <c r="X4786" s="40"/>
      <c r="Y4786" s="40"/>
    </row>
    <row r="4787" spans="24:25" x14ac:dyDescent="0.35">
      <c r="X4787" s="40"/>
      <c r="Y4787" s="40"/>
    </row>
    <row r="4788" spans="24:25" x14ac:dyDescent="0.35">
      <c r="X4788" s="40"/>
      <c r="Y4788" s="40"/>
    </row>
    <row r="4789" spans="24:25" x14ac:dyDescent="0.35">
      <c r="X4789" s="40"/>
      <c r="Y4789" s="40"/>
    </row>
    <row r="4790" spans="24:25" x14ac:dyDescent="0.35">
      <c r="X4790" s="40"/>
      <c r="Y4790" s="40"/>
    </row>
    <row r="4791" spans="24:25" x14ac:dyDescent="0.35">
      <c r="X4791" s="40"/>
      <c r="Y4791" s="40"/>
    </row>
    <row r="4792" spans="24:25" x14ac:dyDescent="0.35">
      <c r="X4792" s="40"/>
      <c r="Y4792" s="40"/>
    </row>
    <row r="4793" spans="24:25" x14ac:dyDescent="0.35">
      <c r="X4793" s="40"/>
      <c r="Y4793" s="40"/>
    </row>
    <row r="4794" spans="24:25" x14ac:dyDescent="0.35">
      <c r="X4794" s="40"/>
      <c r="Y4794" s="40"/>
    </row>
    <row r="4795" spans="24:25" x14ac:dyDescent="0.35">
      <c r="X4795" s="40"/>
      <c r="Y4795" s="40"/>
    </row>
    <row r="4796" spans="24:25" x14ac:dyDescent="0.35">
      <c r="X4796" s="40"/>
      <c r="Y4796" s="40"/>
    </row>
    <row r="4797" spans="24:25" x14ac:dyDescent="0.35">
      <c r="X4797" s="40"/>
      <c r="Y4797" s="40"/>
    </row>
    <row r="4798" spans="24:25" x14ac:dyDescent="0.35">
      <c r="X4798" s="40"/>
      <c r="Y4798" s="40"/>
    </row>
    <row r="4799" spans="24:25" x14ac:dyDescent="0.35">
      <c r="X4799" s="40"/>
      <c r="Y4799" s="40"/>
    </row>
    <row r="4800" spans="24:25" x14ac:dyDescent="0.35">
      <c r="X4800" s="40"/>
      <c r="Y4800" s="40"/>
    </row>
    <row r="4801" spans="24:25" x14ac:dyDescent="0.35">
      <c r="X4801" s="40"/>
      <c r="Y4801" s="40"/>
    </row>
    <row r="4802" spans="24:25" x14ac:dyDescent="0.35">
      <c r="X4802" s="40"/>
      <c r="Y4802" s="40"/>
    </row>
    <row r="4803" spans="24:25" x14ac:dyDescent="0.35">
      <c r="X4803" s="40"/>
      <c r="Y4803" s="40"/>
    </row>
    <row r="4804" spans="24:25" x14ac:dyDescent="0.35">
      <c r="X4804" s="40"/>
      <c r="Y4804" s="40"/>
    </row>
    <row r="4805" spans="24:25" x14ac:dyDescent="0.35">
      <c r="X4805" s="40"/>
      <c r="Y4805" s="40"/>
    </row>
    <row r="4806" spans="24:25" x14ac:dyDescent="0.35">
      <c r="X4806" s="40"/>
      <c r="Y4806" s="40"/>
    </row>
    <row r="4807" spans="24:25" x14ac:dyDescent="0.35">
      <c r="X4807" s="40"/>
      <c r="Y4807" s="40"/>
    </row>
    <row r="4808" spans="24:25" x14ac:dyDescent="0.35">
      <c r="X4808" s="40"/>
      <c r="Y4808" s="40"/>
    </row>
    <row r="4809" spans="24:25" x14ac:dyDescent="0.35">
      <c r="X4809" s="40"/>
      <c r="Y4809" s="40"/>
    </row>
    <row r="4810" spans="24:25" x14ac:dyDescent="0.35">
      <c r="X4810" s="40"/>
      <c r="Y4810" s="40"/>
    </row>
    <row r="4811" spans="24:25" x14ac:dyDescent="0.35">
      <c r="X4811" s="40"/>
      <c r="Y4811" s="40"/>
    </row>
    <row r="4812" spans="24:25" x14ac:dyDescent="0.35">
      <c r="X4812" s="40"/>
      <c r="Y4812" s="40"/>
    </row>
    <row r="4813" spans="24:25" x14ac:dyDescent="0.35">
      <c r="X4813" s="40"/>
      <c r="Y4813" s="40"/>
    </row>
    <row r="4814" spans="24:25" x14ac:dyDescent="0.35">
      <c r="X4814" s="40"/>
      <c r="Y4814" s="40"/>
    </row>
    <row r="4815" spans="24:25" x14ac:dyDescent="0.35">
      <c r="X4815" s="40"/>
      <c r="Y4815" s="40"/>
    </row>
    <row r="4816" spans="24:25" x14ac:dyDescent="0.35">
      <c r="X4816" s="40"/>
      <c r="Y4816" s="40"/>
    </row>
    <row r="4817" spans="24:25" x14ac:dyDescent="0.35">
      <c r="X4817" s="40"/>
      <c r="Y4817" s="40"/>
    </row>
    <row r="4818" spans="24:25" x14ac:dyDescent="0.35">
      <c r="X4818" s="40"/>
      <c r="Y4818" s="40"/>
    </row>
    <row r="4819" spans="24:25" x14ac:dyDescent="0.35">
      <c r="X4819" s="40"/>
      <c r="Y4819" s="40"/>
    </row>
    <row r="4820" spans="24:25" x14ac:dyDescent="0.35">
      <c r="X4820" s="40"/>
      <c r="Y4820" s="40"/>
    </row>
    <row r="4821" spans="24:25" x14ac:dyDescent="0.35">
      <c r="X4821" s="40"/>
      <c r="Y4821" s="40"/>
    </row>
    <row r="4822" spans="24:25" x14ac:dyDescent="0.35">
      <c r="X4822" s="40"/>
      <c r="Y4822" s="40"/>
    </row>
    <row r="4823" spans="24:25" x14ac:dyDescent="0.35">
      <c r="X4823" s="40"/>
      <c r="Y4823" s="40"/>
    </row>
    <row r="4824" spans="24:25" x14ac:dyDescent="0.35">
      <c r="X4824" s="40"/>
      <c r="Y4824" s="40"/>
    </row>
    <row r="4825" spans="24:25" x14ac:dyDescent="0.35">
      <c r="X4825" s="40"/>
      <c r="Y4825" s="40"/>
    </row>
    <row r="4826" spans="24:25" x14ac:dyDescent="0.35">
      <c r="X4826" s="40"/>
      <c r="Y4826" s="40"/>
    </row>
    <row r="4827" spans="24:25" x14ac:dyDescent="0.35">
      <c r="X4827" s="40"/>
      <c r="Y4827" s="40"/>
    </row>
    <row r="4828" spans="24:25" x14ac:dyDescent="0.35">
      <c r="X4828" s="40"/>
      <c r="Y4828" s="40"/>
    </row>
    <row r="4829" spans="24:25" x14ac:dyDescent="0.35">
      <c r="X4829" s="40"/>
      <c r="Y4829" s="40"/>
    </row>
    <row r="4830" spans="24:25" x14ac:dyDescent="0.35">
      <c r="X4830" s="40"/>
      <c r="Y4830" s="40"/>
    </row>
    <row r="4831" spans="24:25" x14ac:dyDescent="0.35">
      <c r="X4831" s="40"/>
      <c r="Y4831" s="40"/>
    </row>
    <row r="4832" spans="24:25" x14ac:dyDescent="0.35">
      <c r="X4832" s="40"/>
      <c r="Y4832" s="40"/>
    </row>
    <row r="4833" spans="24:25" x14ac:dyDescent="0.35">
      <c r="X4833" s="40"/>
      <c r="Y4833" s="40"/>
    </row>
    <row r="4834" spans="24:25" x14ac:dyDescent="0.35">
      <c r="X4834" s="40"/>
      <c r="Y4834" s="40"/>
    </row>
    <row r="4835" spans="24:25" x14ac:dyDescent="0.35">
      <c r="X4835" s="40"/>
      <c r="Y4835" s="40"/>
    </row>
    <row r="4836" spans="24:25" x14ac:dyDescent="0.35">
      <c r="X4836" s="40"/>
      <c r="Y4836" s="40"/>
    </row>
    <row r="4837" spans="24:25" x14ac:dyDescent="0.35">
      <c r="X4837" s="40"/>
      <c r="Y4837" s="40"/>
    </row>
    <row r="4838" spans="24:25" x14ac:dyDescent="0.35">
      <c r="X4838" s="40"/>
      <c r="Y4838" s="40"/>
    </row>
    <row r="4839" spans="24:25" x14ac:dyDescent="0.35">
      <c r="X4839" s="40"/>
      <c r="Y4839" s="40"/>
    </row>
    <row r="4840" spans="24:25" x14ac:dyDescent="0.35">
      <c r="X4840" s="40"/>
      <c r="Y4840" s="40"/>
    </row>
    <row r="4841" spans="24:25" x14ac:dyDescent="0.35">
      <c r="X4841" s="40"/>
      <c r="Y4841" s="40"/>
    </row>
    <row r="4842" spans="24:25" x14ac:dyDescent="0.35">
      <c r="X4842" s="40"/>
      <c r="Y4842" s="40"/>
    </row>
    <row r="4843" spans="24:25" x14ac:dyDescent="0.35">
      <c r="X4843" s="40"/>
      <c r="Y4843" s="40"/>
    </row>
    <row r="4844" spans="24:25" x14ac:dyDescent="0.35">
      <c r="X4844" s="40"/>
      <c r="Y4844" s="40"/>
    </row>
    <row r="4845" spans="24:25" x14ac:dyDescent="0.35">
      <c r="X4845" s="40"/>
      <c r="Y4845" s="40"/>
    </row>
    <row r="4846" spans="24:25" x14ac:dyDescent="0.35">
      <c r="X4846" s="40"/>
      <c r="Y4846" s="40"/>
    </row>
    <row r="4847" spans="24:25" x14ac:dyDescent="0.35">
      <c r="X4847" s="40"/>
      <c r="Y4847" s="40"/>
    </row>
    <row r="4848" spans="24:25" x14ac:dyDescent="0.35">
      <c r="X4848" s="40"/>
      <c r="Y4848" s="40"/>
    </row>
    <row r="4849" spans="24:25" x14ac:dyDescent="0.35">
      <c r="X4849" s="40"/>
      <c r="Y4849" s="40"/>
    </row>
    <row r="4850" spans="24:25" x14ac:dyDescent="0.35">
      <c r="X4850" s="40"/>
      <c r="Y4850" s="40"/>
    </row>
    <row r="4851" spans="24:25" x14ac:dyDescent="0.35">
      <c r="X4851" s="40"/>
      <c r="Y4851" s="40"/>
    </row>
    <row r="4852" spans="24:25" x14ac:dyDescent="0.35">
      <c r="X4852" s="40"/>
      <c r="Y4852" s="40"/>
    </row>
    <row r="4853" spans="24:25" x14ac:dyDescent="0.35">
      <c r="X4853" s="40"/>
      <c r="Y4853" s="40"/>
    </row>
    <row r="4854" spans="24:25" x14ac:dyDescent="0.35">
      <c r="X4854" s="40"/>
      <c r="Y4854" s="40"/>
    </row>
    <row r="4855" spans="24:25" x14ac:dyDescent="0.35">
      <c r="X4855" s="40"/>
      <c r="Y4855" s="40"/>
    </row>
    <row r="4856" spans="24:25" x14ac:dyDescent="0.35">
      <c r="X4856" s="40"/>
      <c r="Y4856" s="40"/>
    </row>
    <row r="4857" spans="24:25" x14ac:dyDescent="0.35">
      <c r="X4857" s="40"/>
      <c r="Y4857" s="40"/>
    </row>
    <row r="4858" spans="24:25" x14ac:dyDescent="0.35">
      <c r="X4858" s="40"/>
      <c r="Y4858" s="40"/>
    </row>
    <row r="4859" spans="24:25" x14ac:dyDescent="0.35">
      <c r="X4859" s="40"/>
      <c r="Y4859" s="40"/>
    </row>
    <row r="4860" spans="24:25" x14ac:dyDescent="0.35">
      <c r="X4860" s="40"/>
      <c r="Y4860" s="40"/>
    </row>
    <row r="4861" spans="24:25" x14ac:dyDescent="0.35">
      <c r="X4861" s="40"/>
      <c r="Y4861" s="40"/>
    </row>
    <row r="4862" spans="24:25" x14ac:dyDescent="0.35">
      <c r="X4862" s="40"/>
      <c r="Y4862" s="40"/>
    </row>
    <row r="4863" spans="24:25" x14ac:dyDescent="0.35">
      <c r="X4863" s="40"/>
      <c r="Y4863" s="40"/>
    </row>
    <row r="4864" spans="24:25" x14ac:dyDescent="0.35">
      <c r="X4864" s="40"/>
      <c r="Y4864" s="40"/>
    </row>
    <row r="4865" spans="24:25" x14ac:dyDescent="0.35">
      <c r="X4865" s="40"/>
      <c r="Y4865" s="40"/>
    </row>
    <row r="4866" spans="24:25" x14ac:dyDescent="0.35">
      <c r="X4866" s="40"/>
      <c r="Y4866" s="40"/>
    </row>
    <row r="4867" spans="24:25" x14ac:dyDescent="0.35">
      <c r="X4867" s="40"/>
      <c r="Y4867" s="40"/>
    </row>
    <row r="4868" spans="24:25" x14ac:dyDescent="0.35">
      <c r="X4868" s="40"/>
      <c r="Y4868" s="40"/>
    </row>
    <row r="4869" spans="24:25" x14ac:dyDescent="0.35">
      <c r="X4869" s="40"/>
      <c r="Y4869" s="40"/>
    </row>
    <row r="4870" spans="24:25" x14ac:dyDescent="0.35">
      <c r="X4870" s="40"/>
      <c r="Y4870" s="40"/>
    </row>
    <row r="4871" spans="24:25" x14ac:dyDescent="0.35">
      <c r="X4871" s="40"/>
      <c r="Y4871" s="40"/>
    </row>
    <row r="4872" spans="24:25" x14ac:dyDescent="0.35">
      <c r="X4872" s="40"/>
      <c r="Y4872" s="40"/>
    </row>
    <row r="4873" spans="24:25" x14ac:dyDescent="0.35">
      <c r="X4873" s="40"/>
      <c r="Y4873" s="40"/>
    </row>
    <row r="4874" spans="24:25" x14ac:dyDescent="0.35">
      <c r="X4874" s="40"/>
      <c r="Y4874" s="40"/>
    </row>
    <row r="4875" spans="24:25" x14ac:dyDescent="0.35">
      <c r="X4875" s="40"/>
      <c r="Y4875" s="40"/>
    </row>
    <row r="4876" spans="24:25" x14ac:dyDescent="0.35">
      <c r="X4876" s="40"/>
      <c r="Y4876" s="40"/>
    </row>
    <row r="4877" spans="24:25" x14ac:dyDescent="0.35">
      <c r="X4877" s="40"/>
      <c r="Y4877" s="40"/>
    </row>
    <row r="4878" spans="24:25" x14ac:dyDescent="0.35">
      <c r="X4878" s="40"/>
      <c r="Y4878" s="40"/>
    </row>
    <row r="4879" spans="24:25" x14ac:dyDescent="0.35">
      <c r="X4879" s="40"/>
      <c r="Y4879" s="40"/>
    </row>
    <row r="4880" spans="24:25" x14ac:dyDescent="0.35">
      <c r="X4880" s="40"/>
      <c r="Y4880" s="40"/>
    </row>
    <row r="4881" spans="24:25" x14ac:dyDescent="0.35">
      <c r="X4881" s="40"/>
      <c r="Y4881" s="40"/>
    </row>
    <row r="4882" spans="24:25" x14ac:dyDescent="0.35">
      <c r="X4882" s="40"/>
      <c r="Y4882" s="40"/>
    </row>
    <row r="4883" spans="24:25" x14ac:dyDescent="0.35">
      <c r="X4883" s="40"/>
      <c r="Y4883" s="40"/>
    </row>
    <row r="4884" spans="24:25" x14ac:dyDescent="0.35">
      <c r="X4884" s="40"/>
      <c r="Y4884" s="40"/>
    </row>
    <row r="4885" spans="24:25" x14ac:dyDescent="0.35">
      <c r="X4885" s="40"/>
      <c r="Y4885" s="40"/>
    </row>
    <row r="4886" spans="24:25" x14ac:dyDescent="0.35">
      <c r="X4886" s="40"/>
      <c r="Y4886" s="40"/>
    </row>
    <row r="4887" spans="24:25" x14ac:dyDescent="0.35">
      <c r="X4887" s="40"/>
      <c r="Y4887" s="40"/>
    </row>
    <row r="4888" spans="24:25" x14ac:dyDescent="0.35">
      <c r="X4888" s="40"/>
      <c r="Y4888" s="40"/>
    </row>
    <row r="4889" spans="24:25" x14ac:dyDescent="0.35">
      <c r="X4889" s="40"/>
      <c r="Y4889" s="40"/>
    </row>
    <row r="4890" spans="24:25" x14ac:dyDescent="0.35">
      <c r="X4890" s="40"/>
      <c r="Y4890" s="40"/>
    </row>
    <row r="4891" spans="24:25" x14ac:dyDescent="0.35">
      <c r="X4891" s="40"/>
      <c r="Y4891" s="40"/>
    </row>
    <row r="4892" spans="24:25" x14ac:dyDescent="0.35">
      <c r="X4892" s="40"/>
      <c r="Y4892" s="40"/>
    </row>
    <row r="4893" spans="24:25" x14ac:dyDescent="0.35">
      <c r="X4893" s="40"/>
      <c r="Y4893" s="40"/>
    </row>
    <row r="4894" spans="24:25" x14ac:dyDescent="0.35">
      <c r="X4894" s="40"/>
      <c r="Y4894" s="40"/>
    </row>
    <row r="4895" spans="24:25" x14ac:dyDescent="0.35">
      <c r="X4895" s="40"/>
      <c r="Y4895" s="40"/>
    </row>
    <row r="4896" spans="24:25" x14ac:dyDescent="0.35">
      <c r="X4896" s="40"/>
      <c r="Y4896" s="40"/>
    </row>
    <row r="4897" spans="24:25" x14ac:dyDescent="0.35">
      <c r="X4897" s="40"/>
      <c r="Y4897" s="40"/>
    </row>
    <row r="4898" spans="24:25" x14ac:dyDescent="0.35">
      <c r="X4898" s="40"/>
      <c r="Y4898" s="40"/>
    </row>
    <row r="4899" spans="24:25" x14ac:dyDescent="0.35">
      <c r="X4899" s="40"/>
      <c r="Y4899" s="40"/>
    </row>
    <row r="4900" spans="24:25" x14ac:dyDescent="0.35">
      <c r="X4900" s="40"/>
      <c r="Y4900" s="40"/>
    </row>
    <row r="4901" spans="24:25" x14ac:dyDescent="0.35">
      <c r="X4901" s="40"/>
      <c r="Y4901" s="40"/>
    </row>
    <row r="4902" spans="24:25" x14ac:dyDescent="0.35">
      <c r="X4902" s="40"/>
      <c r="Y4902" s="40"/>
    </row>
    <row r="4903" spans="24:25" x14ac:dyDescent="0.35">
      <c r="X4903" s="40"/>
      <c r="Y4903" s="40"/>
    </row>
    <row r="4904" spans="24:25" x14ac:dyDescent="0.35">
      <c r="X4904" s="40"/>
      <c r="Y4904" s="40"/>
    </row>
    <row r="4905" spans="24:25" x14ac:dyDescent="0.35">
      <c r="X4905" s="40"/>
      <c r="Y4905" s="40"/>
    </row>
    <row r="4906" spans="24:25" x14ac:dyDescent="0.35">
      <c r="X4906" s="40"/>
      <c r="Y4906" s="40"/>
    </row>
    <row r="4907" spans="24:25" x14ac:dyDescent="0.35">
      <c r="X4907" s="40"/>
      <c r="Y4907" s="40"/>
    </row>
    <row r="4908" spans="24:25" x14ac:dyDescent="0.35">
      <c r="X4908" s="40"/>
      <c r="Y4908" s="40"/>
    </row>
    <row r="4909" spans="24:25" x14ac:dyDescent="0.35">
      <c r="X4909" s="40"/>
      <c r="Y4909" s="40"/>
    </row>
    <row r="4910" spans="24:25" x14ac:dyDescent="0.35">
      <c r="X4910" s="40"/>
      <c r="Y4910" s="40"/>
    </row>
    <row r="4911" spans="24:25" x14ac:dyDescent="0.35">
      <c r="X4911" s="40"/>
      <c r="Y4911" s="40"/>
    </row>
    <row r="4912" spans="24:25" x14ac:dyDescent="0.35">
      <c r="X4912" s="40"/>
      <c r="Y4912" s="40"/>
    </row>
    <row r="4913" spans="24:25" x14ac:dyDescent="0.35">
      <c r="X4913" s="40"/>
      <c r="Y4913" s="40"/>
    </row>
    <row r="4914" spans="24:25" x14ac:dyDescent="0.35">
      <c r="X4914" s="40"/>
      <c r="Y4914" s="40"/>
    </row>
    <row r="4915" spans="24:25" x14ac:dyDescent="0.35">
      <c r="X4915" s="40"/>
      <c r="Y4915" s="40"/>
    </row>
    <row r="4916" spans="24:25" x14ac:dyDescent="0.35">
      <c r="X4916" s="40"/>
      <c r="Y4916" s="40"/>
    </row>
    <row r="4917" spans="24:25" x14ac:dyDescent="0.35">
      <c r="X4917" s="40"/>
      <c r="Y4917" s="40"/>
    </row>
    <row r="4918" spans="24:25" x14ac:dyDescent="0.35">
      <c r="X4918" s="40"/>
      <c r="Y4918" s="40"/>
    </row>
    <row r="4919" spans="24:25" x14ac:dyDescent="0.35">
      <c r="X4919" s="40"/>
      <c r="Y4919" s="40"/>
    </row>
    <row r="4920" spans="24:25" x14ac:dyDescent="0.35">
      <c r="X4920" s="40"/>
      <c r="Y4920" s="40"/>
    </row>
    <row r="4921" spans="24:25" x14ac:dyDescent="0.35">
      <c r="X4921" s="40"/>
      <c r="Y4921" s="40"/>
    </row>
    <row r="4922" spans="24:25" x14ac:dyDescent="0.35">
      <c r="X4922" s="40"/>
      <c r="Y4922" s="40"/>
    </row>
    <row r="4923" spans="24:25" x14ac:dyDescent="0.35">
      <c r="X4923" s="40"/>
      <c r="Y4923" s="40"/>
    </row>
    <row r="4924" spans="24:25" x14ac:dyDescent="0.35">
      <c r="X4924" s="40"/>
      <c r="Y4924" s="40"/>
    </row>
    <row r="4925" spans="24:25" x14ac:dyDescent="0.35">
      <c r="X4925" s="40"/>
      <c r="Y4925" s="40"/>
    </row>
    <row r="4926" spans="24:25" x14ac:dyDescent="0.35">
      <c r="X4926" s="40"/>
      <c r="Y4926" s="40"/>
    </row>
    <row r="4927" spans="24:25" x14ac:dyDescent="0.35">
      <c r="X4927" s="40"/>
      <c r="Y4927" s="40"/>
    </row>
    <row r="4928" spans="24:25" x14ac:dyDescent="0.35">
      <c r="X4928" s="40"/>
      <c r="Y4928" s="40"/>
    </row>
    <row r="4929" spans="24:25" x14ac:dyDescent="0.35">
      <c r="X4929" s="40"/>
      <c r="Y4929" s="40"/>
    </row>
    <row r="4930" spans="24:25" x14ac:dyDescent="0.35">
      <c r="X4930" s="40"/>
      <c r="Y4930" s="40"/>
    </row>
    <row r="4931" spans="24:25" x14ac:dyDescent="0.35">
      <c r="X4931" s="40"/>
      <c r="Y4931" s="40"/>
    </row>
    <row r="4932" spans="24:25" x14ac:dyDescent="0.35">
      <c r="X4932" s="40"/>
      <c r="Y4932" s="40"/>
    </row>
    <row r="4933" spans="24:25" x14ac:dyDescent="0.35">
      <c r="X4933" s="40"/>
      <c r="Y4933" s="40"/>
    </row>
    <row r="4934" spans="24:25" x14ac:dyDescent="0.35">
      <c r="X4934" s="40"/>
      <c r="Y4934" s="40"/>
    </row>
    <row r="4935" spans="24:25" x14ac:dyDescent="0.35">
      <c r="X4935" s="40"/>
      <c r="Y4935" s="40"/>
    </row>
    <row r="4936" spans="24:25" x14ac:dyDescent="0.35">
      <c r="X4936" s="40"/>
      <c r="Y4936" s="40"/>
    </row>
    <row r="4937" spans="24:25" x14ac:dyDescent="0.35">
      <c r="X4937" s="40"/>
      <c r="Y4937" s="40"/>
    </row>
    <row r="4938" spans="24:25" x14ac:dyDescent="0.35">
      <c r="X4938" s="40"/>
      <c r="Y4938" s="40"/>
    </row>
    <row r="4939" spans="24:25" x14ac:dyDescent="0.35">
      <c r="X4939" s="40"/>
      <c r="Y4939" s="40"/>
    </row>
    <row r="4940" spans="24:25" x14ac:dyDescent="0.35">
      <c r="X4940" s="40"/>
      <c r="Y4940" s="40"/>
    </row>
    <row r="4941" spans="24:25" x14ac:dyDescent="0.35">
      <c r="X4941" s="40"/>
      <c r="Y4941" s="40"/>
    </row>
    <row r="4942" spans="24:25" x14ac:dyDescent="0.35">
      <c r="X4942" s="40"/>
      <c r="Y4942" s="40"/>
    </row>
    <row r="4943" spans="24:25" x14ac:dyDescent="0.35">
      <c r="X4943" s="40"/>
      <c r="Y4943" s="40"/>
    </row>
    <row r="4944" spans="24:25" x14ac:dyDescent="0.35">
      <c r="X4944" s="40"/>
      <c r="Y4944" s="40"/>
    </row>
    <row r="4945" spans="24:25" x14ac:dyDescent="0.35">
      <c r="X4945" s="40"/>
      <c r="Y4945" s="40"/>
    </row>
    <row r="4946" spans="24:25" x14ac:dyDescent="0.35">
      <c r="X4946" s="40"/>
      <c r="Y4946" s="40"/>
    </row>
    <row r="4947" spans="24:25" x14ac:dyDescent="0.35">
      <c r="X4947" s="40"/>
      <c r="Y4947" s="40"/>
    </row>
    <row r="4948" spans="24:25" x14ac:dyDescent="0.35">
      <c r="X4948" s="40"/>
      <c r="Y4948" s="40"/>
    </row>
    <row r="4949" spans="24:25" x14ac:dyDescent="0.35">
      <c r="X4949" s="40"/>
      <c r="Y4949" s="40"/>
    </row>
    <row r="4950" spans="24:25" x14ac:dyDescent="0.35">
      <c r="X4950" s="40"/>
      <c r="Y4950" s="40"/>
    </row>
    <row r="4951" spans="24:25" x14ac:dyDescent="0.35">
      <c r="X4951" s="40"/>
      <c r="Y4951" s="40"/>
    </row>
    <row r="4952" spans="24:25" x14ac:dyDescent="0.35">
      <c r="X4952" s="40"/>
      <c r="Y4952" s="40"/>
    </row>
    <row r="4953" spans="24:25" x14ac:dyDescent="0.35">
      <c r="X4953" s="40"/>
      <c r="Y4953" s="40"/>
    </row>
    <row r="4954" spans="24:25" x14ac:dyDescent="0.35">
      <c r="X4954" s="40"/>
      <c r="Y4954" s="40"/>
    </row>
    <row r="4955" spans="24:25" x14ac:dyDescent="0.35">
      <c r="X4955" s="40"/>
      <c r="Y4955" s="40"/>
    </row>
    <row r="4956" spans="24:25" x14ac:dyDescent="0.35">
      <c r="X4956" s="40"/>
      <c r="Y4956" s="40"/>
    </row>
    <row r="4957" spans="24:25" x14ac:dyDescent="0.35">
      <c r="X4957" s="40"/>
      <c r="Y4957" s="40"/>
    </row>
    <row r="4958" spans="24:25" x14ac:dyDescent="0.35">
      <c r="X4958" s="40"/>
      <c r="Y4958" s="40"/>
    </row>
    <row r="4959" spans="24:25" x14ac:dyDescent="0.35">
      <c r="X4959" s="40"/>
      <c r="Y4959" s="40"/>
    </row>
    <row r="4960" spans="24:25" x14ac:dyDescent="0.35">
      <c r="X4960" s="40"/>
      <c r="Y4960" s="40"/>
    </row>
    <row r="4961" spans="24:25" x14ac:dyDescent="0.35">
      <c r="X4961" s="40"/>
      <c r="Y4961" s="40"/>
    </row>
    <row r="4962" spans="24:25" x14ac:dyDescent="0.35">
      <c r="X4962" s="40"/>
      <c r="Y4962" s="40"/>
    </row>
    <row r="4963" spans="24:25" x14ac:dyDescent="0.35">
      <c r="X4963" s="40"/>
      <c r="Y4963" s="40"/>
    </row>
    <row r="4964" spans="24:25" x14ac:dyDescent="0.35">
      <c r="X4964" s="40"/>
      <c r="Y4964" s="40"/>
    </row>
    <row r="4965" spans="24:25" x14ac:dyDescent="0.35">
      <c r="X4965" s="40"/>
      <c r="Y4965" s="40"/>
    </row>
    <row r="4966" spans="24:25" x14ac:dyDescent="0.35">
      <c r="X4966" s="40"/>
      <c r="Y4966" s="40"/>
    </row>
    <row r="4967" spans="24:25" x14ac:dyDescent="0.35">
      <c r="X4967" s="40"/>
      <c r="Y4967" s="40"/>
    </row>
    <row r="4968" spans="24:25" x14ac:dyDescent="0.35">
      <c r="X4968" s="40"/>
      <c r="Y4968" s="40"/>
    </row>
    <row r="4969" spans="24:25" x14ac:dyDescent="0.35">
      <c r="X4969" s="40"/>
      <c r="Y4969" s="40"/>
    </row>
    <row r="4970" spans="24:25" x14ac:dyDescent="0.35">
      <c r="X4970" s="40"/>
      <c r="Y4970" s="40"/>
    </row>
    <row r="4971" spans="24:25" x14ac:dyDescent="0.35">
      <c r="X4971" s="40"/>
      <c r="Y4971" s="40"/>
    </row>
    <row r="4972" spans="24:25" x14ac:dyDescent="0.35">
      <c r="X4972" s="40"/>
      <c r="Y4972" s="40"/>
    </row>
    <row r="4973" spans="24:25" x14ac:dyDescent="0.35">
      <c r="X4973" s="40"/>
      <c r="Y4973" s="40"/>
    </row>
    <row r="4974" spans="24:25" x14ac:dyDescent="0.35">
      <c r="X4974" s="40"/>
      <c r="Y4974" s="40"/>
    </row>
    <row r="4975" spans="24:25" x14ac:dyDescent="0.35">
      <c r="X4975" s="40"/>
      <c r="Y4975" s="40"/>
    </row>
    <row r="4976" spans="24:25" x14ac:dyDescent="0.35">
      <c r="X4976" s="40"/>
      <c r="Y4976" s="40"/>
    </row>
    <row r="4977" spans="24:25" x14ac:dyDescent="0.35">
      <c r="X4977" s="40"/>
      <c r="Y4977" s="40"/>
    </row>
    <row r="4978" spans="24:25" x14ac:dyDescent="0.35">
      <c r="X4978" s="40"/>
      <c r="Y4978" s="40"/>
    </row>
    <row r="4979" spans="24:25" x14ac:dyDescent="0.35">
      <c r="X4979" s="40"/>
      <c r="Y4979" s="40"/>
    </row>
    <row r="4980" spans="24:25" x14ac:dyDescent="0.35">
      <c r="X4980" s="40"/>
      <c r="Y4980" s="40"/>
    </row>
    <row r="4981" spans="24:25" x14ac:dyDescent="0.35">
      <c r="X4981" s="40"/>
      <c r="Y4981" s="40"/>
    </row>
    <row r="4982" spans="24:25" x14ac:dyDescent="0.35">
      <c r="X4982" s="40"/>
      <c r="Y4982" s="40"/>
    </row>
    <row r="4983" spans="24:25" x14ac:dyDescent="0.35">
      <c r="X4983" s="40"/>
      <c r="Y4983" s="40"/>
    </row>
    <row r="4984" spans="24:25" x14ac:dyDescent="0.35">
      <c r="X4984" s="40"/>
      <c r="Y4984" s="40"/>
    </row>
    <row r="4985" spans="24:25" x14ac:dyDescent="0.35">
      <c r="X4985" s="40"/>
      <c r="Y4985" s="40"/>
    </row>
    <row r="4986" spans="24:25" x14ac:dyDescent="0.35">
      <c r="X4986" s="40"/>
      <c r="Y4986" s="40"/>
    </row>
    <row r="4987" spans="24:25" x14ac:dyDescent="0.35">
      <c r="X4987" s="40"/>
      <c r="Y4987" s="40"/>
    </row>
    <row r="4988" spans="24:25" x14ac:dyDescent="0.35">
      <c r="X4988" s="40"/>
      <c r="Y4988" s="40"/>
    </row>
    <row r="4989" spans="24:25" x14ac:dyDescent="0.35">
      <c r="X4989" s="40"/>
      <c r="Y4989" s="40"/>
    </row>
    <row r="4990" spans="24:25" x14ac:dyDescent="0.35">
      <c r="X4990" s="40"/>
      <c r="Y4990" s="40"/>
    </row>
    <row r="4991" spans="24:25" x14ac:dyDescent="0.35">
      <c r="X4991" s="40"/>
      <c r="Y4991" s="40"/>
    </row>
    <row r="4992" spans="24:25" x14ac:dyDescent="0.35">
      <c r="X4992" s="40"/>
      <c r="Y4992" s="40"/>
    </row>
    <row r="4993" spans="24:25" x14ac:dyDescent="0.35">
      <c r="X4993" s="40"/>
      <c r="Y4993" s="40"/>
    </row>
    <row r="4994" spans="24:25" x14ac:dyDescent="0.35">
      <c r="X4994" s="40"/>
      <c r="Y4994" s="40"/>
    </row>
    <row r="4995" spans="24:25" x14ac:dyDescent="0.35">
      <c r="X4995" s="40"/>
      <c r="Y4995" s="40"/>
    </row>
    <row r="4996" spans="24:25" x14ac:dyDescent="0.35">
      <c r="X4996" s="40"/>
      <c r="Y4996" s="40"/>
    </row>
    <row r="4997" spans="24:25" x14ac:dyDescent="0.35">
      <c r="X4997" s="40"/>
      <c r="Y4997" s="40"/>
    </row>
    <row r="4998" spans="24:25" x14ac:dyDescent="0.35">
      <c r="X4998" s="40"/>
      <c r="Y4998" s="40"/>
    </row>
    <row r="4999" spans="24:25" x14ac:dyDescent="0.35">
      <c r="X4999" s="40"/>
      <c r="Y4999" s="40"/>
    </row>
    <row r="5000" spans="24:25" x14ac:dyDescent="0.35">
      <c r="X5000" s="40"/>
      <c r="Y5000" s="40"/>
    </row>
    <row r="5001" spans="24:25" x14ac:dyDescent="0.35">
      <c r="X5001" s="40"/>
      <c r="Y5001" s="40"/>
    </row>
    <row r="5002" spans="24:25" x14ac:dyDescent="0.35">
      <c r="X5002" s="40"/>
      <c r="Y5002" s="40"/>
    </row>
    <row r="5003" spans="24:25" x14ac:dyDescent="0.35">
      <c r="X5003" s="40"/>
      <c r="Y5003" s="40"/>
    </row>
    <row r="5004" spans="24:25" x14ac:dyDescent="0.35">
      <c r="X5004" s="40"/>
      <c r="Y5004" s="40"/>
    </row>
    <row r="5005" spans="24:25" x14ac:dyDescent="0.35">
      <c r="X5005" s="40"/>
      <c r="Y5005" s="40"/>
    </row>
    <row r="5006" spans="24:25" x14ac:dyDescent="0.35">
      <c r="X5006" s="40"/>
      <c r="Y5006" s="40"/>
    </row>
    <row r="5007" spans="24:25" x14ac:dyDescent="0.35">
      <c r="X5007" s="40"/>
      <c r="Y5007" s="40"/>
    </row>
    <row r="5008" spans="24:25" x14ac:dyDescent="0.35">
      <c r="X5008" s="40"/>
      <c r="Y5008" s="40"/>
    </row>
    <row r="5009" spans="24:25" x14ac:dyDescent="0.35">
      <c r="X5009" s="40"/>
      <c r="Y5009" s="40"/>
    </row>
    <row r="5010" spans="24:25" x14ac:dyDescent="0.35">
      <c r="X5010" s="40"/>
      <c r="Y5010" s="40"/>
    </row>
    <row r="5011" spans="24:25" x14ac:dyDescent="0.35">
      <c r="X5011" s="40"/>
      <c r="Y5011" s="40"/>
    </row>
    <row r="5012" spans="24:25" x14ac:dyDescent="0.35">
      <c r="X5012" s="40"/>
      <c r="Y5012" s="40"/>
    </row>
    <row r="5013" spans="24:25" x14ac:dyDescent="0.35">
      <c r="X5013" s="40"/>
      <c r="Y5013" s="40"/>
    </row>
    <row r="5014" spans="24:25" x14ac:dyDescent="0.35">
      <c r="X5014" s="40"/>
      <c r="Y5014" s="40"/>
    </row>
    <row r="5015" spans="24:25" x14ac:dyDescent="0.35">
      <c r="X5015" s="40"/>
      <c r="Y5015" s="40"/>
    </row>
    <row r="5016" spans="24:25" x14ac:dyDescent="0.35">
      <c r="X5016" s="40"/>
      <c r="Y5016" s="40"/>
    </row>
    <row r="5017" spans="24:25" x14ac:dyDescent="0.35">
      <c r="X5017" s="40"/>
      <c r="Y5017" s="40"/>
    </row>
    <row r="5018" spans="24:25" x14ac:dyDescent="0.35">
      <c r="X5018" s="40"/>
      <c r="Y5018" s="40"/>
    </row>
    <row r="5019" spans="24:25" x14ac:dyDescent="0.35">
      <c r="X5019" s="40"/>
      <c r="Y5019" s="40"/>
    </row>
    <row r="5020" spans="24:25" x14ac:dyDescent="0.35">
      <c r="X5020" s="40"/>
      <c r="Y5020" s="40"/>
    </row>
    <row r="5021" spans="24:25" x14ac:dyDescent="0.35">
      <c r="X5021" s="40"/>
      <c r="Y5021" s="40"/>
    </row>
    <row r="5022" spans="24:25" x14ac:dyDescent="0.35">
      <c r="X5022" s="40"/>
      <c r="Y5022" s="40"/>
    </row>
    <row r="5023" spans="24:25" x14ac:dyDescent="0.35">
      <c r="X5023" s="40"/>
      <c r="Y5023" s="40"/>
    </row>
    <row r="5024" spans="24:25" x14ac:dyDescent="0.35">
      <c r="X5024" s="40"/>
      <c r="Y5024" s="40"/>
    </row>
    <row r="5025" spans="24:25" x14ac:dyDescent="0.35">
      <c r="X5025" s="40"/>
      <c r="Y5025" s="40"/>
    </row>
    <row r="5026" spans="24:25" x14ac:dyDescent="0.35">
      <c r="X5026" s="40"/>
      <c r="Y5026" s="40"/>
    </row>
    <row r="5027" spans="24:25" x14ac:dyDescent="0.35">
      <c r="X5027" s="40"/>
      <c r="Y5027" s="40"/>
    </row>
    <row r="5028" spans="24:25" x14ac:dyDescent="0.35">
      <c r="X5028" s="40"/>
      <c r="Y5028" s="40"/>
    </row>
    <row r="5029" spans="24:25" x14ac:dyDescent="0.35">
      <c r="X5029" s="40"/>
      <c r="Y5029" s="40"/>
    </row>
    <row r="5030" spans="24:25" x14ac:dyDescent="0.35">
      <c r="X5030" s="40"/>
      <c r="Y5030" s="40"/>
    </row>
    <row r="5031" spans="24:25" x14ac:dyDescent="0.35">
      <c r="X5031" s="40"/>
      <c r="Y5031" s="40"/>
    </row>
    <row r="5032" spans="24:25" x14ac:dyDescent="0.35">
      <c r="X5032" s="40"/>
      <c r="Y5032" s="40"/>
    </row>
    <row r="5033" spans="24:25" x14ac:dyDescent="0.35">
      <c r="X5033" s="40"/>
      <c r="Y5033" s="40"/>
    </row>
    <row r="5034" spans="24:25" x14ac:dyDescent="0.35">
      <c r="X5034" s="40"/>
      <c r="Y5034" s="40"/>
    </row>
    <row r="5035" spans="24:25" x14ac:dyDescent="0.35">
      <c r="X5035" s="40"/>
      <c r="Y5035" s="40"/>
    </row>
    <row r="5036" spans="24:25" x14ac:dyDescent="0.35">
      <c r="X5036" s="40"/>
      <c r="Y5036" s="40"/>
    </row>
    <row r="5037" spans="24:25" x14ac:dyDescent="0.35">
      <c r="X5037" s="40"/>
      <c r="Y5037" s="40"/>
    </row>
    <row r="5038" spans="24:25" x14ac:dyDescent="0.35">
      <c r="X5038" s="40"/>
      <c r="Y5038" s="40"/>
    </row>
    <row r="5039" spans="24:25" x14ac:dyDescent="0.35">
      <c r="X5039" s="40"/>
      <c r="Y5039" s="40"/>
    </row>
    <row r="5040" spans="24:25" x14ac:dyDescent="0.35">
      <c r="X5040" s="40"/>
      <c r="Y5040" s="40"/>
    </row>
    <row r="5041" spans="24:25" x14ac:dyDescent="0.35">
      <c r="X5041" s="40"/>
      <c r="Y5041" s="40"/>
    </row>
    <row r="5042" spans="24:25" x14ac:dyDescent="0.35">
      <c r="X5042" s="40"/>
      <c r="Y5042" s="40"/>
    </row>
    <row r="5043" spans="24:25" x14ac:dyDescent="0.35">
      <c r="X5043" s="40"/>
      <c r="Y5043" s="40"/>
    </row>
    <row r="5044" spans="24:25" x14ac:dyDescent="0.35">
      <c r="X5044" s="40"/>
      <c r="Y5044" s="40"/>
    </row>
    <row r="5045" spans="24:25" x14ac:dyDescent="0.35">
      <c r="X5045" s="40"/>
      <c r="Y5045" s="40"/>
    </row>
    <row r="5046" spans="24:25" x14ac:dyDescent="0.35">
      <c r="X5046" s="40"/>
      <c r="Y5046" s="40"/>
    </row>
    <row r="5047" spans="24:25" x14ac:dyDescent="0.35">
      <c r="X5047" s="40"/>
      <c r="Y5047" s="40"/>
    </row>
    <row r="5048" spans="24:25" x14ac:dyDescent="0.35">
      <c r="X5048" s="40"/>
      <c r="Y5048" s="40"/>
    </row>
    <row r="5049" spans="24:25" x14ac:dyDescent="0.35">
      <c r="X5049" s="40"/>
      <c r="Y5049" s="40"/>
    </row>
    <row r="5050" spans="24:25" x14ac:dyDescent="0.35">
      <c r="X5050" s="40"/>
      <c r="Y5050" s="40"/>
    </row>
    <row r="5051" spans="24:25" x14ac:dyDescent="0.35">
      <c r="X5051" s="40"/>
      <c r="Y5051" s="40"/>
    </row>
    <row r="5052" spans="24:25" x14ac:dyDescent="0.35">
      <c r="X5052" s="40"/>
      <c r="Y5052" s="40"/>
    </row>
    <row r="5053" spans="24:25" x14ac:dyDescent="0.35">
      <c r="X5053" s="40"/>
      <c r="Y5053" s="40"/>
    </row>
    <row r="5054" spans="24:25" x14ac:dyDescent="0.35">
      <c r="X5054" s="40"/>
      <c r="Y5054" s="40"/>
    </row>
    <row r="5055" spans="24:25" x14ac:dyDescent="0.35">
      <c r="X5055" s="40"/>
      <c r="Y5055" s="40"/>
    </row>
    <row r="5056" spans="24:25" x14ac:dyDescent="0.35">
      <c r="X5056" s="40"/>
      <c r="Y5056" s="40"/>
    </row>
    <row r="5057" spans="24:25" x14ac:dyDescent="0.35">
      <c r="X5057" s="40"/>
      <c r="Y5057" s="40"/>
    </row>
    <row r="5058" spans="24:25" x14ac:dyDescent="0.35">
      <c r="X5058" s="40"/>
      <c r="Y5058" s="40"/>
    </row>
    <row r="5059" spans="24:25" x14ac:dyDescent="0.35">
      <c r="X5059" s="40"/>
      <c r="Y5059" s="40"/>
    </row>
    <row r="5060" spans="24:25" x14ac:dyDescent="0.35">
      <c r="X5060" s="40"/>
      <c r="Y5060" s="40"/>
    </row>
    <row r="5061" spans="24:25" x14ac:dyDescent="0.35">
      <c r="X5061" s="40"/>
      <c r="Y5061" s="40"/>
    </row>
    <row r="5062" spans="24:25" x14ac:dyDescent="0.35">
      <c r="X5062" s="40"/>
      <c r="Y5062" s="40"/>
    </row>
    <row r="5063" spans="24:25" x14ac:dyDescent="0.35">
      <c r="X5063" s="40"/>
      <c r="Y5063" s="40"/>
    </row>
    <row r="5064" spans="24:25" x14ac:dyDescent="0.35">
      <c r="X5064" s="40"/>
      <c r="Y5064" s="40"/>
    </row>
    <row r="5065" spans="24:25" x14ac:dyDescent="0.35">
      <c r="X5065" s="40"/>
      <c r="Y5065" s="40"/>
    </row>
    <row r="5066" spans="24:25" x14ac:dyDescent="0.35">
      <c r="X5066" s="40"/>
      <c r="Y5066" s="40"/>
    </row>
    <row r="5067" spans="24:25" x14ac:dyDescent="0.35">
      <c r="X5067" s="40"/>
      <c r="Y5067" s="40"/>
    </row>
    <row r="5068" spans="24:25" x14ac:dyDescent="0.35">
      <c r="X5068" s="40"/>
      <c r="Y5068" s="40"/>
    </row>
    <row r="5069" spans="24:25" x14ac:dyDescent="0.35">
      <c r="X5069" s="40"/>
      <c r="Y5069" s="40"/>
    </row>
    <row r="5070" spans="24:25" x14ac:dyDescent="0.35">
      <c r="X5070" s="40"/>
      <c r="Y5070" s="40"/>
    </row>
    <row r="5071" spans="24:25" x14ac:dyDescent="0.35">
      <c r="X5071" s="40"/>
      <c r="Y5071" s="40"/>
    </row>
    <row r="5072" spans="24:25" x14ac:dyDescent="0.35">
      <c r="X5072" s="40"/>
      <c r="Y5072" s="40"/>
    </row>
    <row r="5073" spans="24:25" x14ac:dyDescent="0.35">
      <c r="X5073" s="40"/>
      <c r="Y5073" s="40"/>
    </row>
    <row r="5074" spans="24:25" x14ac:dyDescent="0.35">
      <c r="X5074" s="40"/>
      <c r="Y5074" s="40"/>
    </row>
    <row r="5075" spans="24:25" x14ac:dyDescent="0.35">
      <c r="X5075" s="40"/>
      <c r="Y5075" s="40"/>
    </row>
    <row r="5076" spans="24:25" x14ac:dyDescent="0.35">
      <c r="X5076" s="40"/>
      <c r="Y5076" s="40"/>
    </row>
    <row r="5077" spans="24:25" x14ac:dyDescent="0.35">
      <c r="X5077" s="40"/>
      <c r="Y5077" s="40"/>
    </row>
    <row r="5078" spans="24:25" x14ac:dyDescent="0.35">
      <c r="X5078" s="40"/>
      <c r="Y5078" s="40"/>
    </row>
    <row r="5079" spans="24:25" x14ac:dyDescent="0.35">
      <c r="X5079" s="40"/>
      <c r="Y5079" s="40"/>
    </row>
    <row r="5080" spans="24:25" x14ac:dyDescent="0.35">
      <c r="X5080" s="40"/>
      <c r="Y5080" s="40"/>
    </row>
    <row r="5081" spans="24:25" x14ac:dyDescent="0.35">
      <c r="X5081" s="40"/>
      <c r="Y5081" s="40"/>
    </row>
    <row r="5082" spans="24:25" x14ac:dyDescent="0.35">
      <c r="X5082" s="40"/>
      <c r="Y5082" s="40"/>
    </row>
    <row r="5083" spans="24:25" x14ac:dyDescent="0.35">
      <c r="X5083" s="40"/>
      <c r="Y5083" s="40"/>
    </row>
    <row r="5084" spans="24:25" x14ac:dyDescent="0.35">
      <c r="X5084" s="40"/>
      <c r="Y5084" s="40"/>
    </row>
    <row r="5085" spans="24:25" x14ac:dyDescent="0.35">
      <c r="X5085" s="40"/>
      <c r="Y5085" s="40"/>
    </row>
    <row r="5086" spans="24:25" x14ac:dyDescent="0.35">
      <c r="X5086" s="40"/>
      <c r="Y5086" s="40"/>
    </row>
    <row r="5087" spans="24:25" x14ac:dyDescent="0.35">
      <c r="X5087" s="40"/>
      <c r="Y5087" s="40"/>
    </row>
    <row r="5088" spans="24:25" x14ac:dyDescent="0.35">
      <c r="X5088" s="40"/>
      <c r="Y5088" s="40"/>
    </row>
    <row r="5089" spans="24:25" x14ac:dyDescent="0.35">
      <c r="X5089" s="40"/>
      <c r="Y5089" s="40"/>
    </row>
    <row r="5090" spans="24:25" x14ac:dyDescent="0.35">
      <c r="X5090" s="40"/>
      <c r="Y5090" s="40"/>
    </row>
    <row r="5091" spans="24:25" x14ac:dyDescent="0.35">
      <c r="X5091" s="40"/>
      <c r="Y5091" s="40"/>
    </row>
    <row r="5092" spans="24:25" x14ac:dyDescent="0.35">
      <c r="X5092" s="40"/>
      <c r="Y5092" s="40"/>
    </row>
    <row r="5093" spans="24:25" x14ac:dyDescent="0.35">
      <c r="X5093" s="40"/>
      <c r="Y5093" s="40"/>
    </row>
    <row r="5094" spans="24:25" x14ac:dyDescent="0.35">
      <c r="X5094" s="40"/>
      <c r="Y5094" s="40"/>
    </row>
    <row r="5095" spans="24:25" x14ac:dyDescent="0.35">
      <c r="X5095" s="40"/>
      <c r="Y5095" s="40"/>
    </row>
    <row r="5096" spans="24:25" x14ac:dyDescent="0.35">
      <c r="X5096" s="40"/>
      <c r="Y5096" s="40"/>
    </row>
    <row r="5097" spans="24:25" x14ac:dyDescent="0.35">
      <c r="X5097" s="40"/>
      <c r="Y5097" s="40"/>
    </row>
    <row r="5098" spans="24:25" x14ac:dyDescent="0.35">
      <c r="X5098" s="40"/>
      <c r="Y5098" s="40"/>
    </row>
    <row r="5099" spans="24:25" x14ac:dyDescent="0.35">
      <c r="X5099" s="40"/>
      <c r="Y5099" s="40"/>
    </row>
    <row r="5100" spans="24:25" x14ac:dyDescent="0.35">
      <c r="X5100" s="40"/>
      <c r="Y5100" s="40"/>
    </row>
    <row r="5101" spans="24:25" x14ac:dyDescent="0.35">
      <c r="X5101" s="40"/>
      <c r="Y5101" s="40"/>
    </row>
    <row r="5102" spans="24:25" x14ac:dyDescent="0.35">
      <c r="X5102" s="40"/>
      <c r="Y5102" s="40"/>
    </row>
    <row r="5103" spans="24:25" x14ac:dyDescent="0.35">
      <c r="X5103" s="40"/>
      <c r="Y5103" s="40"/>
    </row>
    <row r="5104" spans="24:25" x14ac:dyDescent="0.35">
      <c r="X5104" s="40"/>
      <c r="Y5104" s="40"/>
    </row>
    <row r="5105" spans="24:25" x14ac:dyDescent="0.35">
      <c r="X5105" s="40"/>
      <c r="Y5105" s="40"/>
    </row>
    <row r="5106" spans="24:25" x14ac:dyDescent="0.35">
      <c r="X5106" s="40"/>
      <c r="Y5106" s="40"/>
    </row>
    <row r="5107" spans="24:25" x14ac:dyDescent="0.35">
      <c r="X5107" s="40"/>
      <c r="Y5107" s="40"/>
    </row>
    <row r="5108" spans="24:25" x14ac:dyDescent="0.35">
      <c r="X5108" s="40"/>
      <c r="Y5108" s="40"/>
    </row>
    <row r="5109" spans="24:25" x14ac:dyDescent="0.35">
      <c r="X5109" s="40"/>
      <c r="Y5109" s="40"/>
    </row>
    <row r="5110" spans="24:25" x14ac:dyDescent="0.35">
      <c r="X5110" s="40"/>
      <c r="Y5110" s="40"/>
    </row>
    <row r="5111" spans="24:25" x14ac:dyDescent="0.35">
      <c r="X5111" s="40"/>
      <c r="Y5111" s="40"/>
    </row>
    <row r="5112" spans="24:25" x14ac:dyDescent="0.35">
      <c r="X5112" s="40"/>
      <c r="Y5112" s="40"/>
    </row>
    <row r="5113" spans="24:25" x14ac:dyDescent="0.35">
      <c r="X5113" s="40"/>
      <c r="Y5113" s="40"/>
    </row>
    <row r="5114" spans="24:25" x14ac:dyDescent="0.35">
      <c r="X5114" s="40"/>
      <c r="Y5114" s="40"/>
    </row>
    <row r="5115" spans="24:25" x14ac:dyDescent="0.35">
      <c r="X5115" s="40"/>
      <c r="Y5115" s="40"/>
    </row>
    <row r="5116" spans="24:25" x14ac:dyDescent="0.35">
      <c r="X5116" s="40"/>
      <c r="Y5116" s="40"/>
    </row>
    <row r="5117" spans="24:25" x14ac:dyDescent="0.35">
      <c r="X5117" s="40"/>
      <c r="Y5117" s="40"/>
    </row>
    <row r="5118" spans="24:25" x14ac:dyDescent="0.35">
      <c r="X5118" s="40"/>
      <c r="Y5118" s="40"/>
    </row>
    <row r="5119" spans="24:25" x14ac:dyDescent="0.35">
      <c r="X5119" s="40"/>
      <c r="Y5119" s="40"/>
    </row>
    <row r="5120" spans="24:25" x14ac:dyDescent="0.35">
      <c r="X5120" s="40"/>
      <c r="Y5120" s="40"/>
    </row>
    <row r="5121" spans="24:25" x14ac:dyDescent="0.35">
      <c r="X5121" s="40"/>
      <c r="Y5121" s="40"/>
    </row>
    <row r="5122" spans="24:25" x14ac:dyDescent="0.35">
      <c r="X5122" s="40"/>
      <c r="Y5122" s="40"/>
    </row>
    <row r="5123" spans="24:25" x14ac:dyDescent="0.35">
      <c r="X5123" s="40"/>
      <c r="Y5123" s="40"/>
    </row>
    <row r="5124" spans="24:25" x14ac:dyDescent="0.35">
      <c r="X5124" s="40"/>
      <c r="Y5124" s="40"/>
    </row>
    <row r="5125" spans="24:25" x14ac:dyDescent="0.35">
      <c r="X5125" s="40"/>
      <c r="Y5125" s="40"/>
    </row>
    <row r="5126" spans="24:25" x14ac:dyDescent="0.35">
      <c r="X5126" s="40"/>
      <c r="Y5126" s="40"/>
    </row>
    <row r="5127" spans="24:25" x14ac:dyDescent="0.35">
      <c r="X5127" s="40"/>
      <c r="Y5127" s="40"/>
    </row>
    <row r="5128" spans="24:25" x14ac:dyDescent="0.35">
      <c r="X5128" s="40"/>
      <c r="Y5128" s="40"/>
    </row>
    <row r="5129" spans="24:25" x14ac:dyDescent="0.35">
      <c r="X5129" s="40"/>
      <c r="Y5129" s="40"/>
    </row>
    <row r="5130" spans="24:25" x14ac:dyDescent="0.35">
      <c r="X5130" s="40"/>
      <c r="Y5130" s="40"/>
    </row>
    <row r="5131" spans="24:25" x14ac:dyDescent="0.35">
      <c r="X5131" s="40"/>
      <c r="Y5131" s="40"/>
    </row>
    <row r="5132" spans="24:25" x14ac:dyDescent="0.35">
      <c r="X5132" s="40"/>
      <c r="Y5132" s="40"/>
    </row>
    <row r="5133" spans="24:25" x14ac:dyDescent="0.35">
      <c r="X5133" s="40"/>
      <c r="Y5133" s="40"/>
    </row>
    <row r="5134" spans="24:25" x14ac:dyDescent="0.35">
      <c r="X5134" s="40"/>
      <c r="Y5134" s="40"/>
    </row>
    <row r="5135" spans="24:25" x14ac:dyDescent="0.35">
      <c r="X5135" s="40"/>
      <c r="Y5135" s="40"/>
    </row>
    <row r="5136" spans="24:25" x14ac:dyDescent="0.35">
      <c r="X5136" s="40"/>
      <c r="Y5136" s="40"/>
    </row>
    <row r="5137" spans="24:25" x14ac:dyDescent="0.35">
      <c r="X5137" s="40"/>
      <c r="Y5137" s="40"/>
    </row>
    <row r="5138" spans="24:25" x14ac:dyDescent="0.35">
      <c r="X5138" s="40"/>
      <c r="Y5138" s="40"/>
    </row>
    <row r="5139" spans="24:25" x14ac:dyDescent="0.35">
      <c r="X5139" s="40"/>
      <c r="Y5139" s="40"/>
    </row>
    <row r="5140" spans="24:25" x14ac:dyDescent="0.35">
      <c r="X5140" s="40"/>
      <c r="Y5140" s="40"/>
    </row>
    <row r="5141" spans="24:25" x14ac:dyDescent="0.35">
      <c r="X5141" s="40"/>
      <c r="Y5141" s="40"/>
    </row>
    <row r="5142" spans="24:25" x14ac:dyDescent="0.35">
      <c r="X5142" s="40"/>
      <c r="Y5142" s="40"/>
    </row>
    <row r="5143" spans="24:25" x14ac:dyDescent="0.35">
      <c r="X5143" s="40"/>
      <c r="Y5143" s="40"/>
    </row>
    <row r="5144" spans="24:25" x14ac:dyDescent="0.35">
      <c r="X5144" s="40"/>
      <c r="Y5144" s="40"/>
    </row>
    <row r="5145" spans="24:25" x14ac:dyDescent="0.35">
      <c r="X5145" s="40"/>
      <c r="Y5145" s="40"/>
    </row>
    <row r="5146" spans="24:25" x14ac:dyDescent="0.35">
      <c r="X5146" s="40"/>
      <c r="Y5146" s="40"/>
    </row>
    <row r="5147" spans="24:25" x14ac:dyDescent="0.35">
      <c r="X5147" s="40"/>
      <c r="Y5147" s="40"/>
    </row>
    <row r="5148" spans="24:25" x14ac:dyDescent="0.35">
      <c r="X5148" s="40"/>
      <c r="Y5148" s="40"/>
    </row>
    <row r="5149" spans="24:25" x14ac:dyDescent="0.35">
      <c r="X5149" s="40"/>
      <c r="Y5149" s="40"/>
    </row>
    <row r="5150" spans="24:25" x14ac:dyDescent="0.35">
      <c r="X5150" s="40"/>
      <c r="Y5150" s="40"/>
    </row>
    <row r="5151" spans="24:25" x14ac:dyDescent="0.35">
      <c r="X5151" s="40"/>
      <c r="Y5151" s="40"/>
    </row>
    <row r="5152" spans="24:25" x14ac:dyDescent="0.35">
      <c r="X5152" s="40"/>
      <c r="Y5152" s="40"/>
    </row>
    <row r="5153" spans="24:25" x14ac:dyDescent="0.35">
      <c r="X5153" s="40"/>
      <c r="Y5153" s="40"/>
    </row>
    <row r="5154" spans="24:25" x14ac:dyDescent="0.35">
      <c r="X5154" s="40"/>
      <c r="Y5154" s="40"/>
    </row>
    <row r="5155" spans="24:25" x14ac:dyDescent="0.35">
      <c r="X5155" s="40"/>
      <c r="Y5155" s="40"/>
    </row>
    <row r="5156" spans="24:25" x14ac:dyDescent="0.35">
      <c r="X5156" s="40"/>
      <c r="Y5156" s="40"/>
    </row>
    <row r="5157" spans="24:25" x14ac:dyDescent="0.35">
      <c r="X5157" s="40"/>
      <c r="Y5157" s="40"/>
    </row>
    <row r="5158" spans="24:25" x14ac:dyDescent="0.35">
      <c r="X5158" s="40"/>
      <c r="Y5158" s="40"/>
    </row>
    <row r="5159" spans="24:25" x14ac:dyDescent="0.35">
      <c r="X5159" s="40"/>
      <c r="Y5159" s="40"/>
    </row>
    <row r="5160" spans="24:25" x14ac:dyDescent="0.35">
      <c r="X5160" s="40"/>
      <c r="Y5160" s="40"/>
    </row>
    <row r="5161" spans="24:25" x14ac:dyDescent="0.35">
      <c r="X5161" s="40"/>
      <c r="Y5161" s="40"/>
    </row>
    <row r="5162" spans="24:25" x14ac:dyDescent="0.35">
      <c r="X5162" s="40"/>
      <c r="Y5162" s="40"/>
    </row>
    <row r="5163" spans="24:25" x14ac:dyDescent="0.35">
      <c r="X5163" s="40"/>
      <c r="Y5163" s="40"/>
    </row>
    <row r="5164" spans="24:25" x14ac:dyDescent="0.35">
      <c r="X5164" s="40"/>
      <c r="Y5164" s="40"/>
    </row>
    <row r="5165" spans="24:25" x14ac:dyDescent="0.35">
      <c r="X5165" s="40"/>
      <c r="Y5165" s="40"/>
    </row>
    <row r="5166" spans="24:25" x14ac:dyDescent="0.35">
      <c r="X5166" s="40"/>
      <c r="Y5166" s="40"/>
    </row>
    <row r="5167" spans="24:25" x14ac:dyDescent="0.35">
      <c r="X5167" s="40"/>
      <c r="Y5167" s="40"/>
    </row>
    <row r="5168" spans="24:25" x14ac:dyDescent="0.35">
      <c r="X5168" s="40"/>
      <c r="Y5168" s="40"/>
    </row>
    <row r="5169" spans="24:25" x14ac:dyDescent="0.35">
      <c r="X5169" s="40"/>
      <c r="Y5169" s="40"/>
    </row>
    <row r="5170" spans="24:25" x14ac:dyDescent="0.35">
      <c r="X5170" s="40"/>
      <c r="Y5170" s="40"/>
    </row>
    <row r="5171" spans="24:25" x14ac:dyDescent="0.35">
      <c r="X5171" s="40"/>
      <c r="Y5171" s="40"/>
    </row>
    <row r="5172" spans="24:25" x14ac:dyDescent="0.35">
      <c r="X5172" s="40"/>
      <c r="Y5172" s="40"/>
    </row>
    <row r="5173" spans="24:25" x14ac:dyDescent="0.35">
      <c r="X5173" s="40"/>
      <c r="Y5173" s="40"/>
    </row>
    <row r="5174" spans="24:25" x14ac:dyDescent="0.35">
      <c r="X5174" s="40"/>
      <c r="Y5174" s="40"/>
    </row>
    <row r="5175" spans="24:25" x14ac:dyDescent="0.35">
      <c r="X5175" s="40"/>
      <c r="Y5175" s="40"/>
    </row>
    <row r="5176" spans="24:25" x14ac:dyDescent="0.35">
      <c r="X5176" s="40"/>
      <c r="Y5176" s="40"/>
    </row>
    <row r="5177" spans="24:25" x14ac:dyDescent="0.35">
      <c r="X5177" s="40"/>
      <c r="Y5177" s="40"/>
    </row>
    <row r="5178" spans="24:25" x14ac:dyDescent="0.35">
      <c r="X5178" s="40"/>
      <c r="Y5178" s="40"/>
    </row>
    <row r="5179" spans="24:25" x14ac:dyDescent="0.35">
      <c r="X5179" s="40"/>
      <c r="Y5179" s="40"/>
    </row>
    <row r="5180" spans="24:25" x14ac:dyDescent="0.35">
      <c r="X5180" s="40"/>
      <c r="Y5180" s="40"/>
    </row>
    <row r="5181" spans="24:25" x14ac:dyDescent="0.35">
      <c r="X5181" s="40"/>
      <c r="Y5181" s="40"/>
    </row>
    <row r="5182" spans="24:25" x14ac:dyDescent="0.35">
      <c r="X5182" s="40"/>
      <c r="Y5182" s="40"/>
    </row>
    <row r="5183" spans="24:25" x14ac:dyDescent="0.35">
      <c r="X5183" s="40"/>
      <c r="Y5183" s="40"/>
    </row>
    <row r="5184" spans="24:25" x14ac:dyDescent="0.35">
      <c r="X5184" s="40"/>
      <c r="Y5184" s="40"/>
    </row>
    <row r="5185" spans="24:25" x14ac:dyDescent="0.35">
      <c r="X5185" s="40"/>
      <c r="Y5185" s="40"/>
    </row>
    <row r="5186" spans="24:25" x14ac:dyDescent="0.35">
      <c r="X5186" s="40"/>
      <c r="Y5186" s="40"/>
    </row>
    <row r="5187" spans="24:25" x14ac:dyDescent="0.35">
      <c r="X5187" s="40"/>
      <c r="Y5187" s="40"/>
    </row>
    <row r="5188" spans="24:25" x14ac:dyDescent="0.35">
      <c r="X5188" s="40"/>
      <c r="Y5188" s="40"/>
    </row>
    <row r="5189" spans="24:25" x14ac:dyDescent="0.35">
      <c r="X5189" s="40"/>
      <c r="Y5189" s="40"/>
    </row>
    <row r="5190" spans="24:25" x14ac:dyDescent="0.35">
      <c r="X5190" s="40"/>
      <c r="Y5190" s="40"/>
    </row>
    <row r="5191" spans="24:25" x14ac:dyDescent="0.35">
      <c r="X5191" s="40"/>
      <c r="Y5191" s="40"/>
    </row>
    <row r="5192" spans="24:25" x14ac:dyDescent="0.35">
      <c r="X5192" s="40"/>
      <c r="Y5192" s="40"/>
    </row>
    <row r="5193" spans="24:25" x14ac:dyDescent="0.35">
      <c r="X5193" s="40"/>
      <c r="Y5193" s="40"/>
    </row>
    <row r="5194" spans="24:25" x14ac:dyDescent="0.35">
      <c r="X5194" s="40"/>
      <c r="Y5194" s="40"/>
    </row>
    <row r="5195" spans="24:25" x14ac:dyDescent="0.35">
      <c r="X5195" s="40"/>
      <c r="Y5195" s="40"/>
    </row>
    <row r="5196" spans="24:25" x14ac:dyDescent="0.35">
      <c r="X5196" s="40"/>
      <c r="Y5196" s="40"/>
    </row>
    <row r="5197" spans="24:25" x14ac:dyDescent="0.35">
      <c r="X5197" s="40"/>
      <c r="Y5197" s="40"/>
    </row>
    <row r="5198" spans="24:25" x14ac:dyDescent="0.35">
      <c r="X5198" s="40"/>
      <c r="Y5198" s="40"/>
    </row>
    <row r="5199" spans="24:25" x14ac:dyDescent="0.35">
      <c r="X5199" s="40"/>
      <c r="Y5199" s="40"/>
    </row>
    <row r="5200" spans="24:25" x14ac:dyDescent="0.35">
      <c r="X5200" s="40"/>
      <c r="Y5200" s="40"/>
    </row>
    <row r="5201" spans="24:25" x14ac:dyDescent="0.35">
      <c r="X5201" s="40"/>
      <c r="Y5201" s="40"/>
    </row>
    <row r="5202" spans="24:25" x14ac:dyDescent="0.35">
      <c r="X5202" s="40"/>
      <c r="Y5202" s="40"/>
    </row>
    <row r="5203" spans="24:25" x14ac:dyDescent="0.35">
      <c r="X5203" s="40"/>
      <c r="Y5203" s="40"/>
    </row>
    <row r="5204" spans="24:25" x14ac:dyDescent="0.35">
      <c r="X5204" s="40"/>
      <c r="Y5204" s="40"/>
    </row>
    <row r="5205" spans="24:25" x14ac:dyDescent="0.35">
      <c r="X5205" s="40"/>
      <c r="Y5205" s="40"/>
    </row>
    <row r="5206" spans="24:25" x14ac:dyDescent="0.35">
      <c r="X5206" s="40"/>
      <c r="Y5206" s="40"/>
    </row>
    <row r="5207" spans="24:25" x14ac:dyDescent="0.35">
      <c r="X5207" s="40"/>
      <c r="Y5207" s="40"/>
    </row>
    <row r="5208" spans="24:25" x14ac:dyDescent="0.35">
      <c r="X5208" s="40"/>
      <c r="Y5208" s="40"/>
    </row>
    <row r="5209" spans="24:25" x14ac:dyDescent="0.35">
      <c r="X5209" s="40"/>
      <c r="Y5209" s="40"/>
    </row>
    <row r="5210" spans="24:25" x14ac:dyDescent="0.35">
      <c r="X5210" s="40"/>
      <c r="Y5210" s="40"/>
    </row>
    <row r="5211" spans="24:25" x14ac:dyDescent="0.35">
      <c r="X5211" s="40"/>
      <c r="Y5211" s="40"/>
    </row>
    <row r="5212" spans="24:25" x14ac:dyDescent="0.35">
      <c r="X5212" s="40"/>
      <c r="Y5212" s="40"/>
    </row>
    <row r="5213" spans="24:25" x14ac:dyDescent="0.35">
      <c r="X5213" s="40"/>
      <c r="Y5213" s="40"/>
    </row>
    <row r="5214" spans="24:25" x14ac:dyDescent="0.35">
      <c r="X5214" s="40"/>
      <c r="Y5214" s="40"/>
    </row>
    <row r="5215" spans="24:25" x14ac:dyDescent="0.35">
      <c r="X5215" s="40"/>
      <c r="Y5215" s="40"/>
    </row>
    <row r="5216" spans="24:25" x14ac:dyDescent="0.35">
      <c r="X5216" s="40"/>
      <c r="Y5216" s="40"/>
    </row>
    <row r="5217" spans="24:25" x14ac:dyDescent="0.35">
      <c r="X5217" s="40"/>
      <c r="Y5217" s="40"/>
    </row>
    <row r="5218" spans="24:25" x14ac:dyDescent="0.35">
      <c r="X5218" s="40"/>
      <c r="Y5218" s="40"/>
    </row>
    <row r="5219" spans="24:25" x14ac:dyDescent="0.35">
      <c r="X5219" s="40"/>
      <c r="Y5219" s="40"/>
    </row>
    <row r="5220" spans="24:25" x14ac:dyDescent="0.35">
      <c r="X5220" s="40"/>
      <c r="Y5220" s="40"/>
    </row>
    <row r="5221" spans="24:25" x14ac:dyDescent="0.35">
      <c r="X5221" s="40"/>
      <c r="Y5221" s="40"/>
    </row>
    <row r="5222" spans="24:25" x14ac:dyDescent="0.35">
      <c r="X5222" s="40"/>
      <c r="Y5222" s="40"/>
    </row>
    <row r="5223" spans="24:25" x14ac:dyDescent="0.35">
      <c r="X5223" s="40"/>
      <c r="Y5223" s="40"/>
    </row>
    <row r="5224" spans="24:25" x14ac:dyDescent="0.35">
      <c r="X5224" s="40"/>
      <c r="Y5224" s="40"/>
    </row>
    <row r="5225" spans="24:25" x14ac:dyDescent="0.35">
      <c r="X5225" s="40"/>
      <c r="Y5225" s="40"/>
    </row>
    <row r="5226" spans="24:25" x14ac:dyDescent="0.35">
      <c r="X5226" s="40"/>
      <c r="Y5226" s="40"/>
    </row>
    <row r="5227" spans="24:25" x14ac:dyDescent="0.35">
      <c r="X5227" s="40"/>
      <c r="Y5227" s="40"/>
    </row>
    <row r="5228" spans="24:25" x14ac:dyDescent="0.35">
      <c r="X5228" s="40"/>
      <c r="Y5228" s="40"/>
    </row>
    <row r="5229" spans="24:25" x14ac:dyDescent="0.35">
      <c r="X5229" s="40"/>
      <c r="Y5229" s="40"/>
    </row>
    <row r="5230" spans="24:25" x14ac:dyDescent="0.35">
      <c r="X5230" s="40"/>
      <c r="Y5230" s="40"/>
    </row>
    <row r="5231" spans="24:25" x14ac:dyDescent="0.35">
      <c r="X5231" s="40"/>
      <c r="Y5231" s="40"/>
    </row>
    <row r="5232" spans="24:25" x14ac:dyDescent="0.35">
      <c r="X5232" s="40"/>
      <c r="Y5232" s="40"/>
    </row>
    <row r="5233" spans="24:25" x14ac:dyDescent="0.35">
      <c r="X5233" s="40"/>
      <c r="Y5233" s="40"/>
    </row>
    <row r="5234" spans="24:25" x14ac:dyDescent="0.35">
      <c r="X5234" s="40"/>
      <c r="Y5234" s="40"/>
    </row>
    <row r="5235" spans="24:25" x14ac:dyDescent="0.35">
      <c r="X5235" s="40"/>
      <c r="Y5235" s="40"/>
    </row>
    <row r="5236" spans="24:25" x14ac:dyDescent="0.35">
      <c r="X5236" s="40"/>
      <c r="Y5236" s="40"/>
    </row>
    <row r="5237" spans="24:25" x14ac:dyDescent="0.35">
      <c r="X5237" s="40"/>
      <c r="Y5237" s="40"/>
    </row>
    <row r="5238" spans="24:25" x14ac:dyDescent="0.35">
      <c r="X5238" s="40"/>
      <c r="Y5238" s="40"/>
    </row>
    <row r="5239" spans="24:25" x14ac:dyDescent="0.35">
      <c r="X5239" s="40"/>
      <c r="Y5239" s="40"/>
    </row>
    <row r="5240" spans="24:25" x14ac:dyDescent="0.35">
      <c r="X5240" s="40"/>
      <c r="Y5240" s="40"/>
    </row>
    <row r="5241" spans="24:25" x14ac:dyDescent="0.35">
      <c r="X5241" s="40"/>
      <c r="Y5241" s="40"/>
    </row>
    <row r="5242" spans="24:25" x14ac:dyDescent="0.35">
      <c r="X5242" s="40"/>
      <c r="Y5242" s="40"/>
    </row>
    <row r="5243" spans="24:25" x14ac:dyDescent="0.35">
      <c r="X5243" s="40"/>
      <c r="Y5243" s="40"/>
    </row>
    <row r="5244" spans="24:25" x14ac:dyDescent="0.35">
      <c r="X5244" s="40"/>
      <c r="Y5244" s="40"/>
    </row>
    <row r="5245" spans="24:25" x14ac:dyDescent="0.35">
      <c r="X5245" s="40"/>
      <c r="Y5245" s="40"/>
    </row>
    <row r="5246" spans="24:25" x14ac:dyDescent="0.35">
      <c r="X5246" s="40"/>
      <c r="Y5246" s="40"/>
    </row>
    <row r="5247" spans="24:25" x14ac:dyDescent="0.35">
      <c r="X5247" s="40"/>
      <c r="Y5247" s="40"/>
    </row>
    <row r="5248" spans="24:25" x14ac:dyDescent="0.35">
      <c r="X5248" s="40"/>
      <c r="Y5248" s="40"/>
    </row>
    <row r="5249" spans="24:25" x14ac:dyDescent="0.35">
      <c r="X5249" s="40"/>
      <c r="Y5249" s="40"/>
    </row>
    <row r="5250" spans="24:25" x14ac:dyDescent="0.35">
      <c r="X5250" s="40"/>
      <c r="Y5250" s="40"/>
    </row>
    <row r="5251" spans="24:25" x14ac:dyDescent="0.35">
      <c r="X5251" s="40"/>
      <c r="Y5251" s="40"/>
    </row>
    <row r="5252" spans="24:25" x14ac:dyDescent="0.35">
      <c r="X5252" s="40"/>
      <c r="Y5252" s="40"/>
    </row>
    <row r="5253" spans="24:25" x14ac:dyDescent="0.35">
      <c r="X5253" s="40"/>
      <c r="Y5253" s="40"/>
    </row>
    <row r="5254" spans="24:25" x14ac:dyDescent="0.35">
      <c r="X5254" s="40"/>
      <c r="Y5254" s="40"/>
    </row>
    <row r="5255" spans="24:25" x14ac:dyDescent="0.35">
      <c r="X5255" s="40"/>
      <c r="Y5255" s="40"/>
    </row>
    <row r="5256" spans="24:25" x14ac:dyDescent="0.35">
      <c r="X5256" s="40"/>
      <c r="Y5256" s="40"/>
    </row>
    <row r="5257" spans="24:25" x14ac:dyDescent="0.35">
      <c r="X5257" s="40"/>
      <c r="Y5257" s="40"/>
    </row>
    <row r="5258" spans="24:25" x14ac:dyDescent="0.35">
      <c r="X5258" s="40"/>
      <c r="Y5258" s="40"/>
    </row>
    <row r="5259" spans="24:25" x14ac:dyDescent="0.35">
      <c r="X5259" s="40"/>
      <c r="Y5259" s="40"/>
    </row>
    <row r="5260" spans="24:25" x14ac:dyDescent="0.35">
      <c r="X5260" s="40"/>
      <c r="Y5260" s="40"/>
    </row>
    <row r="5261" spans="24:25" x14ac:dyDescent="0.35">
      <c r="X5261" s="40"/>
      <c r="Y5261" s="40"/>
    </row>
    <row r="5262" spans="24:25" x14ac:dyDescent="0.35">
      <c r="X5262" s="40"/>
      <c r="Y5262" s="40"/>
    </row>
    <row r="5263" spans="24:25" x14ac:dyDescent="0.35">
      <c r="X5263" s="40"/>
      <c r="Y5263" s="40"/>
    </row>
    <row r="5264" spans="24:25" x14ac:dyDescent="0.35">
      <c r="X5264" s="40"/>
      <c r="Y5264" s="40"/>
    </row>
    <row r="5265" spans="24:25" x14ac:dyDescent="0.35">
      <c r="X5265" s="40"/>
      <c r="Y5265" s="40"/>
    </row>
    <row r="5266" spans="24:25" x14ac:dyDescent="0.35">
      <c r="X5266" s="40"/>
      <c r="Y5266" s="40"/>
    </row>
    <row r="5267" spans="24:25" x14ac:dyDescent="0.35">
      <c r="X5267" s="40"/>
      <c r="Y5267" s="40"/>
    </row>
    <row r="5268" spans="24:25" x14ac:dyDescent="0.35">
      <c r="X5268" s="40"/>
      <c r="Y5268" s="40"/>
    </row>
    <row r="5269" spans="24:25" x14ac:dyDescent="0.35">
      <c r="X5269" s="40"/>
      <c r="Y5269" s="40"/>
    </row>
    <row r="5270" spans="24:25" x14ac:dyDescent="0.35">
      <c r="X5270" s="40"/>
      <c r="Y5270" s="40"/>
    </row>
    <row r="5271" spans="24:25" x14ac:dyDescent="0.35">
      <c r="X5271" s="40"/>
      <c r="Y5271" s="40"/>
    </row>
    <row r="5272" spans="24:25" x14ac:dyDescent="0.35">
      <c r="X5272" s="40"/>
      <c r="Y5272" s="40"/>
    </row>
    <row r="5273" spans="24:25" x14ac:dyDescent="0.35">
      <c r="X5273" s="40"/>
      <c r="Y5273" s="40"/>
    </row>
    <row r="5274" spans="24:25" x14ac:dyDescent="0.35">
      <c r="X5274" s="40"/>
      <c r="Y5274" s="40"/>
    </row>
    <row r="5275" spans="24:25" x14ac:dyDescent="0.35">
      <c r="X5275" s="40"/>
      <c r="Y5275" s="40"/>
    </row>
    <row r="5276" spans="24:25" x14ac:dyDescent="0.35">
      <c r="X5276" s="40"/>
      <c r="Y5276" s="40"/>
    </row>
    <row r="5277" spans="24:25" x14ac:dyDescent="0.35">
      <c r="X5277" s="40"/>
      <c r="Y5277" s="40"/>
    </row>
    <row r="5278" spans="24:25" x14ac:dyDescent="0.35">
      <c r="X5278" s="40"/>
      <c r="Y5278" s="40"/>
    </row>
    <row r="5279" spans="24:25" x14ac:dyDescent="0.35">
      <c r="X5279" s="40"/>
      <c r="Y5279" s="40"/>
    </row>
    <row r="5280" spans="24:25" x14ac:dyDescent="0.35">
      <c r="X5280" s="40"/>
      <c r="Y5280" s="40"/>
    </row>
    <row r="5281" spans="24:25" x14ac:dyDescent="0.35">
      <c r="X5281" s="40"/>
      <c r="Y5281" s="40"/>
    </row>
    <row r="5282" spans="24:25" x14ac:dyDescent="0.35">
      <c r="X5282" s="40"/>
      <c r="Y5282" s="40"/>
    </row>
    <row r="5283" spans="24:25" x14ac:dyDescent="0.35">
      <c r="X5283" s="40"/>
      <c r="Y5283" s="40"/>
    </row>
    <row r="5284" spans="24:25" x14ac:dyDescent="0.35">
      <c r="X5284" s="40"/>
      <c r="Y5284" s="40"/>
    </row>
    <row r="5285" spans="24:25" x14ac:dyDescent="0.35">
      <c r="X5285" s="40"/>
      <c r="Y5285" s="40"/>
    </row>
    <row r="5286" spans="24:25" x14ac:dyDescent="0.35">
      <c r="X5286" s="40"/>
      <c r="Y5286" s="40"/>
    </row>
    <row r="5287" spans="24:25" x14ac:dyDescent="0.35">
      <c r="X5287" s="40"/>
      <c r="Y5287" s="40"/>
    </row>
    <row r="5288" spans="24:25" x14ac:dyDescent="0.35">
      <c r="X5288" s="40"/>
      <c r="Y5288" s="40"/>
    </row>
    <row r="5289" spans="24:25" x14ac:dyDescent="0.35">
      <c r="X5289" s="40"/>
      <c r="Y5289" s="40"/>
    </row>
    <row r="5290" spans="24:25" x14ac:dyDescent="0.35">
      <c r="X5290" s="40"/>
      <c r="Y5290" s="40"/>
    </row>
    <row r="5291" spans="24:25" x14ac:dyDescent="0.35">
      <c r="X5291" s="40"/>
      <c r="Y5291" s="40"/>
    </row>
    <row r="5292" spans="24:25" x14ac:dyDescent="0.35">
      <c r="X5292" s="40"/>
      <c r="Y5292" s="40"/>
    </row>
    <row r="5293" spans="24:25" x14ac:dyDescent="0.35">
      <c r="X5293" s="40"/>
      <c r="Y5293" s="40"/>
    </row>
    <row r="5294" spans="24:25" x14ac:dyDescent="0.35">
      <c r="X5294" s="40"/>
      <c r="Y5294" s="40"/>
    </row>
    <row r="5295" spans="24:25" x14ac:dyDescent="0.35">
      <c r="X5295" s="40"/>
      <c r="Y5295" s="40"/>
    </row>
    <row r="5296" spans="24:25" x14ac:dyDescent="0.35">
      <c r="X5296" s="40"/>
      <c r="Y5296" s="40"/>
    </row>
    <row r="5297" spans="24:25" x14ac:dyDescent="0.35">
      <c r="X5297" s="40"/>
      <c r="Y5297" s="40"/>
    </row>
    <row r="5298" spans="24:25" x14ac:dyDescent="0.35">
      <c r="X5298" s="40"/>
      <c r="Y5298" s="40"/>
    </row>
    <row r="5299" spans="24:25" x14ac:dyDescent="0.35">
      <c r="X5299" s="40"/>
      <c r="Y5299" s="40"/>
    </row>
    <row r="5300" spans="24:25" x14ac:dyDescent="0.35">
      <c r="X5300" s="40"/>
      <c r="Y5300" s="40"/>
    </row>
    <row r="5301" spans="24:25" x14ac:dyDescent="0.35">
      <c r="X5301" s="40"/>
      <c r="Y5301" s="40"/>
    </row>
    <row r="5302" spans="24:25" x14ac:dyDescent="0.35">
      <c r="X5302" s="40"/>
      <c r="Y5302" s="40"/>
    </row>
    <row r="5303" spans="24:25" x14ac:dyDescent="0.35">
      <c r="X5303" s="40"/>
      <c r="Y5303" s="40"/>
    </row>
    <row r="5304" spans="24:25" x14ac:dyDescent="0.35">
      <c r="X5304" s="40"/>
      <c r="Y5304" s="40"/>
    </row>
    <row r="5305" spans="24:25" x14ac:dyDescent="0.35">
      <c r="X5305" s="40"/>
      <c r="Y5305" s="40"/>
    </row>
    <row r="5306" spans="24:25" x14ac:dyDescent="0.35">
      <c r="X5306" s="40"/>
      <c r="Y5306" s="40"/>
    </row>
    <row r="5307" spans="24:25" x14ac:dyDescent="0.35">
      <c r="X5307" s="40"/>
      <c r="Y5307" s="40"/>
    </row>
    <row r="5308" spans="24:25" x14ac:dyDescent="0.35">
      <c r="X5308" s="40"/>
      <c r="Y5308" s="40"/>
    </row>
    <row r="5309" spans="24:25" x14ac:dyDescent="0.35">
      <c r="X5309" s="40"/>
      <c r="Y5309" s="40"/>
    </row>
    <row r="5310" spans="24:25" x14ac:dyDescent="0.35">
      <c r="X5310" s="40"/>
      <c r="Y5310" s="40"/>
    </row>
    <row r="5311" spans="24:25" x14ac:dyDescent="0.35">
      <c r="X5311" s="40"/>
      <c r="Y5311" s="40"/>
    </row>
    <row r="5312" spans="24:25" x14ac:dyDescent="0.35">
      <c r="X5312" s="40"/>
      <c r="Y5312" s="40"/>
    </row>
    <row r="5313" spans="24:25" x14ac:dyDescent="0.35">
      <c r="X5313" s="40"/>
      <c r="Y5313" s="40"/>
    </row>
    <row r="5314" spans="24:25" x14ac:dyDescent="0.35">
      <c r="X5314" s="40"/>
      <c r="Y5314" s="40"/>
    </row>
    <row r="5315" spans="24:25" x14ac:dyDescent="0.35">
      <c r="X5315" s="40"/>
      <c r="Y5315" s="40"/>
    </row>
    <row r="5316" spans="24:25" x14ac:dyDescent="0.35">
      <c r="X5316" s="40"/>
      <c r="Y5316" s="40"/>
    </row>
    <row r="5317" spans="24:25" x14ac:dyDescent="0.35">
      <c r="X5317" s="40"/>
      <c r="Y5317" s="40"/>
    </row>
    <row r="5318" spans="24:25" x14ac:dyDescent="0.35">
      <c r="X5318" s="40"/>
      <c r="Y5318" s="40"/>
    </row>
    <row r="5319" spans="24:25" x14ac:dyDescent="0.35">
      <c r="X5319" s="40"/>
      <c r="Y5319" s="40"/>
    </row>
    <row r="5320" spans="24:25" x14ac:dyDescent="0.35">
      <c r="X5320" s="40"/>
      <c r="Y5320" s="40"/>
    </row>
    <row r="5321" spans="24:25" x14ac:dyDescent="0.35">
      <c r="X5321" s="40"/>
      <c r="Y5321" s="40"/>
    </row>
    <row r="5322" spans="24:25" x14ac:dyDescent="0.35">
      <c r="X5322" s="40"/>
      <c r="Y5322" s="40"/>
    </row>
    <row r="5323" spans="24:25" x14ac:dyDescent="0.35">
      <c r="X5323" s="40"/>
      <c r="Y5323" s="40"/>
    </row>
    <row r="5324" spans="24:25" x14ac:dyDescent="0.35">
      <c r="X5324" s="40"/>
      <c r="Y5324" s="40"/>
    </row>
    <row r="5325" spans="24:25" x14ac:dyDescent="0.35">
      <c r="X5325" s="40"/>
      <c r="Y5325" s="40"/>
    </row>
    <row r="5326" spans="24:25" x14ac:dyDescent="0.35">
      <c r="X5326" s="40"/>
      <c r="Y5326" s="40"/>
    </row>
    <row r="5327" spans="24:25" x14ac:dyDescent="0.35">
      <c r="X5327" s="40"/>
      <c r="Y5327" s="40"/>
    </row>
    <row r="5328" spans="24:25" x14ac:dyDescent="0.35">
      <c r="X5328" s="40"/>
      <c r="Y5328" s="40"/>
    </row>
    <row r="5329" spans="24:25" x14ac:dyDescent="0.35">
      <c r="X5329" s="40"/>
      <c r="Y5329" s="40"/>
    </row>
    <row r="5330" spans="24:25" x14ac:dyDescent="0.35">
      <c r="X5330" s="40"/>
      <c r="Y5330" s="40"/>
    </row>
    <row r="5331" spans="24:25" x14ac:dyDescent="0.35">
      <c r="X5331" s="40"/>
      <c r="Y5331" s="40"/>
    </row>
    <row r="5332" spans="24:25" x14ac:dyDescent="0.35">
      <c r="X5332" s="40"/>
      <c r="Y5332" s="40"/>
    </row>
    <row r="5333" spans="24:25" x14ac:dyDescent="0.35">
      <c r="X5333" s="40"/>
      <c r="Y5333" s="40"/>
    </row>
    <row r="5334" spans="24:25" x14ac:dyDescent="0.35">
      <c r="X5334" s="40"/>
      <c r="Y5334" s="40"/>
    </row>
    <row r="5335" spans="24:25" x14ac:dyDescent="0.35">
      <c r="X5335" s="40"/>
      <c r="Y5335" s="40"/>
    </row>
    <row r="5336" spans="24:25" x14ac:dyDescent="0.35">
      <c r="X5336" s="40"/>
      <c r="Y5336" s="40"/>
    </row>
    <row r="5337" spans="24:25" x14ac:dyDescent="0.35">
      <c r="X5337" s="40"/>
      <c r="Y5337" s="40"/>
    </row>
    <row r="5338" spans="24:25" x14ac:dyDescent="0.35">
      <c r="X5338" s="40"/>
      <c r="Y5338" s="40"/>
    </row>
    <row r="5339" spans="24:25" x14ac:dyDescent="0.35">
      <c r="X5339" s="40"/>
      <c r="Y5339" s="40"/>
    </row>
    <row r="5340" spans="24:25" x14ac:dyDescent="0.35">
      <c r="X5340" s="40"/>
      <c r="Y5340" s="40"/>
    </row>
    <row r="5341" spans="24:25" x14ac:dyDescent="0.35">
      <c r="X5341" s="40"/>
      <c r="Y5341" s="40"/>
    </row>
    <row r="5342" spans="24:25" x14ac:dyDescent="0.35">
      <c r="X5342" s="40"/>
      <c r="Y5342" s="40"/>
    </row>
    <row r="5343" spans="24:25" x14ac:dyDescent="0.35">
      <c r="X5343" s="40"/>
      <c r="Y5343" s="40"/>
    </row>
    <row r="5344" spans="24:25" x14ac:dyDescent="0.35">
      <c r="X5344" s="40"/>
      <c r="Y5344" s="40"/>
    </row>
    <row r="5345" spans="24:25" x14ac:dyDescent="0.35">
      <c r="X5345" s="40"/>
      <c r="Y5345" s="40"/>
    </row>
    <row r="5346" spans="24:25" x14ac:dyDescent="0.35">
      <c r="X5346" s="40"/>
      <c r="Y5346" s="40"/>
    </row>
    <row r="5347" spans="24:25" x14ac:dyDescent="0.35">
      <c r="X5347" s="40"/>
      <c r="Y5347" s="40"/>
    </row>
    <row r="5348" spans="24:25" x14ac:dyDescent="0.35">
      <c r="X5348" s="40"/>
      <c r="Y5348" s="40"/>
    </row>
    <row r="5349" spans="24:25" x14ac:dyDescent="0.35">
      <c r="X5349" s="40"/>
      <c r="Y5349" s="40"/>
    </row>
    <row r="5350" spans="24:25" x14ac:dyDescent="0.35">
      <c r="X5350" s="40"/>
      <c r="Y5350" s="40"/>
    </row>
    <row r="5351" spans="24:25" x14ac:dyDescent="0.35">
      <c r="X5351" s="40"/>
      <c r="Y5351" s="40"/>
    </row>
    <row r="5352" spans="24:25" x14ac:dyDescent="0.35">
      <c r="X5352" s="40"/>
      <c r="Y5352" s="40"/>
    </row>
    <row r="5353" spans="24:25" x14ac:dyDescent="0.35">
      <c r="X5353" s="40"/>
      <c r="Y5353" s="40"/>
    </row>
    <row r="5354" spans="24:25" x14ac:dyDescent="0.35">
      <c r="X5354" s="40"/>
      <c r="Y5354" s="40"/>
    </row>
    <row r="5355" spans="24:25" x14ac:dyDescent="0.35">
      <c r="X5355" s="40"/>
      <c r="Y5355" s="40"/>
    </row>
    <row r="5356" spans="24:25" x14ac:dyDescent="0.35">
      <c r="X5356" s="40"/>
      <c r="Y5356" s="40"/>
    </row>
    <row r="5357" spans="24:25" x14ac:dyDescent="0.35">
      <c r="X5357" s="40"/>
      <c r="Y5357" s="40"/>
    </row>
    <row r="5358" spans="24:25" x14ac:dyDescent="0.35">
      <c r="X5358" s="40"/>
      <c r="Y5358" s="40"/>
    </row>
    <row r="5359" spans="24:25" x14ac:dyDescent="0.35">
      <c r="X5359" s="40"/>
      <c r="Y5359" s="40"/>
    </row>
    <row r="5360" spans="24:25" x14ac:dyDescent="0.35">
      <c r="X5360" s="40"/>
      <c r="Y5360" s="40"/>
    </row>
    <row r="5361" spans="24:25" x14ac:dyDescent="0.35">
      <c r="X5361" s="40"/>
      <c r="Y5361" s="40"/>
    </row>
    <row r="5362" spans="24:25" x14ac:dyDescent="0.35">
      <c r="X5362" s="40"/>
      <c r="Y5362" s="40"/>
    </row>
    <row r="5363" spans="24:25" x14ac:dyDescent="0.35">
      <c r="X5363" s="40"/>
      <c r="Y5363" s="40"/>
    </row>
    <row r="5364" spans="24:25" x14ac:dyDescent="0.35">
      <c r="X5364" s="40"/>
      <c r="Y5364" s="40"/>
    </row>
    <row r="5365" spans="24:25" x14ac:dyDescent="0.35">
      <c r="X5365" s="40"/>
      <c r="Y5365" s="40"/>
    </row>
    <row r="5366" spans="24:25" x14ac:dyDescent="0.35">
      <c r="X5366" s="40"/>
      <c r="Y5366" s="40"/>
    </row>
    <row r="5367" spans="24:25" x14ac:dyDescent="0.35">
      <c r="X5367" s="40"/>
      <c r="Y5367" s="40"/>
    </row>
    <row r="5368" spans="24:25" x14ac:dyDescent="0.35">
      <c r="X5368" s="40"/>
      <c r="Y5368" s="40"/>
    </row>
    <row r="5369" spans="24:25" x14ac:dyDescent="0.35">
      <c r="X5369" s="40"/>
      <c r="Y5369" s="40"/>
    </row>
    <row r="5370" spans="24:25" x14ac:dyDescent="0.35">
      <c r="X5370" s="40"/>
      <c r="Y5370" s="40"/>
    </row>
    <row r="5371" spans="24:25" x14ac:dyDescent="0.35">
      <c r="X5371" s="40"/>
      <c r="Y5371" s="40"/>
    </row>
    <row r="5372" spans="24:25" x14ac:dyDescent="0.35">
      <c r="X5372" s="40"/>
      <c r="Y5372" s="40"/>
    </row>
    <row r="5373" spans="24:25" x14ac:dyDescent="0.35">
      <c r="X5373" s="40"/>
      <c r="Y5373" s="40"/>
    </row>
    <row r="5374" spans="24:25" x14ac:dyDescent="0.35">
      <c r="X5374" s="40"/>
      <c r="Y5374" s="40"/>
    </row>
    <row r="5375" spans="24:25" x14ac:dyDescent="0.35">
      <c r="X5375" s="40"/>
      <c r="Y5375" s="40"/>
    </row>
    <row r="5376" spans="24:25" x14ac:dyDescent="0.35">
      <c r="X5376" s="40"/>
      <c r="Y5376" s="40"/>
    </row>
    <row r="5377" spans="24:25" x14ac:dyDescent="0.35">
      <c r="X5377" s="40"/>
      <c r="Y5377" s="40"/>
    </row>
    <row r="5378" spans="24:25" x14ac:dyDescent="0.35">
      <c r="X5378" s="40"/>
      <c r="Y5378" s="40"/>
    </row>
    <row r="5379" spans="24:25" x14ac:dyDescent="0.35">
      <c r="X5379" s="40"/>
      <c r="Y5379" s="40"/>
    </row>
    <row r="5380" spans="24:25" x14ac:dyDescent="0.35">
      <c r="X5380" s="40"/>
      <c r="Y5380" s="40"/>
    </row>
    <row r="5381" spans="24:25" x14ac:dyDescent="0.35">
      <c r="X5381" s="40"/>
      <c r="Y5381" s="40"/>
    </row>
    <row r="5382" spans="24:25" x14ac:dyDescent="0.35">
      <c r="X5382" s="40"/>
      <c r="Y5382" s="40"/>
    </row>
    <row r="5383" spans="24:25" x14ac:dyDescent="0.35">
      <c r="X5383" s="40"/>
      <c r="Y5383" s="40"/>
    </row>
    <row r="5384" spans="24:25" x14ac:dyDescent="0.35">
      <c r="X5384" s="40"/>
      <c r="Y5384" s="40"/>
    </row>
    <row r="5385" spans="24:25" x14ac:dyDescent="0.35">
      <c r="X5385" s="40"/>
      <c r="Y5385" s="40"/>
    </row>
    <row r="5386" spans="24:25" x14ac:dyDescent="0.35">
      <c r="X5386" s="40"/>
      <c r="Y5386" s="40"/>
    </row>
    <row r="5387" spans="24:25" x14ac:dyDescent="0.35">
      <c r="X5387" s="40"/>
      <c r="Y5387" s="40"/>
    </row>
    <row r="5388" spans="24:25" x14ac:dyDescent="0.35">
      <c r="X5388" s="40"/>
      <c r="Y5388" s="40"/>
    </row>
    <row r="5389" spans="24:25" x14ac:dyDescent="0.35">
      <c r="X5389" s="40"/>
      <c r="Y5389" s="40"/>
    </row>
    <row r="5390" spans="24:25" x14ac:dyDescent="0.35">
      <c r="X5390" s="40"/>
      <c r="Y5390" s="40"/>
    </row>
    <row r="5391" spans="24:25" x14ac:dyDescent="0.35">
      <c r="X5391" s="40"/>
      <c r="Y5391" s="40"/>
    </row>
    <row r="5392" spans="24:25" x14ac:dyDescent="0.35">
      <c r="X5392" s="40"/>
      <c r="Y5392" s="40"/>
    </row>
    <row r="5393" spans="24:25" x14ac:dyDescent="0.35">
      <c r="X5393" s="40"/>
      <c r="Y5393" s="40"/>
    </row>
    <row r="5394" spans="24:25" x14ac:dyDescent="0.35">
      <c r="X5394" s="40"/>
      <c r="Y5394" s="40"/>
    </row>
    <row r="5395" spans="24:25" x14ac:dyDescent="0.35">
      <c r="X5395" s="40"/>
      <c r="Y5395" s="40"/>
    </row>
    <row r="5396" spans="24:25" x14ac:dyDescent="0.35">
      <c r="X5396" s="40"/>
      <c r="Y5396" s="40"/>
    </row>
    <row r="5397" spans="24:25" x14ac:dyDescent="0.35">
      <c r="X5397" s="40"/>
      <c r="Y5397" s="40"/>
    </row>
    <row r="5398" spans="24:25" x14ac:dyDescent="0.35">
      <c r="X5398" s="40"/>
      <c r="Y5398" s="40"/>
    </row>
    <row r="5399" spans="24:25" x14ac:dyDescent="0.35">
      <c r="X5399" s="40"/>
      <c r="Y5399" s="40"/>
    </row>
    <row r="5400" spans="24:25" x14ac:dyDescent="0.35">
      <c r="X5400" s="40"/>
      <c r="Y5400" s="40"/>
    </row>
    <row r="5401" spans="24:25" x14ac:dyDescent="0.35">
      <c r="X5401" s="40"/>
      <c r="Y5401" s="40"/>
    </row>
    <row r="5402" spans="24:25" x14ac:dyDescent="0.35">
      <c r="X5402" s="40"/>
      <c r="Y5402" s="40"/>
    </row>
    <row r="5403" spans="24:25" x14ac:dyDescent="0.35">
      <c r="X5403" s="40"/>
      <c r="Y5403" s="40"/>
    </row>
    <row r="5404" spans="24:25" x14ac:dyDescent="0.35">
      <c r="X5404" s="40"/>
      <c r="Y5404" s="40"/>
    </row>
    <row r="5405" spans="24:25" x14ac:dyDescent="0.35">
      <c r="X5405" s="40"/>
      <c r="Y5405" s="40"/>
    </row>
    <row r="5406" spans="24:25" x14ac:dyDescent="0.35">
      <c r="X5406" s="40"/>
      <c r="Y5406" s="40"/>
    </row>
    <row r="5407" spans="24:25" x14ac:dyDescent="0.35">
      <c r="X5407" s="40"/>
      <c r="Y5407" s="40"/>
    </row>
    <row r="5408" spans="24:25" x14ac:dyDescent="0.35">
      <c r="X5408" s="40"/>
      <c r="Y5408" s="40"/>
    </row>
    <row r="5409" spans="24:25" x14ac:dyDescent="0.35">
      <c r="X5409" s="40"/>
      <c r="Y5409" s="40"/>
    </row>
    <row r="5410" spans="24:25" x14ac:dyDescent="0.35">
      <c r="X5410" s="40"/>
      <c r="Y5410" s="40"/>
    </row>
    <row r="5411" spans="24:25" x14ac:dyDescent="0.35">
      <c r="X5411" s="40"/>
      <c r="Y5411" s="40"/>
    </row>
    <row r="5412" spans="24:25" x14ac:dyDescent="0.35">
      <c r="X5412" s="40"/>
      <c r="Y5412" s="40"/>
    </row>
    <row r="5413" spans="24:25" x14ac:dyDescent="0.35">
      <c r="X5413" s="40"/>
      <c r="Y5413" s="40"/>
    </row>
    <row r="5414" spans="24:25" x14ac:dyDescent="0.35">
      <c r="X5414" s="40"/>
      <c r="Y5414" s="40"/>
    </row>
    <row r="5415" spans="24:25" x14ac:dyDescent="0.35">
      <c r="X5415" s="40"/>
      <c r="Y5415" s="40"/>
    </row>
    <row r="5416" spans="24:25" x14ac:dyDescent="0.35">
      <c r="X5416" s="40"/>
      <c r="Y5416" s="40"/>
    </row>
    <row r="5417" spans="24:25" x14ac:dyDescent="0.35">
      <c r="X5417" s="40"/>
      <c r="Y5417" s="40"/>
    </row>
    <row r="5418" spans="24:25" x14ac:dyDescent="0.35">
      <c r="X5418" s="40"/>
      <c r="Y5418" s="40"/>
    </row>
    <row r="5419" spans="24:25" x14ac:dyDescent="0.35">
      <c r="X5419" s="40"/>
      <c r="Y5419" s="40"/>
    </row>
    <row r="5420" spans="24:25" x14ac:dyDescent="0.35">
      <c r="X5420" s="40"/>
      <c r="Y5420" s="40"/>
    </row>
    <row r="5421" spans="24:25" x14ac:dyDescent="0.35">
      <c r="X5421" s="40"/>
      <c r="Y5421" s="40"/>
    </row>
    <row r="5422" spans="24:25" x14ac:dyDescent="0.35">
      <c r="X5422" s="40"/>
      <c r="Y5422" s="40"/>
    </row>
    <row r="5423" spans="24:25" x14ac:dyDescent="0.35">
      <c r="X5423" s="40"/>
      <c r="Y5423" s="40"/>
    </row>
    <row r="5424" spans="24:25" x14ac:dyDescent="0.35">
      <c r="X5424" s="40"/>
      <c r="Y5424" s="40"/>
    </row>
    <row r="5425" spans="24:25" x14ac:dyDescent="0.35">
      <c r="X5425" s="40"/>
      <c r="Y5425" s="40"/>
    </row>
    <row r="5426" spans="24:25" x14ac:dyDescent="0.35">
      <c r="X5426" s="40"/>
      <c r="Y5426" s="40"/>
    </row>
    <row r="5427" spans="24:25" x14ac:dyDescent="0.35">
      <c r="X5427" s="40"/>
      <c r="Y5427" s="40"/>
    </row>
    <row r="5428" spans="24:25" x14ac:dyDescent="0.35">
      <c r="X5428" s="40"/>
      <c r="Y5428" s="40"/>
    </row>
    <row r="5429" spans="24:25" x14ac:dyDescent="0.35">
      <c r="X5429" s="40"/>
      <c r="Y5429" s="40"/>
    </row>
    <row r="5430" spans="24:25" x14ac:dyDescent="0.35">
      <c r="X5430" s="40"/>
      <c r="Y5430" s="40"/>
    </row>
    <row r="5431" spans="24:25" x14ac:dyDescent="0.35">
      <c r="X5431" s="40"/>
      <c r="Y5431" s="40"/>
    </row>
    <row r="5432" spans="24:25" x14ac:dyDescent="0.35">
      <c r="X5432" s="40"/>
      <c r="Y5432" s="40"/>
    </row>
    <row r="5433" spans="24:25" x14ac:dyDescent="0.35">
      <c r="X5433" s="40"/>
      <c r="Y5433" s="40"/>
    </row>
    <row r="5434" spans="24:25" x14ac:dyDescent="0.35">
      <c r="X5434" s="40"/>
      <c r="Y5434" s="40"/>
    </row>
    <row r="5435" spans="24:25" x14ac:dyDescent="0.35">
      <c r="X5435" s="40"/>
      <c r="Y5435" s="40"/>
    </row>
    <row r="5436" spans="24:25" x14ac:dyDescent="0.35">
      <c r="X5436" s="40"/>
      <c r="Y5436" s="40"/>
    </row>
    <row r="5437" spans="24:25" x14ac:dyDescent="0.35">
      <c r="X5437" s="40"/>
      <c r="Y5437" s="40"/>
    </row>
    <row r="5438" spans="24:25" x14ac:dyDescent="0.35">
      <c r="X5438" s="40"/>
      <c r="Y5438" s="40"/>
    </row>
    <row r="5439" spans="24:25" x14ac:dyDescent="0.35">
      <c r="X5439" s="40"/>
      <c r="Y5439" s="40"/>
    </row>
    <row r="5440" spans="24:25" x14ac:dyDescent="0.35">
      <c r="X5440" s="40"/>
      <c r="Y5440" s="40"/>
    </row>
    <row r="5441" spans="24:25" x14ac:dyDescent="0.35">
      <c r="X5441" s="40"/>
      <c r="Y5441" s="40"/>
    </row>
    <row r="5442" spans="24:25" x14ac:dyDescent="0.35">
      <c r="X5442" s="40"/>
      <c r="Y5442" s="40"/>
    </row>
    <row r="5443" spans="24:25" x14ac:dyDescent="0.35">
      <c r="X5443" s="40"/>
      <c r="Y5443" s="40"/>
    </row>
    <row r="5444" spans="24:25" x14ac:dyDescent="0.35">
      <c r="X5444" s="40"/>
      <c r="Y5444" s="40"/>
    </row>
    <row r="5445" spans="24:25" x14ac:dyDescent="0.35">
      <c r="X5445" s="40"/>
      <c r="Y5445" s="40"/>
    </row>
    <row r="5446" spans="24:25" x14ac:dyDescent="0.35">
      <c r="X5446" s="40"/>
      <c r="Y5446" s="40"/>
    </row>
    <row r="5447" spans="24:25" x14ac:dyDescent="0.35">
      <c r="X5447" s="40"/>
      <c r="Y5447" s="40"/>
    </row>
    <row r="5448" spans="24:25" x14ac:dyDescent="0.35">
      <c r="X5448" s="40"/>
      <c r="Y5448" s="40"/>
    </row>
    <row r="5449" spans="24:25" x14ac:dyDescent="0.35">
      <c r="X5449" s="40"/>
      <c r="Y5449" s="40"/>
    </row>
    <row r="5450" spans="24:25" x14ac:dyDescent="0.35">
      <c r="X5450" s="40"/>
      <c r="Y5450" s="40"/>
    </row>
    <row r="5451" spans="24:25" x14ac:dyDescent="0.35">
      <c r="X5451" s="40"/>
      <c r="Y5451" s="40"/>
    </row>
    <row r="5452" spans="24:25" x14ac:dyDescent="0.35">
      <c r="X5452" s="40"/>
      <c r="Y5452" s="40"/>
    </row>
    <row r="5453" spans="24:25" x14ac:dyDescent="0.35">
      <c r="X5453" s="40"/>
      <c r="Y5453" s="40"/>
    </row>
    <row r="5454" spans="24:25" x14ac:dyDescent="0.35">
      <c r="X5454" s="40"/>
      <c r="Y5454" s="40"/>
    </row>
    <row r="5455" spans="24:25" x14ac:dyDescent="0.35">
      <c r="X5455" s="40"/>
      <c r="Y5455" s="40"/>
    </row>
    <row r="5456" spans="24:25" x14ac:dyDescent="0.35">
      <c r="X5456" s="40"/>
      <c r="Y5456" s="40"/>
    </row>
    <row r="5457" spans="24:25" x14ac:dyDescent="0.35">
      <c r="X5457" s="40"/>
      <c r="Y5457" s="40"/>
    </row>
    <row r="5458" spans="24:25" x14ac:dyDescent="0.35">
      <c r="X5458" s="40"/>
      <c r="Y5458" s="40"/>
    </row>
    <row r="5459" spans="24:25" x14ac:dyDescent="0.35">
      <c r="X5459" s="40"/>
      <c r="Y5459" s="40"/>
    </row>
    <row r="5460" spans="24:25" x14ac:dyDescent="0.35">
      <c r="X5460" s="40"/>
      <c r="Y5460" s="40"/>
    </row>
    <row r="5461" spans="24:25" x14ac:dyDescent="0.35">
      <c r="X5461" s="40"/>
      <c r="Y5461" s="40"/>
    </row>
    <row r="5462" spans="24:25" x14ac:dyDescent="0.35">
      <c r="X5462" s="40"/>
      <c r="Y5462" s="40"/>
    </row>
    <row r="5463" spans="24:25" x14ac:dyDescent="0.35">
      <c r="X5463" s="40"/>
      <c r="Y5463" s="40"/>
    </row>
    <row r="5464" spans="24:25" x14ac:dyDescent="0.35">
      <c r="X5464" s="40"/>
      <c r="Y5464" s="40"/>
    </row>
    <row r="5465" spans="24:25" x14ac:dyDescent="0.35">
      <c r="X5465" s="40"/>
      <c r="Y5465" s="40"/>
    </row>
    <row r="5466" spans="24:25" x14ac:dyDescent="0.35">
      <c r="X5466" s="40"/>
      <c r="Y5466" s="40"/>
    </row>
    <row r="5467" spans="24:25" x14ac:dyDescent="0.35">
      <c r="X5467" s="40"/>
      <c r="Y5467" s="40"/>
    </row>
    <row r="5468" spans="24:25" x14ac:dyDescent="0.35">
      <c r="X5468" s="40"/>
      <c r="Y5468" s="40"/>
    </row>
    <row r="5469" spans="24:25" x14ac:dyDescent="0.35">
      <c r="X5469" s="40"/>
      <c r="Y5469" s="40"/>
    </row>
    <row r="5470" spans="24:25" x14ac:dyDescent="0.35">
      <c r="X5470" s="40"/>
      <c r="Y5470" s="40"/>
    </row>
    <row r="5471" spans="24:25" x14ac:dyDescent="0.35">
      <c r="X5471" s="40"/>
      <c r="Y5471" s="40"/>
    </row>
    <row r="5472" spans="24:25" x14ac:dyDescent="0.35">
      <c r="X5472" s="40"/>
      <c r="Y5472" s="40"/>
    </row>
    <row r="5473" spans="24:25" x14ac:dyDescent="0.35">
      <c r="X5473" s="40"/>
      <c r="Y5473" s="40"/>
    </row>
    <row r="5474" spans="24:25" x14ac:dyDescent="0.35">
      <c r="X5474" s="40"/>
      <c r="Y5474" s="40"/>
    </row>
    <row r="5475" spans="24:25" x14ac:dyDescent="0.35">
      <c r="X5475" s="40"/>
      <c r="Y5475" s="40"/>
    </row>
    <row r="5476" spans="24:25" x14ac:dyDescent="0.35">
      <c r="X5476" s="40"/>
      <c r="Y5476" s="40"/>
    </row>
    <row r="5477" spans="24:25" x14ac:dyDescent="0.35">
      <c r="X5477" s="40"/>
      <c r="Y5477" s="40"/>
    </row>
    <row r="5478" spans="24:25" x14ac:dyDescent="0.35">
      <c r="X5478" s="40"/>
      <c r="Y5478" s="40"/>
    </row>
    <row r="5479" spans="24:25" x14ac:dyDescent="0.35">
      <c r="X5479" s="40"/>
      <c r="Y5479" s="40"/>
    </row>
    <row r="5480" spans="24:25" x14ac:dyDescent="0.35">
      <c r="X5480" s="40"/>
      <c r="Y5480" s="40"/>
    </row>
    <row r="5481" spans="24:25" x14ac:dyDescent="0.35">
      <c r="X5481" s="40"/>
      <c r="Y5481" s="40"/>
    </row>
    <row r="5482" spans="24:25" x14ac:dyDescent="0.35">
      <c r="X5482" s="40"/>
      <c r="Y5482" s="40"/>
    </row>
    <row r="5483" spans="24:25" x14ac:dyDescent="0.35">
      <c r="X5483" s="40"/>
      <c r="Y5483" s="40"/>
    </row>
    <row r="5484" spans="24:25" x14ac:dyDescent="0.35">
      <c r="X5484" s="40"/>
      <c r="Y5484" s="40"/>
    </row>
    <row r="5485" spans="24:25" x14ac:dyDescent="0.35">
      <c r="X5485" s="40"/>
      <c r="Y5485" s="40"/>
    </row>
    <row r="5486" spans="24:25" x14ac:dyDescent="0.35">
      <c r="X5486" s="40"/>
      <c r="Y5486" s="40"/>
    </row>
    <row r="5487" spans="24:25" x14ac:dyDescent="0.35">
      <c r="X5487" s="40"/>
      <c r="Y5487" s="40"/>
    </row>
    <row r="5488" spans="24:25" x14ac:dyDescent="0.35">
      <c r="X5488" s="40"/>
      <c r="Y5488" s="40"/>
    </row>
    <row r="5489" spans="24:25" x14ac:dyDescent="0.35">
      <c r="X5489" s="40"/>
      <c r="Y5489" s="40"/>
    </row>
    <row r="5490" spans="24:25" x14ac:dyDescent="0.35">
      <c r="X5490" s="40"/>
      <c r="Y5490" s="40"/>
    </row>
    <row r="5491" spans="24:25" x14ac:dyDescent="0.35">
      <c r="X5491" s="40"/>
      <c r="Y5491" s="40"/>
    </row>
    <row r="5492" spans="24:25" x14ac:dyDescent="0.35">
      <c r="X5492" s="40"/>
      <c r="Y5492" s="40"/>
    </row>
    <row r="5493" spans="24:25" x14ac:dyDescent="0.35">
      <c r="X5493" s="40"/>
      <c r="Y5493" s="40"/>
    </row>
    <row r="5494" spans="24:25" x14ac:dyDescent="0.35">
      <c r="X5494" s="40"/>
      <c r="Y5494" s="40"/>
    </row>
    <row r="5495" spans="24:25" x14ac:dyDescent="0.35">
      <c r="X5495" s="40"/>
      <c r="Y5495" s="40"/>
    </row>
    <row r="5496" spans="24:25" x14ac:dyDescent="0.35">
      <c r="X5496" s="40"/>
      <c r="Y5496" s="40"/>
    </row>
    <row r="5497" spans="24:25" x14ac:dyDescent="0.35">
      <c r="X5497" s="40"/>
      <c r="Y5497" s="40"/>
    </row>
    <row r="5498" spans="24:25" x14ac:dyDescent="0.35">
      <c r="X5498" s="40"/>
      <c r="Y5498" s="40"/>
    </row>
    <row r="5499" spans="24:25" x14ac:dyDescent="0.35">
      <c r="X5499" s="40"/>
      <c r="Y5499" s="40"/>
    </row>
    <row r="5500" spans="24:25" x14ac:dyDescent="0.35">
      <c r="X5500" s="40"/>
      <c r="Y5500" s="40"/>
    </row>
    <row r="5501" spans="24:25" x14ac:dyDescent="0.35">
      <c r="X5501" s="40"/>
      <c r="Y5501" s="40"/>
    </row>
    <row r="5502" spans="24:25" x14ac:dyDescent="0.35">
      <c r="X5502" s="40"/>
      <c r="Y5502" s="40"/>
    </row>
    <row r="5503" spans="24:25" x14ac:dyDescent="0.35">
      <c r="X5503" s="40"/>
      <c r="Y5503" s="40"/>
    </row>
    <row r="5504" spans="24:25" x14ac:dyDescent="0.35">
      <c r="X5504" s="40"/>
      <c r="Y5504" s="40"/>
    </row>
    <row r="5505" spans="24:25" x14ac:dyDescent="0.35">
      <c r="X5505" s="40"/>
      <c r="Y5505" s="40"/>
    </row>
    <row r="5506" spans="24:25" x14ac:dyDescent="0.35">
      <c r="X5506" s="40"/>
      <c r="Y5506" s="40"/>
    </row>
    <row r="5507" spans="24:25" x14ac:dyDescent="0.35">
      <c r="X5507" s="40"/>
      <c r="Y5507" s="40"/>
    </row>
    <row r="5508" spans="24:25" x14ac:dyDescent="0.35">
      <c r="X5508" s="40"/>
      <c r="Y5508" s="40"/>
    </row>
    <row r="5509" spans="24:25" x14ac:dyDescent="0.35">
      <c r="X5509" s="40"/>
      <c r="Y5509" s="40"/>
    </row>
    <row r="5510" spans="24:25" x14ac:dyDescent="0.35">
      <c r="X5510" s="40"/>
      <c r="Y5510" s="40"/>
    </row>
    <row r="5511" spans="24:25" x14ac:dyDescent="0.35">
      <c r="X5511" s="40"/>
      <c r="Y5511" s="40"/>
    </row>
    <row r="5512" spans="24:25" x14ac:dyDescent="0.35">
      <c r="X5512" s="40"/>
      <c r="Y5512" s="40"/>
    </row>
    <row r="5513" spans="24:25" x14ac:dyDescent="0.35">
      <c r="X5513" s="40"/>
      <c r="Y5513" s="40"/>
    </row>
    <row r="5514" spans="24:25" x14ac:dyDescent="0.35">
      <c r="X5514" s="40"/>
      <c r="Y5514" s="40"/>
    </row>
    <row r="5515" spans="24:25" x14ac:dyDescent="0.35">
      <c r="X5515" s="40"/>
      <c r="Y5515" s="40"/>
    </row>
    <row r="5516" spans="24:25" x14ac:dyDescent="0.35">
      <c r="X5516" s="40"/>
      <c r="Y5516" s="40"/>
    </row>
    <row r="5517" spans="24:25" x14ac:dyDescent="0.35">
      <c r="X5517" s="40"/>
      <c r="Y5517" s="40"/>
    </row>
    <row r="5518" spans="24:25" x14ac:dyDescent="0.35">
      <c r="X5518" s="40"/>
      <c r="Y5518" s="40"/>
    </row>
    <row r="5519" spans="24:25" x14ac:dyDescent="0.35">
      <c r="X5519" s="40"/>
      <c r="Y5519" s="40"/>
    </row>
    <row r="5520" spans="24:25" x14ac:dyDescent="0.35">
      <c r="X5520" s="40"/>
      <c r="Y5520" s="40"/>
    </row>
    <row r="5521" spans="24:25" x14ac:dyDescent="0.35">
      <c r="X5521" s="40"/>
      <c r="Y5521" s="40"/>
    </row>
    <row r="5522" spans="24:25" x14ac:dyDescent="0.35">
      <c r="X5522" s="40"/>
      <c r="Y5522" s="40"/>
    </row>
    <row r="5523" spans="24:25" x14ac:dyDescent="0.35">
      <c r="X5523" s="40"/>
      <c r="Y5523" s="40"/>
    </row>
    <row r="5524" spans="24:25" x14ac:dyDescent="0.35">
      <c r="X5524" s="40"/>
      <c r="Y5524" s="40"/>
    </row>
    <row r="5525" spans="24:25" x14ac:dyDescent="0.35">
      <c r="X5525" s="40"/>
      <c r="Y5525" s="40"/>
    </row>
    <row r="5526" spans="24:25" x14ac:dyDescent="0.35">
      <c r="X5526" s="40"/>
      <c r="Y5526" s="40"/>
    </row>
    <row r="5527" spans="24:25" x14ac:dyDescent="0.35">
      <c r="X5527" s="40"/>
      <c r="Y5527" s="40"/>
    </row>
    <row r="5528" spans="24:25" x14ac:dyDescent="0.35">
      <c r="X5528" s="40"/>
      <c r="Y5528" s="40"/>
    </row>
    <row r="5529" spans="24:25" x14ac:dyDescent="0.35">
      <c r="X5529" s="40"/>
      <c r="Y5529" s="40"/>
    </row>
    <row r="5530" spans="24:25" x14ac:dyDescent="0.35">
      <c r="X5530" s="40"/>
      <c r="Y5530" s="40"/>
    </row>
    <row r="5531" spans="24:25" x14ac:dyDescent="0.35">
      <c r="X5531" s="40"/>
      <c r="Y5531" s="40"/>
    </row>
    <row r="5532" spans="24:25" x14ac:dyDescent="0.35">
      <c r="X5532" s="40"/>
      <c r="Y5532" s="40"/>
    </row>
    <row r="5533" spans="24:25" x14ac:dyDescent="0.35">
      <c r="X5533" s="40"/>
      <c r="Y5533" s="40"/>
    </row>
    <row r="5534" spans="24:25" x14ac:dyDescent="0.35">
      <c r="X5534" s="40"/>
      <c r="Y5534" s="40"/>
    </row>
    <row r="5535" spans="24:25" x14ac:dyDescent="0.35">
      <c r="X5535" s="40"/>
      <c r="Y5535" s="40"/>
    </row>
    <row r="5536" spans="24:25" x14ac:dyDescent="0.35">
      <c r="X5536" s="40"/>
      <c r="Y5536" s="40"/>
    </row>
    <row r="5537" spans="24:25" x14ac:dyDescent="0.35">
      <c r="X5537" s="40"/>
      <c r="Y5537" s="40"/>
    </row>
    <row r="5538" spans="24:25" x14ac:dyDescent="0.35">
      <c r="X5538" s="40"/>
      <c r="Y5538" s="40"/>
    </row>
    <row r="5539" spans="24:25" x14ac:dyDescent="0.35">
      <c r="X5539" s="40"/>
      <c r="Y5539" s="40"/>
    </row>
    <row r="5540" spans="24:25" x14ac:dyDescent="0.35">
      <c r="X5540" s="40"/>
      <c r="Y5540" s="40"/>
    </row>
    <row r="5541" spans="24:25" x14ac:dyDescent="0.35">
      <c r="X5541" s="40"/>
      <c r="Y5541" s="40"/>
    </row>
    <row r="5542" spans="24:25" x14ac:dyDescent="0.35">
      <c r="X5542" s="40"/>
      <c r="Y5542" s="40"/>
    </row>
    <row r="5543" spans="24:25" x14ac:dyDescent="0.35">
      <c r="X5543" s="40"/>
      <c r="Y5543" s="40"/>
    </row>
    <row r="5544" spans="24:25" x14ac:dyDescent="0.35">
      <c r="X5544" s="40"/>
      <c r="Y5544" s="40"/>
    </row>
    <row r="5545" spans="24:25" x14ac:dyDescent="0.35">
      <c r="X5545" s="40"/>
      <c r="Y5545" s="40"/>
    </row>
    <row r="5546" spans="24:25" x14ac:dyDescent="0.35">
      <c r="X5546" s="40"/>
      <c r="Y5546" s="40"/>
    </row>
    <row r="5547" spans="24:25" x14ac:dyDescent="0.35">
      <c r="X5547" s="40"/>
      <c r="Y5547" s="40"/>
    </row>
    <row r="5548" spans="24:25" x14ac:dyDescent="0.35">
      <c r="X5548" s="40"/>
      <c r="Y5548" s="40"/>
    </row>
    <row r="5549" spans="24:25" x14ac:dyDescent="0.35">
      <c r="X5549" s="40"/>
      <c r="Y5549" s="40"/>
    </row>
    <row r="5550" spans="24:25" x14ac:dyDescent="0.35">
      <c r="X5550" s="40"/>
      <c r="Y5550" s="40"/>
    </row>
    <row r="5551" spans="24:25" x14ac:dyDescent="0.35">
      <c r="X5551" s="40"/>
      <c r="Y5551" s="40"/>
    </row>
    <row r="5552" spans="24:25" x14ac:dyDescent="0.35">
      <c r="X5552" s="40"/>
      <c r="Y5552" s="40"/>
    </row>
    <row r="5553" spans="24:25" x14ac:dyDescent="0.35">
      <c r="X5553" s="40"/>
      <c r="Y5553" s="40"/>
    </row>
    <row r="5554" spans="24:25" x14ac:dyDescent="0.35">
      <c r="X5554" s="40"/>
      <c r="Y5554" s="40"/>
    </row>
    <row r="5555" spans="24:25" x14ac:dyDescent="0.35">
      <c r="X5555" s="40"/>
      <c r="Y5555" s="40"/>
    </row>
    <row r="5556" spans="24:25" x14ac:dyDescent="0.35">
      <c r="X5556" s="40"/>
      <c r="Y5556" s="40"/>
    </row>
    <row r="5557" spans="24:25" x14ac:dyDescent="0.35">
      <c r="X5557" s="40"/>
      <c r="Y5557" s="40"/>
    </row>
    <row r="5558" spans="24:25" x14ac:dyDescent="0.35">
      <c r="X5558" s="40"/>
      <c r="Y5558" s="40"/>
    </row>
    <row r="5559" spans="24:25" x14ac:dyDescent="0.35">
      <c r="X5559" s="40"/>
      <c r="Y5559" s="40"/>
    </row>
    <row r="5560" spans="24:25" x14ac:dyDescent="0.35">
      <c r="X5560" s="40"/>
      <c r="Y5560" s="40"/>
    </row>
    <row r="5561" spans="24:25" x14ac:dyDescent="0.35">
      <c r="X5561" s="40"/>
      <c r="Y5561" s="40"/>
    </row>
    <row r="5562" spans="24:25" x14ac:dyDescent="0.35">
      <c r="X5562" s="40"/>
      <c r="Y5562" s="40"/>
    </row>
    <row r="5563" spans="24:25" x14ac:dyDescent="0.35">
      <c r="X5563" s="40"/>
      <c r="Y5563" s="40"/>
    </row>
    <row r="5564" spans="24:25" x14ac:dyDescent="0.35">
      <c r="X5564" s="40"/>
      <c r="Y5564" s="40"/>
    </row>
    <row r="5565" spans="24:25" x14ac:dyDescent="0.35">
      <c r="X5565" s="40"/>
      <c r="Y5565" s="40"/>
    </row>
    <row r="5566" spans="24:25" x14ac:dyDescent="0.35">
      <c r="X5566" s="40"/>
      <c r="Y5566" s="40"/>
    </row>
    <row r="5567" spans="24:25" x14ac:dyDescent="0.35">
      <c r="X5567" s="40"/>
      <c r="Y5567" s="40"/>
    </row>
    <row r="5568" spans="24:25" x14ac:dyDescent="0.35">
      <c r="X5568" s="40"/>
      <c r="Y5568" s="40"/>
    </row>
    <row r="5569" spans="24:25" x14ac:dyDescent="0.35">
      <c r="X5569" s="40"/>
      <c r="Y5569" s="40"/>
    </row>
    <row r="5570" spans="24:25" x14ac:dyDescent="0.35">
      <c r="X5570" s="40"/>
      <c r="Y5570" s="40"/>
    </row>
    <row r="5571" spans="24:25" x14ac:dyDescent="0.35">
      <c r="X5571" s="40"/>
      <c r="Y5571" s="40"/>
    </row>
    <row r="5572" spans="24:25" x14ac:dyDescent="0.35">
      <c r="X5572" s="40"/>
      <c r="Y5572" s="40"/>
    </row>
    <row r="5573" spans="24:25" x14ac:dyDescent="0.35">
      <c r="X5573" s="40"/>
      <c r="Y5573" s="40"/>
    </row>
    <row r="5574" spans="24:25" x14ac:dyDescent="0.35">
      <c r="X5574" s="40"/>
      <c r="Y5574" s="40"/>
    </row>
    <row r="5575" spans="24:25" x14ac:dyDescent="0.35">
      <c r="X5575" s="40"/>
      <c r="Y5575" s="40"/>
    </row>
    <row r="5576" spans="24:25" x14ac:dyDescent="0.35">
      <c r="X5576" s="40"/>
      <c r="Y5576" s="40"/>
    </row>
    <row r="5577" spans="24:25" x14ac:dyDescent="0.35">
      <c r="X5577" s="40"/>
      <c r="Y5577" s="40"/>
    </row>
    <row r="5578" spans="24:25" x14ac:dyDescent="0.35">
      <c r="X5578" s="40"/>
      <c r="Y5578" s="40"/>
    </row>
    <row r="5579" spans="24:25" x14ac:dyDescent="0.35">
      <c r="X5579" s="40"/>
      <c r="Y5579" s="40"/>
    </row>
    <row r="5580" spans="24:25" x14ac:dyDescent="0.35">
      <c r="X5580" s="40"/>
      <c r="Y5580" s="40"/>
    </row>
    <row r="5581" spans="24:25" x14ac:dyDescent="0.35">
      <c r="X5581" s="40"/>
      <c r="Y5581" s="40"/>
    </row>
    <row r="5582" spans="24:25" x14ac:dyDescent="0.35">
      <c r="X5582" s="40"/>
      <c r="Y5582" s="40"/>
    </row>
    <row r="5583" spans="24:25" x14ac:dyDescent="0.35">
      <c r="X5583" s="40"/>
      <c r="Y5583" s="40"/>
    </row>
    <row r="5584" spans="24:25" x14ac:dyDescent="0.35">
      <c r="X5584" s="40"/>
      <c r="Y5584" s="40"/>
    </row>
    <row r="5585" spans="24:25" x14ac:dyDescent="0.35">
      <c r="X5585" s="40"/>
      <c r="Y5585" s="40"/>
    </row>
    <row r="5586" spans="24:25" x14ac:dyDescent="0.35">
      <c r="X5586" s="40"/>
      <c r="Y5586" s="40"/>
    </row>
    <row r="5587" spans="24:25" x14ac:dyDescent="0.35">
      <c r="X5587" s="40"/>
      <c r="Y5587" s="40"/>
    </row>
    <row r="5588" spans="24:25" x14ac:dyDescent="0.35">
      <c r="X5588" s="40"/>
      <c r="Y5588" s="40"/>
    </row>
    <row r="5589" spans="24:25" x14ac:dyDescent="0.35">
      <c r="X5589" s="40"/>
      <c r="Y5589" s="40"/>
    </row>
    <row r="5590" spans="24:25" x14ac:dyDescent="0.35">
      <c r="X5590" s="40"/>
      <c r="Y5590" s="40"/>
    </row>
    <row r="5591" spans="24:25" x14ac:dyDescent="0.35">
      <c r="X5591" s="40"/>
      <c r="Y5591" s="40"/>
    </row>
    <row r="5592" spans="24:25" x14ac:dyDescent="0.35">
      <c r="X5592" s="40"/>
      <c r="Y5592" s="40"/>
    </row>
    <row r="5593" spans="24:25" x14ac:dyDescent="0.35">
      <c r="X5593" s="40"/>
      <c r="Y5593" s="40"/>
    </row>
    <row r="5594" spans="24:25" x14ac:dyDescent="0.35">
      <c r="X5594" s="40"/>
      <c r="Y5594" s="40"/>
    </row>
    <row r="5595" spans="24:25" x14ac:dyDescent="0.35">
      <c r="X5595" s="40"/>
      <c r="Y5595" s="40"/>
    </row>
    <row r="5596" spans="24:25" x14ac:dyDescent="0.35">
      <c r="X5596" s="40"/>
      <c r="Y5596" s="40"/>
    </row>
    <row r="5597" spans="24:25" x14ac:dyDescent="0.35">
      <c r="X5597" s="40"/>
      <c r="Y5597" s="40"/>
    </row>
    <row r="5598" spans="24:25" x14ac:dyDescent="0.35">
      <c r="X5598" s="40"/>
      <c r="Y5598" s="40"/>
    </row>
    <row r="5599" spans="24:25" x14ac:dyDescent="0.35">
      <c r="X5599" s="40"/>
      <c r="Y5599" s="40"/>
    </row>
    <row r="5600" spans="24:25" x14ac:dyDescent="0.35">
      <c r="X5600" s="40"/>
      <c r="Y5600" s="40"/>
    </row>
    <row r="5601" spans="24:25" x14ac:dyDescent="0.35">
      <c r="X5601" s="40"/>
      <c r="Y5601" s="40"/>
    </row>
    <row r="5602" spans="24:25" x14ac:dyDescent="0.35">
      <c r="X5602" s="40"/>
      <c r="Y5602" s="40"/>
    </row>
    <row r="5603" spans="24:25" x14ac:dyDescent="0.35">
      <c r="X5603" s="40"/>
      <c r="Y5603" s="40"/>
    </row>
    <row r="5604" spans="24:25" x14ac:dyDescent="0.35">
      <c r="X5604" s="40"/>
      <c r="Y5604" s="40"/>
    </row>
    <row r="5605" spans="24:25" x14ac:dyDescent="0.35">
      <c r="X5605" s="40"/>
      <c r="Y5605" s="40"/>
    </row>
    <row r="5606" spans="24:25" x14ac:dyDescent="0.35">
      <c r="X5606" s="40"/>
      <c r="Y5606" s="40"/>
    </row>
    <row r="5607" spans="24:25" x14ac:dyDescent="0.35">
      <c r="X5607" s="40"/>
      <c r="Y5607" s="40"/>
    </row>
    <row r="5608" spans="24:25" x14ac:dyDescent="0.35">
      <c r="X5608" s="40"/>
      <c r="Y5608" s="40"/>
    </row>
    <row r="5609" spans="24:25" x14ac:dyDescent="0.35">
      <c r="X5609" s="40"/>
      <c r="Y5609" s="40"/>
    </row>
    <row r="5610" spans="24:25" x14ac:dyDescent="0.35">
      <c r="X5610" s="40"/>
      <c r="Y5610" s="40"/>
    </row>
    <row r="5611" spans="24:25" x14ac:dyDescent="0.35">
      <c r="X5611" s="40"/>
      <c r="Y5611" s="40"/>
    </row>
    <row r="5612" spans="24:25" x14ac:dyDescent="0.35">
      <c r="X5612" s="40"/>
      <c r="Y5612" s="40"/>
    </row>
    <row r="5613" spans="24:25" x14ac:dyDescent="0.35">
      <c r="X5613" s="40"/>
      <c r="Y5613" s="40"/>
    </row>
    <row r="5614" spans="24:25" x14ac:dyDescent="0.35">
      <c r="X5614" s="40"/>
      <c r="Y5614" s="40"/>
    </row>
    <row r="5615" spans="24:25" x14ac:dyDescent="0.35">
      <c r="X5615" s="40"/>
      <c r="Y5615" s="40"/>
    </row>
    <row r="5616" spans="24:25" x14ac:dyDescent="0.35">
      <c r="X5616" s="40"/>
      <c r="Y5616" s="40"/>
    </row>
    <row r="5617" spans="24:25" x14ac:dyDescent="0.35">
      <c r="X5617" s="40"/>
      <c r="Y5617" s="40"/>
    </row>
    <row r="5618" spans="24:25" x14ac:dyDescent="0.35">
      <c r="X5618" s="40"/>
      <c r="Y5618" s="40"/>
    </row>
    <row r="5619" spans="24:25" x14ac:dyDescent="0.35">
      <c r="X5619" s="40"/>
      <c r="Y5619" s="40"/>
    </row>
    <row r="5620" spans="24:25" x14ac:dyDescent="0.35">
      <c r="X5620" s="40"/>
      <c r="Y5620" s="40"/>
    </row>
    <row r="5621" spans="24:25" x14ac:dyDescent="0.35">
      <c r="X5621" s="40"/>
      <c r="Y5621" s="40"/>
    </row>
    <row r="5622" spans="24:25" x14ac:dyDescent="0.35">
      <c r="X5622" s="40"/>
      <c r="Y5622" s="40"/>
    </row>
    <row r="5623" spans="24:25" x14ac:dyDescent="0.35">
      <c r="X5623" s="40"/>
      <c r="Y5623" s="40"/>
    </row>
    <row r="5624" spans="24:25" x14ac:dyDescent="0.35">
      <c r="X5624" s="40"/>
      <c r="Y5624" s="40"/>
    </row>
    <row r="5625" spans="24:25" x14ac:dyDescent="0.35">
      <c r="X5625" s="40"/>
      <c r="Y5625" s="40"/>
    </row>
    <row r="5626" spans="24:25" x14ac:dyDescent="0.35">
      <c r="X5626" s="40"/>
      <c r="Y5626" s="40"/>
    </row>
    <row r="5627" spans="24:25" x14ac:dyDescent="0.35">
      <c r="X5627" s="40"/>
      <c r="Y5627" s="40"/>
    </row>
    <row r="5628" spans="24:25" x14ac:dyDescent="0.35">
      <c r="X5628" s="40"/>
      <c r="Y5628" s="40"/>
    </row>
    <row r="5629" spans="24:25" x14ac:dyDescent="0.35">
      <c r="X5629" s="40"/>
      <c r="Y5629" s="40"/>
    </row>
    <row r="5630" spans="24:25" x14ac:dyDescent="0.35">
      <c r="X5630" s="40"/>
      <c r="Y5630" s="40"/>
    </row>
    <row r="5631" spans="24:25" x14ac:dyDescent="0.35">
      <c r="X5631" s="40"/>
      <c r="Y5631" s="40"/>
    </row>
    <row r="5632" spans="24:25" x14ac:dyDescent="0.35">
      <c r="X5632" s="40"/>
      <c r="Y5632" s="40"/>
    </row>
    <row r="5633" spans="24:25" x14ac:dyDescent="0.35">
      <c r="X5633" s="40"/>
      <c r="Y5633" s="40"/>
    </row>
    <row r="5634" spans="24:25" x14ac:dyDescent="0.35">
      <c r="X5634" s="40"/>
      <c r="Y5634" s="40"/>
    </row>
    <row r="5635" spans="24:25" x14ac:dyDescent="0.35">
      <c r="X5635" s="40"/>
      <c r="Y5635" s="40"/>
    </row>
    <row r="5636" spans="24:25" x14ac:dyDescent="0.35">
      <c r="X5636" s="40"/>
      <c r="Y5636" s="40"/>
    </row>
    <row r="5637" spans="24:25" x14ac:dyDescent="0.35">
      <c r="X5637" s="40"/>
      <c r="Y5637" s="40"/>
    </row>
    <row r="5638" spans="24:25" x14ac:dyDescent="0.35">
      <c r="X5638" s="40"/>
      <c r="Y5638" s="40"/>
    </row>
    <row r="5639" spans="24:25" x14ac:dyDescent="0.35">
      <c r="X5639" s="40"/>
      <c r="Y5639" s="40"/>
    </row>
    <row r="5640" spans="24:25" x14ac:dyDescent="0.35">
      <c r="X5640" s="40"/>
      <c r="Y5640" s="40"/>
    </row>
    <row r="5641" spans="24:25" x14ac:dyDescent="0.35">
      <c r="X5641" s="40"/>
      <c r="Y5641" s="40"/>
    </row>
    <row r="5642" spans="24:25" x14ac:dyDescent="0.35">
      <c r="X5642" s="40"/>
      <c r="Y5642" s="40"/>
    </row>
    <row r="5643" spans="24:25" x14ac:dyDescent="0.35">
      <c r="X5643" s="40"/>
      <c r="Y5643" s="40"/>
    </row>
    <row r="5644" spans="24:25" x14ac:dyDescent="0.35">
      <c r="X5644" s="40"/>
      <c r="Y5644" s="40"/>
    </row>
    <row r="5645" spans="24:25" x14ac:dyDescent="0.35">
      <c r="X5645" s="40"/>
      <c r="Y5645" s="40"/>
    </row>
    <row r="5646" spans="24:25" x14ac:dyDescent="0.35">
      <c r="X5646" s="40"/>
      <c r="Y5646" s="40"/>
    </row>
    <row r="5647" spans="24:25" x14ac:dyDescent="0.35">
      <c r="X5647" s="40"/>
      <c r="Y5647" s="40"/>
    </row>
    <row r="5648" spans="24:25" x14ac:dyDescent="0.35">
      <c r="X5648" s="40"/>
      <c r="Y5648" s="40"/>
    </row>
    <row r="5649" spans="24:25" x14ac:dyDescent="0.35">
      <c r="X5649" s="40"/>
      <c r="Y5649" s="40"/>
    </row>
    <row r="5650" spans="24:25" x14ac:dyDescent="0.35">
      <c r="X5650" s="40"/>
      <c r="Y5650" s="40"/>
    </row>
    <row r="5651" spans="24:25" x14ac:dyDescent="0.35">
      <c r="X5651" s="40"/>
      <c r="Y5651" s="40"/>
    </row>
    <row r="5652" spans="24:25" x14ac:dyDescent="0.35">
      <c r="X5652" s="40"/>
      <c r="Y5652" s="40"/>
    </row>
    <row r="5653" spans="24:25" x14ac:dyDescent="0.35">
      <c r="X5653" s="40"/>
      <c r="Y5653" s="40"/>
    </row>
    <row r="5654" spans="24:25" x14ac:dyDescent="0.35">
      <c r="X5654" s="40"/>
      <c r="Y5654" s="40"/>
    </row>
    <row r="5655" spans="24:25" x14ac:dyDescent="0.35">
      <c r="X5655" s="40"/>
      <c r="Y5655" s="40"/>
    </row>
    <row r="5656" spans="24:25" x14ac:dyDescent="0.35">
      <c r="X5656" s="40"/>
      <c r="Y5656" s="40"/>
    </row>
    <row r="5657" spans="24:25" x14ac:dyDescent="0.35">
      <c r="X5657" s="40"/>
      <c r="Y5657" s="40"/>
    </row>
    <row r="5658" spans="24:25" x14ac:dyDescent="0.35">
      <c r="X5658" s="40"/>
      <c r="Y5658" s="40"/>
    </row>
    <row r="5659" spans="24:25" x14ac:dyDescent="0.35">
      <c r="X5659" s="40"/>
      <c r="Y5659" s="40"/>
    </row>
    <row r="5660" spans="24:25" x14ac:dyDescent="0.35">
      <c r="X5660" s="40"/>
      <c r="Y5660" s="40"/>
    </row>
    <row r="5661" spans="24:25" x14ac:dyDescent="0.35">
      <c r="X5661" s="40"/>
      <c r="Y5661" s="40"/>
    </row>
    <row r="5662" spans="24:25" x14ac:dyDescent="0.35">
      <c r="X5662" s="40"/>
      <c r="Y5662" s="40"/>
    </row>
    <row r="5663" spans="24:25" x14ac:dyDescent="0.35">
      <c r="X5663" s="40"/>
      <c r="Y5663" s="40"/>
    </row>
    <row r="5664" spans="24:25" x14ac:dyDescent="0.35">
      <c r="X5664" s="40"/>
      <c r="Y5664" s="40"/>
    </row>
    <row r="5665" spans="24:25" x14ac:dyDescent="0.35">
      <c r="X5665" s="40"/>
      <c r="Y5665" s="40"/>
    </row>
    <row r="5666" spans="24:25" x14ac:dyDescent="0.35">
      <c r="X5666" s="40"/>
      <c r="Y5666" s="40"/>
    </row>
    <row r="5667" spans="24:25" x14ac:dyDescent="0.35">
      <c r="X5667" s="40"/>
      <c r="Y5667" s="40"/>
    </row>
    <row r="5668" spans="24:25" x14ac:dyDescent="0.35">
      <c r="X5668" s="40"/>
      <c r="Y5668" s="40"/>
    </row>
    <row r="5669" spans="24:25" x14ac:dyDescent="0.35">
      <c r="X5669" s="40"/>
      <c r="Y5669" s="40"/>
    </row>
    <row r="5670" spans="24:25" x14ac:dyDescent="0.35">
      <c r="X5670" s="40"/>
      <c r="Y5670" s="40"/>
    </row>
    <row r="5671" spans="24:25" x14ac:dyDescent="0.35">
      <c r="X5671" s="40"/>
      <c r="Y5671" s="40"/>
    </row>
    <row r="5672" spans="24:25" x14ac:dyDescent="0.35">
      <c r="X5672" s="40"/>
      <c r="Y5672" s="40"/>
    </row>
    <row r="5673" spans="24:25" x14ac:dyDescent="0.35">
      <c r="X5673" s="40"/>
      <c r="Y5673" s="40"/>
    </row>
    <row r="5674" spans="24:25" x14ac:dyDescent="0.35">
      <c r="X5674" s="40"/>
      <c r="Y5674" s="40"/>
    </row>
    <row r="5675" spans="24:25" x14ac:dyDescent="0.35">
      <c r="X5675" s="40"/>
      <c r="Y5675" s="40"/>
    </row>
    <row r="5676" spans="24:25" x14ac:dyDescent="0.35">
      <c r="X5676" s="40"/>
      <c r="Y5676" s="40"/>
    </row>
    <row r="5677" spans="24:25" x14ac:dyDescent="0.35">
      <c r="X5677" s="40"/>
      <c r="Y5677" s="40"/>
    </row>
    <row r="5678" spans="24:25" x14ac:dyDescent="0.35">
      <c r="X5678" s="40"/>
      <c r="Y5678" s="40"/>
    </row>
    <row r="5679" spans="24:25" x14ac:dyDescent="0.35">
      <c r="X5679" s="40"/>
      <c r="Y5679" s="40"/>
    </row>
    <row r="5680" spans="24:25" x14ac:dyDescent="0.35">
      <c r="X5680" s="40"/>
      <c r="Y5680" s="40"/>
    </row>
    <row r="5681" spans="24:25" x14ac:dyDescent="0.35">
      <c r="X5681" s="40"/>
      <c r="Y5681" s="40"/>
    </row>
    <row r="5682" spans="24:25" x14ac:dyDescent="0.35">
      <c r="X5682" s="40"/>
      <c r="Y5682" s="40"/>
    </row>
    <row r="5683" spans="24:25" x14ac:dyDescent="0.35">
      <c r="X5683" s="40"/>
      <c r="Y5683" s="40"/>
    </row>
    <row r="5684" spans="24:25" x14ac:dyDescent="0.35">
      <c r="X5684" s="40"/>
      <c r="Y5684" s="40"/>
    </row>
    <row r="5685" spans="24:25" x14ac:dyDescent="0.35">
      <c r="X5685" s="40"/>
      <c r="Y5685" s="40"/>
    </row>
    <row r="5686" spans="24:25" x14ac:dyDescent="0.35">
      <c r="X5686" s="40"/>
      <c r="Y5686" s="40"/>
    </row>
    <row r="5687" spans="24:25" x14ac:dyDescent="0.35">
      <c r="X5687" s="40"/>
      <c r="Y5687" s="40"/>
    </row>
    <row r="5688" spans="24:25" x14ac:dyDescent="0.35">
      <c r="X5688" s="40"/>
      <c r="Y5688" s="40"/>
    </row>
    <row r="5689" spans="24:25" x14ac:dyDescent="0.35">
      <c r="X5689" s="40"/>
      <c r="Y5689" s="40"/>
    </row>
    <row r="5690" spans="24:25" x14ac:dyDescent="0.35">
      <c r="X5690" s="40"/>
      <c r="Y5690" s="40"/>
    </row>
    <row r="5691" spans="24:25" x14ac:dyDescent="0.35">
      <c r="X5691" s="40"/>
      <c r="Y5691" s="40"/>
    </row>
    <row r="5692" spans="24:25" x14ac:dyDescent="0.35">
      <c r="X5692" s="40"/>
      <c r="Y5692" s="40"/>
    </row>
    <row r="5693" spans="24:25" x14ac:dyDescent="0.35">
      <c r="X5693" s="40"/>
      <c r="Y5693" s="40"/>
    </row>
    <row r="5694" spans="24:25" x14ac:dyDescent="0.35">
      <c r="X5694" s="40"/>
      <c r="Y5694" s="40"/>
    </row>
    <row r="5695" spans="24:25" x14ac:dyDescent="0.35">
      <c r="X5695" s="40"/>
      <c r="Y5695" s="40"/>
    </row>
    <row r="5696" spans="24:25" x14ac:dyDescent="0.35">
      <c r="X5696" s="40"/>
      <c r="Y5696" s="40"/>
    </row>
    <row r="5697" spans="24:25" x14ac:dyDescent="0.35">
      <c r="X5697" s="40"/>
      <c r="Y5697" s="40"/>
    </row>
    <row r="5698" spans="24:25" x14ac:dyDescent="0.35">
      <c r="X5698" s="40"/>
      <c r="Y5698" s="40"/>
    </row>
    <row r="5699" spans="24:25" x14ac:dyDescent="0.35">
      <c r="X5699" s="40"/>
      <c r="Y5699" s="40"/>
    </row>
    <row r="5700" spans="24:25" x14ac:dyDescent="0.35">
      <c r="X5700" s="40"/>
      <c r="Y5700" s="40"/>
    </row>
    <row r="5701" spans="24:25" x14ac:dyDescent="0.35">
      <c r="X5701" s="40"/>
      <c r="Y5701" s="40"/>
    </row>
    <row r="5702" spans="24:25" x14ac:dyDescent="0.35">
      <c r="X5702" s="40"/>
      <c r="Y5702" s="40"/>
    </row>
    <row r="5703" spans="24:25" x14ac:dyDescent="0.35">
      <c r="X5703" s="40"/>
      <c r="Y5703" s="40"/>
    </row>
    <row r="5704" spans="24:25" x14ac:dyDescent="0.35">
      <c r="X5704" s="40"/>
      <c r="Y5704" s="40"/>
    </row>
    <row r="5705" spans="24:25" x14ac:dyDescent="0.35">
      <c r="X5705" s="40"/>
      <c r="Y5705" s="40"/>
    </row>
    <row r="5706" spans="24:25" x14ac:dyDescent="0.35">
      <c r="X5706" s="40"/>
      <c r="Y5706" s="40"/>
    </row>
    <row r="5707" spans="24:25" x14ac:dyDescent="0.35">
      <c r="X5707" s="40"/>
      <c r="Y5707" s="40"/>
    </row>
    <row r="5708" spans="24:25" x14ac:dyDescent="0.35">
      <c r="X5708" s="40"/>
      <c r="Y5708" s="40"/>
    </row>
    <row r="5709" spans="24:25" x14ac:dyDescent="0.35">
      <c r="X5709" s="40"/>
      <c r="Y5709" s="40"/>
    </row>
    <row r="5710" spans="24:25" x14ac:dyDescent="0.35">
      <c r="X5710" s="40"/>
      <c r="Y5710" s="40"/>
    </row>
    <row r="5711" spans="24:25" x14ac:dyDescent="0.35">
      <c r="X5711" s="40"/>
      <c r="Y5711" s="40"/>
    </row>
    <row r="5712" spans="24:25" x14ac:dyDescent="0.35">
      <c r="X5712" s="40"/>
      <c r="Y5712" s="40"/>
    </row>
    <row r="5713" spans="24:25" x14ac:dyDescent="0.35">
      <c r="X5713" s="40"/>
      <c r="Y5713" s="40"/>
    </row>
    <row r="5714" spans="24:25" x14ac:dyDescent="0.35">
      <c r="X5714" s="40"/>
      <c r="Y5714" s="40"/>
    </row>
    <row r="5715" spans="24:25" x14ac:dyDescent="0.35">
      <c r="X5715" s="40"/>
      <c r="Y5715" s="40"/>
    </row>
    <row r="5716" spans="24:25" x14ac:dyDescent="0.35">
      <c r="X5716" s="40"/>
      <c r="Y5716" s="40"/>
    </row>
    <row r="5717" spans="24:25" x14ac:dyDescent="0.35">
      <c r="X5717" s="40"/>
      <c r="Y5717" s="40"/>
    </row>
    <row r="5718" spans="24:25" x14ac:dyDescent="0.35">
      <c r="X5718" s="40"/>
      <c r="Y5718" s="40"/>
    </row>
    <row r="5719" spans="24:25" x14ac:dyDescent="0.35">
      <c r="X5719" s="40"/>
      <c r="Y5719" s="40"/>
    </row>
    <row r="5720" spans="24:25" x14ac:dyDescent="0.35">
      <c r="X5720" s="40"/>
      <c r="Y5720" s="40"/>
    </row>
    <row r="5721" spans="24:25" x14ac:dyDescent="0.35">
      <c r="X5721" s="40"/>
      <c r="Y5721" s="40"/>
    </row>
    <row r="5722" spans="24:25" x14ac:dyDescent="0.35">
      <c r="X5722" s="40"/>
      <c r="Y5722" s="40"/>
    </row>
    <row r="5723" spans="24:25" x14ac:dyDescent="0.35">
      <c r="X5723" s="40"/>
      <c r="Y5723" s="40"/>
    </row>
    <row r="5724" spans="24:25" x14ac:dyDescent="0.35">
      <c r="X5724" s="40"/>
      <c r="Y5724" s="40"/>
    </row>
    <row r="5725" spans="24:25" x14ac:dyDescent="0.35">
      <c r="X5725" s="40"/>
      <c r="Y5725" s="40"/>
    </row>
    <row r="5726" spans="24:25" x14ac:dyDescent="0.35">
      <c r="X5726" s="40"/>
      <c r="Y5726" s="40"/>
    </row>
    <row r="5727" spans="24:25" x14ac:dyDescent="0.35">
      <c r="X5727" s="40"/>
      <c r="Y5727" s="40"/>
    </row>
    <row r="5728" spans="24:25" x14ac:dyDescent="0.35">
      <c r="X5728" s="40"/>
      <c r="Y5728" s="40"/>
    </row>
    <row r="5729" spans="24:25" x14ac:dyDescent="0.35">
      <c r="X5729" s="40"/>
      <c r="Y5729" s="40"/>
    </row>
    <row r="5730" spans="24:25" x14ac:dyDescent="0.35">
      <c r="X5730" s="40"/>
      <c r="Y5730" s="40"/>
    </row>
    <row r="5731" spans="24:25" x14ac:dyDescent="0.35">
      <c r="X5731" s="40"/>
      <c r="Y5731" s="40"/>
    </row>
    <row r="5732" spans="24:25" x14ac:dyDescent="0.35">
      <c r="X5732" s="40"/>
      <c r="Y5732" s="40"/>
    </row>
    <row r="5733" spans="24:25" x14ac:dyDescent="0.35">
      <c r="X5733" s="40"/>
      <c r="Y5733" s="40"/>
    </row>
    <row r="5734" spans="24:25" x14ac:dyDescent="0.35">
      <c r="X5734" s="40"/>
      <c r="Y5734" s="40"/>
    </row>
    <row r="5735" spans="24:25" x14ac:dyDescent="0.35">
      <c r="X5735" s="40"/>
      <c r="Y5735" s="40"/>
    </row>
    <row r="5736" spans="24:25" x14ac:dyDescent="0.35">
      <c r="X5736" s="40"/>
      <c r="Y5736" s="40"/>
    </row>
    <row r="5737" spans="24:25" x14ac:dyDescent="0.35">
      <c r="X5737" s="40"/>
      <c r="Y5737" s="40"/>
    </row>
    <row r="5738" spans="24:25" x14ac:dyDescent="0.35">
      <c r="X5738" s="40"/>
      <c r="Y5738" s="40"/>
    </row>
    <row r="5739" spans="24:25" x14ac:dyDescent="0.35">
      <c r="X5739" s="40"/>
      <c r="Y5739" s="40"/>
    </row>
    <row r="5740" spans="24:25" x14ac:dyDescent="0.35">
      <c r="X5740" s="40"/>
      <c r="Y5740" s="40"/>
    </row>
    <row r="5741" spans="24:25" x14ac:dyDescent="0.35">
      <c r="X5741" s="40"/>
      <c r="Y5741" s="40"/>
    </row>
    <row r="5742" spans="24:25" x14ac:dyDescent="0.35">
      <c r="X5742" s="40"/>
      <c r="Y5742" s="40"/>
    </row>
    <row r="5743" spans="24:25" x14ac:dyDescent="0.35">
      <c r="X5743" s="40"/>
      <c r="Y5743" s="40"/>
    </row>
    <row r="5744" spans="24:25" x14ac:dyDescent="0.35">
      <c r="X5744" s="40"/>
      <c r="Y5744" s="40"/>
    </row>
    <row r="5745" spans="24:25" x14ac:dyDescent="0.35">
      <c r="X5745" s="40"/>
      <c r="Y5745" s="40"/>
    </row>
    <row r="5746" spans="24:25" x14ac:dyDescent="0.35">
      <c r="X5746" s="40"/>
      <c r="Y5746" s="40"/>
    </row>
    <row r="5747" spans="24:25" x14ac:dyDescent="0.35">
      <c r="X5747" s="40"/>
      <c r="Y5747" s="40"/>
    </row>
    <row r="5748" spans="24:25" x14ac:dyDescent="0.35">
      <c r="X5748" s="40"/>
      <c r="Y5748" s="40"/>
    </row>
    <row r="5749" spans="24:25" x14ac:dyDescent="0.35">
      <c r="X5749" s="40"/>
      <c r="Y5749" s="40"/>
    </row>
    <row r="5750" spans="24:25" x14ac:dyDescent="0.35">
      <c r="X5750" s="40"/>
      <c r="Y5750" s="40"/>
    </row>
    <row r="5751" spans="24:25" x14ac:dyDescent="0.35">
      <c r="X5751" s="40"/>
      <c r="Y5751" s="40"/>
    </row>
    <row r="5752" spans="24:25" x14ac:dyDescent="0.35">
      <c r="X5752" s="40"/>
      <c r="Y5752" s="40"/>
    </row>
    <row r="5753" spans="24:25" x14ac:dyDescent="0.35">
      <c r="X5753" s="40"/>
      <c r="Y5753" s="40"/>
    </row>
    <row r="5754" spans="24:25" x14ac:dyDescent="0.35">
      <c r="X5754" s="40"/>
      <c r="Y5754" s="40"/>
    </row>
    <row r="5755" spans="24:25" x14ac:dyDescent="0.35">
      <c r="X5755" s="40"/>
      <c r="Y5755" s="40"/>
    </row>
    <row r="5756" spans="24:25" x14ac:dyDescent="0.35">
      <c r="X5756" s="40"/>
      <c r="Y5756" s="40"/>
    </row>
    <row r="5757" spans="24:25" x14ac:dyDescent="0.35">
      <c r="X5757" s="40"/>
      <c r="Y5757" s="40"/>
    </row>
    <row r="5758" spans="24:25" x14ac:dyDescent="0.35">
      <c r="X5758" s="40"/>
      <c r="Y5758" s="40"/>
    </row>
    <row r="5759" spans="24:25" x14ac:dyDescent="0.35">
      <c r="X5759" s="40"/>
      <c r="Y5759" s="40"/>
    </row>
    <row r="5760" spans="24:25" x14ac:dyDescent="0.35">
      <c r="X5760" s="40"/>
      <c r="Y5760" s="40"/>
    </row>
    <row r="5761" spans="24:25" x14ac:dyDescent="0.35">
      <c r="X5761" s="40"/>
      <c r="Y5761" s="40"/>
    </row>
    <row r="5762" spans="24:25" x14ac:dyDescent="0.35">
      <c r="X5762" s="40"/>
      <c r="Y5762" s="40"/>
    </row>
    <row r="5763" spans="24:25" x14ac:dyDescent="0.35">
      <c r="X5763" s="40"/>
      <c r="Y5763" s="40"/>
    </row>
    <row r="5764" spans="24:25" x14ac:dyDescent="0.35">
      <c r="X5764" s="40"/>
      <c r="Y5764" s="40"/>
    </row>
    <row r="5765" spans="24:25" x14ac:dyDescent="0.35">
      <c r="X5765" s="40"/>
      <c r="Y5765" s="40"/>
    </row>
    <row r="5766" spans="24:25" x14ac:dyDescent="0.35">
      <c r="X5766" s="40"/>
      <c r="Y5766" s="40"/>
    </row>
    <row r="5767" spans="24:25" x14ac:dyDescent="0.35">
      <c r="X5767" s="40"/>
      <c r="Y5767" s="40"/>
    </row>
    <row r="5768" spans="24:25" x14ac:dyDescent="0.35">
      <c r="X5768" s="40"/>
      <c r="Y5768" s="40"/>
    </row>
    <row r="5769" spans="24:25" x14ac:dyDescent="0.35">
      <c r="X5769" s="40"/>
      <c r="Y5769" s="40"/>
    </row>
    <row r="5770" spans="24:25" x14ac:dyDescent="0.35">
      <c r="X5770" s="40"/>
      <c r="Y5770" s="40"/>
    </row>
    <row r="5771" spans="24:25" x14ac:dyDescent="0.35">
      <c r="X5771" s="40"/>
      <c r="Y5771" s="40"/>
    </row>
    <row r="5772" spans="24:25" x14ac:dyDescent="0.35">
      <c r="X5772" s="40"/>
      <c r="Y5772" s="40"/>
    </row>
    <row r="5773" spans="24:25" x14ac:dyDescent="0.35">
      <c r="X5773" s="40"/>
      <c r="Y5773" s="40"/>
    </row>
    <row r="5774" spans="24:25" x14ac:dyDescent="0.35">
      <c r="X5774" s="40"/>
      <c r="Y5774" s="40"/>
    </row>
    <row r="5775" spans="24:25" x14ac:dyDescent="0.35">
      <c r="X5775" s="40"/>
      <c r="Y5775" s="40"/>
    </row>
    <row r="5776" spans="24:25" x14ac:dyDescent="0.35">
      <c r="X5776" s="40"/>
      <c r="Y5776" s="40"/>
    </row>
    <row r="5777" spans="24:25" x14ac:dyDescent="0.35">
      <c r="X5777" s="40"/>
      <c r="Y5777" s="40"/>
    </row>
    <row r="5778" spans="24:25" x14ac:dyDescent="0.35">
      <c r="X5778" s="40"/>
      <c r="Y5778" s="40"/>
    </row>
    <row r="5779" spans="24:25" x14ac:dyDescent="0.35">
      <c r="X5779" s="40"/>
      <c r="Y5779" s="40"/>
    </row>
    <row r="5780" spans="24:25" x14ac:dyDescent="0.35">
      <c r="X5780" s="40"/>
      <c r="Y5780" s="40"/>
    </row>
    <row r="5781" spans="24:25" x14ac:dyDescent="0.35">
      <c r="X5781" s="40"/>
      <c r="Y5781" s="40"/>
    </row>
    <row r="5782" spans="24:25" x14ac:dyDescent="0.35">
      <c r="X5782" s="40"/>
      <c r="Y5782" s="40"/>
    </row>
    <row r="5783" spans="24:25" x14ac:dyDescent="0.35">
      <c r="X5783" s="40"/>
      <c r="Y5783" s="40"/>
    </row>
    <row r="5784" spans="24:25" x14ac:dyDescent="0.35">
      <c r="X5784" s="40"/>
      <c r="Y5784" s="40"/>
    </row>
    <row r="5785" spans="24:25" x14ac:dyDescent="0.35">
      <c r="X5785" s="40"/>
      <c r="Y5785" s="40"/>
    </row>
    <row r="5786" spans="24:25" x14ac:dyDescent="0.35">
      <c r="X5786" s="40"/>
      <c r="Y5786" s="40"/>
    </row>
    <row r="5787" spans="24:25" x14ac:dyDescent="0.35">
      <c r="X5787" s="40"/>
      <c r="Y5787" s="40"/>
    </row>
    <row r="5788" spans="24:25" x14ac:dyDescent="0.35">
      <c r="X5788" s="40"/>
      <c r="Y5788" s="40"/>
    </row>
    <row r="5789" spans="24:25" x14ac:dyDescent="0.35">
      <c r="X5789" s="40"/>
      <c r="Y5789" s="40"/>
    </row>
    <row r="5790" spans="24:25" x14ac:dyDescent="0.35">
      <c r="X5790" s="40"/>
      <c r="Y5790" s="40"/>
    </row>
    <row r="5791" spans="24:25" x14ac:dyDescent="0.35">
      <c r="X5791" s="40"/>
      <c r="Y5791" s="40"/>
    </row>
    <row r="5792" spans="24:25" x14ac:dyDescent="0.35">
      <c r="X5792" s="40"/>
      <c r="Y5792" s="40"/>
    </row>
    <row r="5793" spans="24:25" x14ac:dyDescent="0.35">
      <c r="X5793" s="40"/>
      <c r="Y5793" s="40"/>
    </row>
    <row r="5794" spans="24:25" x14ac:dyDescent="0.35">
      <c r="X5794" s="40"/>
      <c r="Y5794" s="40"/>
    </row>
    <row r="5795" spans="24:25" x14ac:dyDescent="0.35">
      <c r="X5795" s="40"/>
      <c r="Y5795" s="40"/>
    </row>
    <row r="5796" spans="24:25" x14ac:dyDescent="0.35">
      <c r="X5796" s="40"/>
      <c r="Y5796" s="40"/>
    </row>
    <row r="5797" spans="24:25" x14ac:dyDescent="0.35">
      <c r="X5797" s="40"/>
      <c r="Y5797" s="40"/>
    </row>
    <row r="5798" spans="24:25" x14ac:dyDescent="0.35">
      <c r="X5798" s="40"/>
      <c r="Y5798" s="40"/>
    </row>
    <row r="5799" spans="24:25" x14ac:dyDescent="0.35">
      <c r="X5799" s="40"/>
      <c r="Y5799" s="40"/>
    </row>
    <row r="5800" spans="24:25" x14ac:dyDescent="0.35">
      <c r="X5800" s="40"/>
      <c r="Y5800" s="40"/>
    </row>
    <row r="5801" spans="24:25" x14ac:dyDescent="0.35">
      <c r="X5801" s="40"/>
      <c r="Y5801" s="40"/>
    </row>
    <row r="5802" spans="24:25" x14ac:dyDescent="0.35">
      <c r="X5802" s="40"/>
      <c r="Y5802" s="40"/>
    </row>
    <row r="5803" spans="24:25" x14ac:dyDescent="0.35">
      <c r="X5803" s="40"/>
      <c r="Y5803" s="40"/>
    </row>
    <row r="5804" spans="24:25" x14ac:dyDescent="0.35">
      <c r="X5804" s="40"/>
      <c r="Y5804" s="40"/>
    </row>
    <row r="5805" spans="24:25" x14ac:dyDescent="0.35">
      <c r="X5805" s="40"/>
      <c r="Y5805" s="40"/>
    </row>
    <row r="5806" spans="24:25" x14ac:dyDescent="0.35">
      <c r="X5806" s="40"/>
      <c r="Y5806" s="40"/>
    </row>
    <row r="5807" spans="24:25" x14ac:dyDescent="0.35">
      <c r="X5807" s="40"/>
      <c r="Y5807" s="40"/>
    </row>
    <row r="5808" spans="24:25" x14ac:dyDescent="0.35">
      <c r="X5808" s="40"/>
      <c r="Y5808" s="40"/>
    </row>
    <row r="5809" spans="24:25" x14ac:dyDescent="0.35">
      <c r="X5809" s="40"/>
      <c r="Y5809" s="40"/>
    </row>
    <row r="5810" spans="24:25" x14ac:dyDescent="0.35">
      <c r="X5810" s="40"/>
      <c r="Y5810" s="40"/>
    </row>
    <row r="5811" spans="24:25" x14ac:dyDescent="0.35">
      <c r="X5811" s="40"/>
      <c r="Y5811" s="40"/>
    </row>
    <row r="5812" spans="24:25" x14ac:dyDescent="0.35">
      <c r="X5812" s="40"/>
      <c r="Y5812" s="40"/>
    </row>
    <row r="5813" spans="24:25" x14ac:dyDescent="0.35">
      <c r="X5813" s="40"/>
      <c r="Y5813" s="40"/>
    </row>
    <row r="5814" spans="24:25" x14ac:dyDescent="0.35">
      <c r="X5814" s="40"/>
      <c r="Y5814" s="40"/>
    </row>
    <row r="5815" spans="24:25" x14ac:dyDescent="0.35">
      <c r="X5815" s="40"/>
      <c r="Y5815" s="40"/>
    </row>
    <row r="5816" spans="24:25" x14ac:dyDescent="0.35">
      <c r="X5816" s="40"/>
      <c r="Y5816" s="40"/>
    </row>
    <row r="5817" spans="24:25" x14ac:dyDescent="0.35">
      <c r="X5817" s="40"/>
      <c r="Y5817" s="40"/>
    </row>
    <row r="5818" spans="24:25" x14ac:dyDescent="0.35">
      <c r="X5818" s="40"/>
      <c r="Y5818" s="40"/>
    </row>
    <row r="5819" spans="24:25" x14ac:dyDescent="0.35">
      <c r="X5819" s="40"/>
      <c r="Y5819" s="40"/>
    </row>
    <row r="5820" spans="24:25" x14ac:dyDescent="0.35">
      <c r="X5820" s="40"/>
      <c r="Y5820" s="40"/>
    </row>
    <row r="5821" spans="24:25" x14ac:dyDescent="0.35">
      <c r="X5821" s="40"/>
      <c r="Y5821" s="40"/>
    </row>
    <row r="5822" spans="24:25" x14ac:dyDescent="0.35">
      <c r="X5822" s="40"/>
      <c r="Y5822" s="40"/>
    </row>
    <row r="5823" spans="24:25" x14ac:dyDescent="0.35">
      <c r="X5823" s="40"/>
      <c r="Y5823" s="40"/>
    </row>
    <row r="5824" spans="24:25" x14ac:dyDescent="0.35">
      <c r="X5824" s="40"/>
      <c r="Y5824" s="40"/>
    </row>
    <row r="5825" spans="24:25" x14ac:dyDescent="0.35">
      <c r="X5825" s="40"/>
      <c r="Y5825" s="40"/>
    </row>
    <row r="5826" spans="24:25" x14ac:dyDescent="0.35">
      <c r="X5826" s="40"/>
      <c r="Y5826" s="40"/>
    </row>
    <row r="5827" spans="24:25" x14ac:dyDescent="0.35">
      <c r="X5827" s="40"/>
      <c r="Y5827" s="40"/>
    </row>
    <row r="5828" spans="24:25" x14ac:dyDescent="0.35">
      <c r="X5828" s="40"/>
      <c r="Y5828" s="40"/>
    </row>
    <row r="5829" spans="24:25" x14ac:dyDescent="0.35">
      <c r="X5829" s="40"/>
      <c r="Y5829" s="40"/>
    </row>
    <row r="5830" spans="24:25" x14ac:dyDescent="0.35">
      <c r="X5830" s="40"/>
      <c r="Y5830" s="40"/>
    </row>
    <row r="5831" spans="24:25" x14ac:dyDescent="0.35">
      <c r="X5831" s="40"/>
      <c r="Y5831" s="40"/>
    </row>
    <row r="5832" spans="24:25" x14ac:dyDescent="0.35">
      <c r="X5832" s="40"/>
      <c r="Y5832" s="40"/>
    </row>
    <row r="5833" spans="24:25" x14ac:dyDescent="0.35">
      <c r="X5833" s="40"/>
      <c r="Y5833" s="40"/>
    </row>
    <row r="5834" spans="24:25" x14ac:dyDescent="0.35">
      <c r="X5834" s="40"/>
      <c r="Y5834" s="40"/>
    </row>
    <row r="5835" spans="24:25" x14ac:dyDescent="0.35">
      <c r="X5835" s="40"/>
      <c r="Y5835" s="40"/>
    </row>
    <row r="5836" spans="24:25" x14ac:dyDescent="0.35">
      <c r="X5836" s="40"/>
      <c r="Y5836" s="40"/>
    </row>
    <row r="5837" spans="24:25" x14ac:dyDescent="0.35">
      <c r="X5837" s="40"/>
      <c r="Y5837" s="40"/>
    </row>
    <row r="5838" spans="24:25" x14ac:dyDescent="0.35">
      <c r="X5838" s="40"/>
      <c r="Y5838" s="40"/>
    </row>
    <row r="5839" spans="24:25" x14ac:dyDescent="0.35">
      <c r="X5839" s="40"/>
      <c r="Y5839" s="40"/>
    </row>
    <row r="5840" spans="24:25" x14ac:dyDescent="0.35">
      <c r="X5840" s="40"/>
      <c r="Y5840" s="40"/>
    </row>
    <row r="5841" spans="24:25" x14ac:dyDescent="0.35">
      <c r="X5841" s="40"/>
      <c r="Y5841" s="40"/>
    </row>
    <row r="5842" spans="24:25" x14ac:dyDescent="0.35">
      <c r="X5842" s="40"/>
      <c r="Y5842" s="40"/>
    </row>
    <row r="5843" spans="24:25" x14ac:dyDescent="0.35">
      <c r="X5843" s="40"/>
      <c r="Y5843" s="40"/>
    </row>
    <row r="5844" spans="24:25" x14ac:dyDescent="0.35">
      <c r="X5844" s="40"/>
      <c r="Y5844" s="40"/>
    </row>
    <row r="5845" spans="24:25" x14ac:dyDescent="0.35">
      <c r="X5845" s="40"/>
      <c r="Y5845" s="40"/>
    </row>
    <row r="5846" spans="24:25" x14ac:dyDescent="0.35">
      <c r="X5846" s="40"/>
      <c r="Y5846" s="40"/>
    </row>
    <row r="5847" spans="24:25" x14ac:dyDescent="0.35">
      <c r="X5847" s="40"/>
      <c r="Y5847" s="40"/>
    </row>
    <row r="5848" spans="24:25" x14ac:dyDescent="0.35">
      <c r="X5848" s="40"/>
      <c r="Y5848" s="40"/>
    </row>
    <row r="5849" spans="24:25" x14ac:dyDescent="0.35">
      <c r="X5849" s="40"/>
      <c r="Y5849" s="40"/>
    </row>
    <row r="5850" spans="24:25" x14ac:dyDescent="0.35">
      <c r="X5850" s="40"/>
      <c r="Y5850" s="40"/>
    </row>
    <row r="5851" spans="24:25" x14ac:dyDescent="0.35">
      <c r="X5851" s="40"/>
      <c r="Y5851" s="40"/>
    </row>
    <row r="5852" spans="24:25" x14ac:dyDescent="0.35">
      <c r="X5852" s="40"/>
      <c r="Y5852" s="40"/>
    </row>
    <row r="5853" spans="24:25" x14ac:dyDescent="0.35">
      <c r="X5853" s="40"/>
      <c r="Y5853" s="40"/>
    </row>
    <row r="5854" spans="24:25" x14ac:dyDescent="0.35">
      <c r="X5854" s="40"/>
      <c r="Y5854" s="40"/>
    </row>
    <row r="5855" spans="24:25" x14ac:dyDescent="0.35">
      <c r="X5855" s="40"/>
      <c r="Y5855" s="40"/>
    </row>
    <row r="5856" spans="24:25" x14ac:dyDescent="0.35">
      <c r="X5856" s="40"/>
      <c r="Y5856" s="40"/>
    </row>
    <row r="5857" spans="24:25" x14ac:dyDescent="0.35">
      <c r="X5857" s="40"/>
      <c r="Y5857" s="40"/>
    </row>
    <row r="5858" spans="24:25" x14ac:dyDescent="0.35">
      <c r="X5858" s="40"/>
      <c r="Y5858" s="40"/>
    </row>
    <row r="5859" spans="24:25" x14ac:dyDescent="0.35">
      <c r="X5859" s="40"/>
      <c r="Y5859" s="40"/>
    </row>
    <row r="5860" spans="24:25" x14ac:dyDescent="0.35">
      <c r="X5860" s="40"/>
      <c r="Y5860" s="40"/>
    </row>
    <row r="5861" spans="24:25" x14ac:dyDescent="0.35">
      <c r="X5861" s="40"/>
      <c r="Y5861" s="40"/>
    </row>
    <row r="5862" spans="24:25" x14ac:dyDescent="0.35">
      <c r="X5862" s="40"/>
      <c r="Y5862" s="40"/>
    </row>
    <row r="5863" spans="24:25" x14ac:dyDescent="0.35">
      <c r="X5863" s="40"/>
      <c r="Y5863" s="40"/>
    </row>
    <row r="5864" spans="24:25" x14ac:dyDescent="0.35">
      <c r="X5864" s="40"/>
      <c r="Y5864" s="40"/>
    </row>
    <row r="5865" spans="24:25" x14ac:dyDescent="0.35">
      <c r="X5865" s="40"/>
      <c r="Y5865" s="40"/>
    </row>
    <row r="5866" spans="24:25" x14ac:dyDescent="0.35">
      <c r="X5866" s="40"/>
      <c r="Y5866" s="40"/>
    </row>
    <row r="5867" spans="24:25" x14ac:dyDescent="0.35">
      <c r="X5867" s="40"/>
      <c r="Y5867" s="40"/>
    </row>
    <row r="5868" spans="24:25" x14ac:dyDescent="0.35">
      <c r="X5868" s="40"/>
      <c r="Y5868" s="40"/>
    </row>
    <row r="5869" spans="24:25" x14ac:dyDescent="0.35">
      <c r="X5869" s="40"/>
      <c r="Y5869" s="40"/>
    </row>
    <row r="5870" spans="24:25" x14ac:dyDescent="0.35">
      <c r="X5870" s="40"/>
      <c r="Y5870" s="40"/>
    </row>
    <row r="5871" spans="24:25" x14ac:dyDescent="0.35">
      <c r="X5871" s="40"/>
      <c r="Y5871" s="40"/>
    </row>
    <row r="5872" spans="24:25" x14ac:dyDescent="0.35">
      <c r="X5872" s="40"/>
      <c r="Y5872" s="40"/>
    </row>
    <row r="5873" spans="24:25" x14ac:dyDescent="0.35">
      <c r="X5873" s="40"/>
      <c r="Y5873" s="40"/>
    </row>
    <row r="5874" spans="24:25" x14ac:dyDescent="0.35">
      <c r="X5874" s="40"/>
      <c r="Y5874" s="40"/>
    </row>
    <row r="5875" spans="24:25" x14ac:dyDescent="0.35">
      <c r="X5875" s="40"/>
      <c r="Y5875" s="40"/>
    </row>
    <row r="5876" spans="24:25" x14ac:dyDescent="0.35">
      <c r="X5876" s="40"/>
      <c r="Y5876" s="40"/>
    </row>
    <row r="5877" spans="24:25" x14ac:dyDescent="0.35">
      <c r="X5877" s="40"/>
      <c r="Y5877" s="40"/>
    </row>
    <row r="5878" spans="24:25" x14ac:dyDescent="0.35">
      <c r="X5878" s="40"/>
      <c r="Y5878" s="40"/>
    </row>
    <row r="5879" spans="24:25" x14ac:dyDescent="0.35">
      <c r="X5879" s="40"/>
      <c r="Y5879" s="40"/>
    </row>
    <row r="5880" spans="24:25" x14ac:dyDescent="0.35">
      <c r="X5880" s="40"/>
      <c r="Y5880" s="40"/>
    </row>
    <row r="5881" spans="24:25" x14ac:dyDescent="0.35">
      <c r="X5881" s="40"/>
      <c r="Y5881" s="40"/>
    </row>
    <row r="5882" spans="24:25" x14ac:dyDescent="0.35">
      <c r="X5882" s="40"/>
      <c r="Y5882" s="40"/>
    </row>
    <row r="5883" spans="24:25" x14ac:dyDescent="0.35">
      <c r="X5883" s="40"/>
      <c r="Y5883" s="40"/>
    </row>
    <row r="5884" spans="24:25" x14ac:dyDescent="0.35">
      <c r="X5884" s="40"/>
      <c r="Y5884" s="40"/>
    </row>
    <row r="5885" spans="24:25" x14ac:dyDescent="0.35">
      <c r="X5885" s="40"/>
      <c r="Y5885" s="40"/>
    </row>
    <row r="5886" spans="24:25" x14ac:dyDescent="0.35">
      <c r="X5886" s="40"/>
      <c r="Y5886" s="40"/>
    </row>
    <row r="5887" spans="24:25" x14ac:dyDescent="0.35">
      <c r="X5887" s="40"/>
      <c r="Y5887" s="40"/>
    </row>
    <row r="5888" spans="24:25" x14ac:dyDescent="0.35">
      <c r="X5888" s="40"/>
      <c r="Y5888" s="40"/>
    </row>
    <row r="5889" spans="24:25" x14ac:dyDescent="0.35">
      <c r="X5889" s="40"/>
      <c r="Y5889" s="40"/>
    </row>
    <row r="5890" spans="24:25" x14ac:dyDescent="0.35">
      <c r="X5890" s="40"/>
      <c r="Y5890" s="40"/>
    </row>
    <row r="5891" spans="24:25" x14ac:dyDescent="0.35">
      <c r="X5891" s="40"/>
      <c r="Y5891" s="40"/>
    </row>
    <row r="5892" spans="24:25" x14ac:dyDescent="0.35">
      <c r="X5892" s="40"/>
      <c r="Y5892" s="40"/>
    </row>
    <row r="5893" spans="24:25" x14ac:dyDescent="0.35">
      <c r="X5893" s="40"/>
      <c r="Y5893" s="40"/>
    </row>
    <row r="5894" spans="24:25" x14ac:dyDescent="0.35">
      <c r="X5894" s="40"/>
      <c r="Y5894" s="40"/>
    </row>
    <row r="5895" spans="24:25" x14ac:dyDescent="0.35">
      <c r="X5895" s="40"/>
      <c r="Y5895" s="40"/>
    </row>
    <row r="5896" spans="24:25" x14ac:dyDescent="0.35">
      <c r="X5896" s="40"/>
      <c r="Y5896" s="40"/>
    </row>
    <row r="5897" spans="24:25" x14ac:dyDescent="0.35">
      <c r="X5897" s="40"/>
      <c r="Y5897" s="40"/>
    </row>
    <row r="5898" spans="24:25" x14ac:dyDescent="0.35">
      <c r="X5898" s="40"/>
      <c r="Y5898" s="40"/>
    </row>
    <row r="5899" spans="24:25" x14ac:dyDescent="0.35">
      <c r="X5899" s="40"/>
      <c r="Y5899" s="40"/>
    </row>
    <row r="5900" spans="24:25" x14ac:dyDescent="0.35">
      <c r="X5900" s="40"/>
      <c r="Y5900" s="40"/>
    </row>
    <row r="5901" spans="24:25" x14ac:dyDescent="0.35">
      <c r="X5901" s="40"/>
      <c r="Y5901" s="40"/>
    </row>
    <row r="5902" spans="24:25" x14ac:dyDescent="0.35">
      <c r="X5902" s="40"/>
      <c r="Y5902" s="40"/>
    </row>
    <row r="5903" spans="24:25" x14ac:dyDescent="0.35">
      <c r="X5903" s="40"/>
      <c r="Y5903" s="40"/>
    </row>
    <row r="5904" spans="24:25" x14ac:dyDescent="0.35">
      <c r="X5904" s="40"/>
      <c r="Y5904" s="40"/>
    </row>
    <row r="5905" spans="24:25" x14ac:dyDescent="0.35">
      <c r="X5905" s="40"/>
      <c r="Y5905" s="40"/>
    </row>
    <row r="5906" spans="24:25" x14ac:dyDescent="0.35">
      <c r="X5906" s="40"/>
      <c r="Y5906" s="40"/>
    </row>
    <row r="5907" spans="24:25" x14ac:dyDescent="0.35">
      <c r="X5907" s="40"/>
      <c r="Y5907" s="40"/>
    </row>
    <row r="5908" spans="24:25" x14ac:dyDescent="0.35">
      <c r="X5908" s="40"/>
      <c r="Y5908" s="40"/>
    </row>
    <row r="5909" spans="24:25" x14ac:dyDescent="0.35">
      <c r="X5909" s="40"/>
      <c r="Y5909" s="40"/>
    </row>
    <row r="5910" spans="24:25" x14ac:dyDescent="0.35">
      <c r="X5910" s="40"/>
      <c r="Y5910" s="40"/>
    </row>
    <row r="5911" spans="24:25" x14ac:dyDescent="0.35">
      <c r="X5911" s="40"/>
      <c r="Y5911" s="40"/>
    </row>
    <row r="5912" spans="24:25" x14ac:dyDescent="0.35">
      <c r="X5912" s="40"/>
      <c r="Y5912" s="40"/>
    </row>
    <row r="5913" spans="24:25" x14ac:dyDescent="0.35">
      <c r="X5913" s="40"/>
      <c r="Y5913" s="40"/>
    </row>
    <row r="5914" spans="24:25" x14ac:dyDescent="0.35">
      <c r="X5914" s="40"/>
      <c r="Y5914" s="40"/>
    </row>
    <row r="5915" spans="24:25" x14ac:dyDescent="0.35">
      <c r="X5915" s="40"/>
      <c r="Y5915" s="40"/>
    </row>
    <row r="5916" spans="24:25" x14ac:dyDescent="0.35">
      <c r="X5916" s="40"/>
      <c r="Y5916" s="40"/>
    </row>
    <row r="5917" spans="24:25" x14ac:dyDescent="0.35">
      <c r="X5917" s="40"/>
      <c r="Y5917" s="40"/>
    </row>
    <row r="5918" spans="24:25" x14ac:dyDescent="0.35">
      <c r="X5918" s="40"/>
      <c r="Y5918" s="40"/>
    </row>
    <row r="5919" spans="24:25" x14ac:dyDescent="0.35">
      <c r="X5919" s="40"/>
      <c r="Y5919" s="40"/>
    </row>
    <row r="5920" spans="24:25" x14ac:dyDescent="0.35">
      <c r="X5920" s="40"/>
      <c r="Y5920" s="40"/>
    </row>
    <row r="5921" spans="24:25" x14ac:dyDescent="0.35">
      <c r="X5921" s="40"/>
      <c r="Y5921" s="40"/>
    </row>
    <row r="5922" spans="24:25" x14ac:dyDescent="0.35">
      <c r="X5922" s="40"/>
      <c r="Y5922" s="40"/>
    </row>
    <row r="5923" spans="24:25" x14ac:dyDescent="0.35">
      <c r="X5923" s="40"/>
      <c r="Y5923" s="40"/>
    </row>
    <row r="5924" spans="24:25" x14ac:dyDescent="0.35">
      <c r="X5924" s="40"/>
      <c r="Y5924" s="40"/>
    </row>
    <row r="5925" spans="24:25" x14ac:dyDescent="0.35">
      <c r="X5925" s="40"/>
      <c r="Y5925" s="40"/>
    </row>
    <row r="5926" spans="24:25" x14ac:dyDescent="0.35">
      <c r="X5926" s="40"/>
      <c r="Y5926" s="40"/>
    </row>
    <row r="5927" spans="24:25" x14ac:dyDescent="0.35">
      <c r="X5927" s="40"/>
      <c r="Y5927" s="40"/>
    </row>
    <row r="5928" spans="24:25" x14ac:dyDescent="0.35">
      <c r="X5928" s="40"/>
      <c r="Y5928" s="40"/>
    </row>
    <row r="5929" spans="24:25" x14ac:dyDescent="0.35">
      <c r="X5929" s="40"/>
      <c r="Y5929" s="40"/>
    </row>
    <row r="5930" spans="24:25" x14ac:dyDescent="0.35">
      <c r="X5930" s="40"/>
      <c r="Y5930" s="40"/>
    </row>
    <row r="5931" spans="24:25" x14ac:dyDescent="0.35">
      <c r="X5931" s="40"/>
      <c r="Y5931" s="40"/>
    </row>
    <row r="5932" spans="24:25" x14ac:dyDescent="0.35">
      <c r="X5932" s="40"/>
      <c r="Y5932" s="40"/>
    </row>
    <row r="5933" spans="24:25" x14ac:dyDescent="0.35">
      <c r="X5933" s="40"/>
      <c r="Y5933" s="40"/>
    </row>
    <row r="5934" spans="24:25" x14ac:dyDescent="0.35">
      <c r="X5934" s="40"/>
      <c r="Y5934" s="40"/>
    </row>
    <row r="5935" spans="24:25" x14ac:dyDescent="0.35">
      <c r="X5935" s="40"/>
      <c r="Y5935" s="40"/>
    </row>
    <row r="5936" spans="24:25" x14ac:dyDescent="0.35">
      <c r="X5936" s="40"/>
      <c r="Y5936" s="40"/>
    </row>
    <row r="5937" spans="24:25" x14ac:dyDescent="0.35">
      <c r="X5937" s="40"/>
      <c r="Y5937" s="40"/>
    </row>
    <row r="5938" spans="24:25" x14ac:dyDescent="0.35">
      <c r="X5938" s="40"/>
      <c r="Y5938" s="40"/>
    </row>
    <row r="5939" spans="24:25" x14ac:dyDescent="0.35">
      <c r="X5939" s="40"/>
      <c r="Y5939" s="40"/>
    </row>
    <row r="5940" spans="24:25" x14ac:dyDescent="0.35">
      <c r="X5940" s="40"/>
      <c r="Y5940" s="40"/>
    </row>
    <row r="5941" spans="24:25" x14ac:dyDescent="0.35">
      <c r="X5941" s="40"/>
      <c r="Y5941" s="40"/>
    </row>
    <row r="5942" spans="24:25" x14ac:dyDescent="0.35">
      <c r="X5942" s="40"/>
      <c r="Y5942" s="40"/>
    </row>
    <row r="5943" spans="24:25" x14ac:dyDescent="0.35">
      <c r="X5943" s="40"/>
      <c r="Y5943" s="40"/>
    </row>
    <row r="5944" spans="24:25" x14ac:dyDescent="0.35">
      <c r="X5944" s="40"/>
      <c r="Y5944" s="40"/>
    </row>
    <row r="5945" spans="24:25" x14ac:dyDescent="0.35">
      <c r="X5945" s="40"/>
      <c r="Y5945" s="40"/>
    </row>
    <row r="5946" spans="24:25" x14ac:dyDescent="0.35">
      <c r="X5946" s="40"/>
      <c r="Y5946" s="40"/>
    </row>
    <row r="5947" spans="24:25" x14ac:dyDescent="0.35">
      <c r="X5947" s="40"/>
      <c r="Y5947" s="40"/>
    </row>
    <row r="5948" spans="24:25" x14ac:dyDescent="0.35">
      <c r="X5948" s="40"/>
      <c r="Y5948" s="40"/>
    </row>
    <row r="5949" spans="24:25" x14ac:dyDescent="0.35">
      <c r="X5949" s="40"/>
      <c r="Y5949" s="40"/>
    </row>
    <row r="5950" spans="24:25" x14ac:dyDescent="0.35">
      <c r="X5950" s="40"/>
      <c r="Y5950" s="40"/>
    </row>
    <row r="5951" spans="24:25" x14ac:dyDescent="0.35">
      <c r="X5951" s="40"/>
      <c r="Y5951" s="40"/>
    </row>
    <row r="5952" spans="24:25" x14ac:dyDescent="0.35">
      <c r="X5952" s="40"/>
      <c r="Y5952" s="40"/>
    </row>
    <row r="5953" spans="24:25" x14ac:dyDescent="0.35">
      <c r="X5953" s="40"/>
      <c r="Y5953" s="40"/>
    </row>
    <row r="5954" spans="24:25" x14ac:dyDescent="0.35">
      <c r="X5954" s="40"/>
      <c r="Y5954" s="40"/>
    </row>
    <row r="5955" spans="24:25" x14ac:dyDescent="0.35">
      <c r="X5955" s="40"/>
      <c r="Y5955" s="40"/>
    </row>
    <row r="5956" spans="24:25" x14ac:dyDescent="0.35">
      <c r="X5956" s="40"/>
      <c r="Y5956" s="40"/>
    </row>
    <row r="5957" spans="24:25" x14ac:dyDescent="0.35">
      <c r="X5957" s="40"/>
      <c r="Y5957" s="40"/>
    </row>
    <row r="5958" spans="24:25" x14ac:dyDescent="0.35">
      <c r="X5958" s="40"/>
      <c r="Y5958" s="40"/>
    </row>
    <row r="5959" spans="24:25" x14ac:dyDescent="0.35">
      <c r="X5959" s="40"/>
      <c r="Y5959" s="40"/>
    </row>
    <row r="5960" spans="24:25" x14ac:dyDescent="0.35">
      <c r="X5960" s="40"/>
      <c r="Y5960" s="40"/>
    </row>
    <row r="5961" spans="24:25" x14ac:dyDescent="0.35">
      <c r="X5961" s="40"/>
      <c r="Y5961" s="40"/>
    </row>
    <row r="5962" spans="24:25" x14ac:dyDescent="0.35">
      <c r="X5962" s="40"/>
      <c r="Y5962" s="40"/>
    </row>
    <row r="5963" spans="24:25" x14ac:dyDescent="0.35">
      <c r="X5963" s="40"/>
      <c r="Y5963" s="40"/>
    </row>
    <row r="5964" spans="24:25" x14ac:dyDescent="0.35">
      <c r="X5964" s="40"/>
      <c r="Y5964" s="40"/>
    </row>
    <row r="5965" spans="24:25" x14ac:dyDescent="0.35">
      <c r="X5965" s="40"/>
      <c r="Y5965" s="40"/>
    </row>
    <row r="5966" spans="24:25" x14ac:dyDescent="0.35">
      <c r="X5966" s="40"/>
      <c r="Y5966" s="40"/>
    </row>
    <row r="5967" spans="24:25" x14ac:dyDescent="0.35">
      <c r="X5967" s="40"/>
      <c r="Y5967" s="40"/>
    </row>
    <row r="5968" spans="24:25" x14ac:dyDescent="0.35">
      <c r="X5968" s="40"/>
      <c r="Y5968" s="40"/>
    </row>
    <row r="5969" spans="24:25" x14ac:dyDescent="0.35">
      <c r="X5969" s="40"/>
      <c r="Y5969" s="40"/>
    </row>
    <row r="5970" spans="24:25" x14ac:dyDescent="0.35">
      <c r="X5970" s="40"/>
      <c r="Y5970" s="40"/>
    </row>
    <row r="5971" spans="24:25" x14ac:dyDescent="0.35">
      <c r="X5971" s="40"/>
      <c r="Y5971" s="40"/>
    </row>
    <row r="5972" spans="24:25" x14ac:dyDescent="0.35">
      <c r="X5972" s="40"/>
      <c r="Y5972" s="40"/>
    </row>
    <row r="5973" spans="24:25" x14ac:dyDescent="0.35">
      <c r="X5973" s="40"/>
      <c r="Y5973" s="40"/>
    </row>
    <row r="5974" spans="24:25" x14ac:dyDescent="0.35">
      <c r="X5974" s="40"/>
      <c r="Y5974" s="40"/>
    </row>
    <row r="5975" spans="24:25" x14ac:dyDescent="0.35">
      <c r="X5975" s="40"/>
      <c r="Y5975" s="40"/>
    </row>
    <row r="5976" spans="24:25" x14ac:dyDescent="0.35">
      <c r="X5976" s="40"/>
      <c r="Y5976" s="40"/>
    </row>
    <row r="5977" spans="24:25" x14ac:dyDescent="0.35">
      <c r="X5977" s="40"/>
      <c r="Y5977" s="40"/>
    </row>
    <row r="5978" spans="24:25" x14ac:dyDescent="0.35">
      <c r="X5978" s="40"/>
      <c r="Y5978" s="40"/>
    </row>
    <row r="5979" spans="24:25" x14ac:dyDescent="0.35">
      <c r="X5979" s="40"/>
      <c r="Y5979" s="40"/>
    </row>
    <row r="5980" spans="24:25" x14ac:dyDescent="0.35">
      <c r="X5980" s="40"/>
      <c r="Y5980" s="40"/>
    </row>
    <row r="5981" spans="24:25" x14ac:dyDescent="0.35">
      <c r="X5981" s="40"/>
      <c r="Y5981" s="40"/>
    </row>
    <row r="5982" spans="24:25" x14ac:dyDescent="0.35">
      <c r="X5982" s="40"/>
      <c r="Y5982" s="40"/>
    </row>
    <row r="5983" spans="24:25" x14ac:dyDescent="0.35">
      <c r="X5983" s="40"/>
      <c r="Y5983" s="40"/>
    </row>
    <row r="5984" spans="24:25" x14ac:dyDescent="0.35">
      <c r="X5984" s="40"/>
      <c r="Y5984" s="40"/>
    </row>
    <row r="5985" spans="24:25" x14ac:dyDescent="0.35">
      <c r="X5985" s="40"/>
      <c r="Y5985" s="40"/>
    </row>
    <row r="5986" spans="24:25" x14ac:dyDescent="0.35">
      <c r="X5986" s="40"/>
      <c r="Y5986" s="40"/>
    </row>
    <row r="5987" spans="24:25" x14ac:dyDescent="0.35">
      <c r="X5987" s="40"/>
      <c r="Y5987" s="40"/>
    </row>
    <row r="5988" spans="24:25" x14ac:dyDescent="0.35">
      <c r="X5988" s="40"/>
      <c r="Y5988" s="40"/>
    </row>
    <row r="5989" spans="24:25" x14ac:dyDescent="0.35">
      <c r="X5989" s="40"/>
      <c r="Y5989" s="40"/>
    </row>
    <row r="5990" spans="24:25" x14ac:dyDescent="0.35">
      <c r="X5990" s="40"/>
      <c r="Y5990" s="40"/>
    </row>
    <row r="5991" spans="24:25" x14ac:dyDescent="0.35">
      <c r="X5991" s="40"/>
      <c r="Y5991" s="40"/>
    </row>
    <row r="5992" spans="24:25" x14ac:dyDescent="0.35">
      <c r="X5992" s="40"/>
      <c r="Y5992" s="40"/>
    </row>
    <row r="5993" spans="24:25" x14ac:dyDescent="0.35">
      <c r="X5993" s="40"/>
      <c r="Y5993" s="40"/>
    </row>
    <row r="5994" spans="24:25" x14ac:dyDescent="0.35">
      <c r="X5994" s="40"/>
      <c r="Y5994" s="40"/>
    </row>
    <row r="5995" spans="24:25" x14ac:dyDescent="0.35">
      <c r="X5995" s="40"/>
      <c r="Y5995" s="40"/>
    </row>
    <row r="5996" spans="24:25" x14ac:dyDescent="0.35">
      <c r="X5996" s="40"/>
      <c r="Y5996" s="40"/>
    </row>
    <row r="5997" spans="24:25" x14ac:dyDescent="0.35">
      <c r="X5997" s="40"/>
      <c r="Y5997" s="40"/>
    </row>
    <row r="5998" spans="24:25" x14ac:dyDescent="0.35">
      <c r="X5998" s="40"/>
      <c r="Y5998" s="40"/>
    </row>
    <row r="5999" spans="24:25" x14ac:dyDescent="0.35">
      <c r="X5999" s="40"/>
      <c r="Y5999" s="40"/>
    </row>
    <row r="6000" spans="24:25" x14ac:dyDescent="0.35">
      <c r="X6000" s="40"/>
      <c r="Y6000" s="40"/>
    </row>
    <row r="6001" spans="24:25" x14ac:dyDescent="0.35">
      <c r="X6001" s="40"/>
      <c r="Y6001" s="40"/>
    </row>
    <row r="6002" spans="24:25" x14ac:dyDescent="0.35">
      <c r="X6002" s="40"/>
      <c r="Y6002" s="40"/>
    </row>
    <row r="6003" spans="24:25" x14ac:dyDescent="0.35">
      <c r="X6003" s="40"/>
      <c r="Y6003" s="40"/>
    </row>
    <row r="6004" spans="24:25" x14ac:dyDescent="0.35">
      <c r="X6004" s="40"/>
      <c r="Y6004" s="40"/>
    </row>
    <row r="6005" spans="24:25" x14ac:dyDescent="0.35">
      <c r="X6005" s="40"/>
      <c r="Y6005" s="40"/>
    </row>
    <row r="6006" spans="24:25" x14ac:dyDescent="0.35">
      <c r="X6006" s="40"/>
      <c r="Y6006" s="40"/>
    </row>
    <row r="6007" spans="24:25" x14ac:dyDescent="0.35">
      <c r="X6007" s="40"/>
      <c r="Y6007" s="40"/>
    </row>
    <row r="6008" spans="24:25" x14ac:dyDescent="0.35">
      <c r="X6008" s="40"/>
      <c r="Y6008" s="40"/>
    </row>
    <row r="6009" spans="24:25" x14ac:dyDescent="0.35">
      <c r="X6009" s="40"/>
      <c r="Y6009" s="40"/>
    </row>
    <row r="6010" spans="24:25" x14ac:dyDescent="0.35">
      <c r="X6010" s="40"/>
      <c r="Y6010" s="40"/>
    </row>
    <row r="6011" spans="24:25" x14ac:dyDescent="0.35">
      <c r="X6011" s="40"/>
      <c r="Y6011" s="40"/>
    </row>
    <row r="6012" spans="24:25" x14ac:dyDescent="0.35">
      <c r="X6012" s="40"/>
      <c r="Y6012" s="40"/>
    </row>
    <row r="6013" spans="24:25" x14ac:dyDescent="0.35">
      <c r="X6013" s="40"/>
      <c r="Y6013" s="40"/>
    </row>
    <row r="6014" spans="24:25" x14ac:dyDescent="0.35">
      <c r="X6014" s="40"/>
      <c r="Y6014" s="40"/>
    </row>
    <row r="6015" spans="24:25" x14ac:dyDescent="0.35">
      <c r="X6015" s="40"/>
      <c r="Y6015" s="40"/>
    </row>
    <row r="6016" spans="24:25" x14ac:dyDescent="0.35">
      <c r="X6016" s="40"/>
      <c r="Y6016" s="40"/>
    </row>
    <row r="6017" spans="24:25" x14ac:dyDescent="0.35">
      <c r="X6017" s="40"/>
      <c r="Y6017" s="40"/>
    </row>
    <row r="6018" spans="24:25" x14ac:dyDescent="0.35">
      <c r="X6018" s="40"/>
      <c r="Y6018" s="40"/>
    </row>
    <row r="6019" spans="24:25" x14ac:dyDescent="0.35">
      <c r="X6019" s="40"/>
      <c r="Y6019" s="40"/>
    </row>
    <row r="6020" spans="24:25" x14ac:dyDescent="0.35">
      <c r="X6020" s="40"/>
      <c r="Y6020" s="40"/>
    </row>
    <row r="6021" spans="24:25" x14ac:dyDescent="0.35">
      <c r="X6021" s="40"/>
      <c r="Y6021" s="40"/>
    </row>
    <row r="6022" spans="24:25" x14ac:dyDescent="0.35">
      <c r="X6022" s="40"/>
      <c r="Y6022" s="40"/>
    </row>
    <row r="6023" spans="24:25" x14ac:dyDescent="0.35">
      <c r="X6023" s="40"/>
      <c r="Y6023" s="40"/>
    </row>
    <row r="6024" spans="24:25" x14ac:dyDescent="0.35">
      <c r="X6024" s="40"/>
      <c r="Y6024" s="40"/>
    </row>
    <row r="6025" spans="24:25" x14ac:dyDescent="0.35">
      <c r="X6025" s="40"/>
      <c r="Y6025" s="40"/>
    </row>
    <row r="6026" spans="24:25" x14ac:dyDescent="0.35">
      <c r="X6026" s="40"/>
      <c r="Y6026" s="40"/>
    </row>
    <row r="6027" spans="24:25" x14ac:dyDescent="0.35">
      <c r="X6027" s="40"/>
      <c r="Y6027" s="40"/>
    </row>
    <row r="6028" spans="24:25" x14ac:dyDescent="0.35">
      <c r="X6028" s="40"/>
      <c r="Y6028" s="40"/>
    </row>
    <row r="6029" spans="24:25" x14ac:dyDescent="0.35">
      <c r="X6029" s="40"/>
      <c r="Y6029" s="40"/>
    </row>
    <row r="6030" spans="24:25" x14ac:dyDescent="0.35">
      <c r="X6030" s="40"/>
      <c r="Y6030" s="40"/>
    </row>
    <row r="6031" spans="24:25" x14ac:dyDescent="0.35">
      <c r="X6031" s="40"/>
      <c r="Y6031" s="40"/>
    </row>
    <row r="6032" spans="24:25" x14ac:dyDescent="0.35">
      <c r="X6032" s="40"/>
      <c r="Y6032" s="40"/>
    </row>
    <row r="6033" spans="24:25" x14ac:dyDescent="0.35">
      <c r="X6033" s="40"/>
      <c r="Y6033" s="40"/>
    </row>
    <row r="6034" spans="24:25" x14ac:dyDescent="0.35">
      <c r="X6034" s="40"/>
      <c r="Y6034" s="40"/>
    </row>
    <row r="6035" spans="24:25" x14ac:dyDescent="0.35">
      <c r="X6035" s="40"/>
      <c r="Y6035" s="40"/>
    </row>
    <row r="6036" spans="24:25" x14ac:dyDescent="0.35">
      <c r="X6036" s="40"/>
      <c r="Y6036" s="40"/>
    </row>
    <row r="6037" spans="24:25" x14ac:dyDescent="0.35">
      <c r="X6037" s="40"/>
      <c r="Y6037" s="40"/>
    </row>
    <row r="6038" spans="24:25" x14ac:dyDescent="0.35">
      <c r="X6038" s="40"/>
      <c r="Y6038" s="40"/>
    </row>
    <row r="6039" spans="24:25" x14ac:dyDescent="0.35">
      <c r="X6039" s="40"/>
      <c r="Y6039" s="40"/>
    </row>
    <row r="6040" spans="24:25" x14ac:dyDescent="0.35">
      <c r="X6040" s="40"/>
      <c r="Y6040" s="40"/>
    </row>
    <row r="6041" spans="24:25" x14ac:dyDescent="0.35">
      <c r="X6041" s="40"/>
      <c r="Y6041" s="40"/>
    </row>
    <row r="6042" spans="24:25" x14ac:dyDescent="0.35">
      <c r="X6042" s="40"/>
      <c r="Y6042" s="40"/>
    </row>
    <row r="6043" spans="24:25" x14ac:dyDescent="0.35">
      <c r="X6043" s="40"/>
      <c r="Y6043" s="40"/>
    </row>
    <row r="6044" spans="24:25" x14ac:dyDescent="0.35">
      <c r="X6044" s="40"/>
      <c r="Y6044" s="40"/>
    </row>
    <row r="6045" spans="24:25" x14ac:dyDescent="0.35">
      <c r="X6045" s="40"/>
      <c r="Y6045" s="40"/>
    </row>
    <row r="6046" spans="24:25" x14ac:dyDescent="0.35">
      <c r="X6046" s="40"/>
      <c r="Y6046" s="40"/>
    </row>
    <row r="6047" spans="24:25" x14ac:dyDescent="0.35">
      <c r="X6047" s="40"/>
      <c r="Y6047" s="40"/>
    </row>
    <row r="6048" spans="24:25" x14ac:dyDescent="0.35">
      <c r="X6048" s="40"/>
      <c r="Y6048" s="40"/>
    </row>
    <row r="6049" spans="24:25" x14ac:dyDescent="0.35">
      <c r="X6049" s="40"/>
      <c r="Y6049" s="40"/>
    </row>
    <row r="6050" spans="24:25" x14ac:dyDescent="0.35">
      <c r="X6050" s="40"/>
      <c r="Y6050" s="40"/>
    </row>
    <row r="6051" spans="24:25" x14ac:dyDescent="0.35">
      <c r="X6051" s="40"/>
      <c r="Y6051" s="40"/>
    </row>
    <row r="6052" spans="24:25" x14ac:dyDescent="0.35">
      <c r="X6052" s="40"/>
      <c r="Y6052" s="40"/>
    </row>
    <row r="6053" spans="24:25" x14ac:dyDescent="0.35">
      <c r="X6053" s="40"/>
      <c r="Y6053" s="40"/>
    </row>
    <row r="6054" spans="24:25" x14ac:dyDescent="0.35">
      <c r="X6054" s="40"/>
      <c r="Y6054" s="40"/>
    </row>
    <row r="6055" spans="24:25" x14ac:dyDescent="0.35">
      <c r="X6055" s="40"/>
      <c r="Y6055" s="40"/>
    </row>
    <row r="6056" spans="24:25" x14ac:dyDescent="0.35">
      <c r="X6056" s="40"/>
      <c r="Y6056" s="40"/>
    </row>
    <row r="6057" spans="24:25" x14ac:dyDescent="0.35">
      <c r="X6057" s="40"/>
      <c r="Y6057" s="40"/>
    </row>
    <row r="6058" spans="24:25" x14ac:dyDescent="0.35">
      <c r="X6058" s="40"/>
      <c r="Y6058" s="40"/>
    </row>
    <row r="6059" spans="24:25" x14ac:dyDescent="0.35">
      <c r="X6059" s="40"/>
      <c r="Y6059" s="40"/>
    </row>
    <row r="6060" spans="24:25" x14ac:dyDescent="0.35">
      <c r="X6060" s="40"/>
      <c r="Y6060" s="40"/>
    </row>
    <row r="6061" spans="24:25" x14ac:dyDescent="0.35">
      <c r="X6061" s="40"/>
      <c r="Y6061" s="40"/>
    </row>
    <row r="6062" spans="24:25" x14ac:dyDescent="0.35">
      <c r="X6062" s="40"/>
      <c r="Y6062" s="40"/>
    </row>
    <row r="6063" spans="24:25" x14ac:dyDescent="0.35">
      <c r="X6063" s="40"/>
      <c r="Y6063" s="40"/>
    </row>
    <row r="6064" spans="24:25" x14ac:dyDescent="0.35">
      <c r="X6064" s="40"/>
      <c r="Y6064" s="40"/>
    </row>
    <row r="6065" spans="24:25" x14ac:dyDescent="0.35">
      <c r="X6065" s="40"/>
      <c r="Y6065" s="40"/>
    </row>
    <row r="6066" spans="24:25" x14ac:dyDescent="0.35">
      <c r="X6066" s="40"/>
      <c r="Y6066" s="40"/>
    </row>
    <row r="6067" spans="24:25" x14ac:dyDescent="0.35">
      <c r="X6067" s="40"/>
      <c r="Y6067" s="40"/>
    </row>
    <row r="6068" spans="24:25" x14ac:dyDescent="0.35">
      <c r="X6068" s="40"/>
      <c r="Y6068" s="40"/>
    </row>
    <row r="6069" spans="24:25" x14ac:dyDescent="0.35">
      <c r="X6069" s="40"/>
      <c r="Y6069" s="40"/>
    </row>
    <row r="6070" spans="24:25" x14ac:dyDescent="0.35">
      <c r="X6070" s="40"/>
      <c r="Y6070" s="40"/>
    </row>
    <row r="6071" spans="24:25" x14ac:dyDescent="0.35">
      <c r="X6071" s="40"/>
      <c r="Y6071" s="40"/>
    </row>
    <row r="6072" spans="24:25" x14ac:dyDescent="0.35">
      <c r="X6072" s="40"/>
      <c r="Y6072" s="40"/>
    </row>
    <row r="6073" spans="24:25" x14ac:dyDescent="0.35">
      <c r="X6073" s="40"/>
      <c r="Y6073" s="40"/>
    </row>
    <row r="6074" spans="24:25" x14ac:dyDescent="0.35">
      <c r="X6074" s="40"/>
      <c r="Y6074" s="40"/>
    </row>
    <row r="6075" spans="24:25" x14ac:dyDescent="0.35">
      <c r="X6075" s="40"/>
      <c r="Y6075" s="40"/>
    </row>
    <row r="6076" spans="24:25" x14ac:dyDescent="0.35">
      <c r="X6076" s="40"/>
      <c r="Y6076" s="40"/>
    </row>
    <row r="6077" spans="24:25" x14ac:dyDescent="0.35">
      <c r="X6077" s="40"/>
      <c r="Y6077" s="40"/>
    </row>
    <row r="6078" spans="24:25" x14ac:dyDescent="0.35">
      <c r="X6078" s="40"/>
      <c r="Y6078" s="40"/>
    </row>
    <row r="6079" spans="24:25" x14ac:dyDescent="0.35">
      <c r="X6079" s="40"/>
      <c r="Y6079" s="40"/>
    </row>
    <row r="6080" spans="24:25" x14ac:dyDescent="0.35">
      <c r="X6080" s="40"/>
      <c r="Y6080" s="40"/>
    </row>
    <row r="6081" spans="24:25" x14ac:dyDescent="0.35">
      <c r="X6081" s="40"/>
      <c r="Y6081" s="40"/>
    </row>
    <row r="6082" spans="24:25" x14ac:dyDescent="0.35">
      <c r="X6082" s="40"/>
      <c r="Y6082" s="40"/>
    </row>
    <row r="6083" spans="24:25" x14ac:dyDescent="0.35">
      <c r="X6083" s="40"/>
      <c r="Y6083" s="40"/>
    </row>
    <row r="6084" spans="24:25" x14ac:dyDescent="0.35">
      <c r="X6084" s="40"/>
      <c r="Y6084" s="40"/>
    </row>
    <row r="6085" spans="24:25" x14ac:dyDescent="0.35">
      <c r="X6085" s="40"/>
      <c r="Y6085" s="40"/>
    </row>
    <row r="6086" spans="24:25" x14ac:dyDescent="0.35">
      <c r="X6086" s="40"/>
      <c r="Y6086" s="40"/>
    </row>
    <row r="6087" spans="24:25" x14ac:dyDescent="0.35">
      <c r="X6087" s="40"/>
      <c r="Y6087" s="40"/>
    </row>
    <row r="6088" spans="24:25" x14ac:dyDescent="0.35">
      <c r="X6088" s="40"/>
      <c r="Y6088" s="40"/>
    </row>
    <row r="6089" spans="24:25" x14ac:dyDescent="0.35">
      <c r="X6089" s="40"/>
      <c r="Y6089" s="40"/>
    </row>
    <row r="6090" spans="24:25" x14ac:dyDescent="0.35">
      <c r="X6090" s="40"/>
      <c r="Y6090" s="40"/>
    </row>
    <row r="6091" spans="24:25" x14ac:dyDescent="0.35">
      <c r="X6091" s="40"/>
      <c r="Y6091" s="40"/>
    </row>
    <row r="6092" spans="24:25" x14ac:dyDescent="0.35">
      <c r="X6092" s="40"/>
      <c r="Y6092" s="40"/>
    </row>
    <row r="6093" spans="24:25" x14ac:dyDescent="0.35">
      <c r="X6093" s="40"/>
      <c r="Y6093" s="40"/>
    </row>
    <row r="6094" spans="24:25" x14ac:dyDescent="0.35">
      <c r="X6094" s="40"/>
      <c r="Y6094" s="40"/>
    </row>
    <row r="6095" spans="24:25" x14ac:dyDescent="0.35">
      <c r="X6095" s="40"/>
      <c r="Y6095" s="40"/>
    </row>
    <row r="6096" spans="24:25" x14ac:dyDescent="0.35">
      <c r="X6096" s="40"/>
      <c r="Y6096" s="40"/>
    </row>
    <row r="6097" spans="24:25" x14ac:dyDescent="0.35">
      <c r="X6097" s="40"/>
      <c r="Y6097" s="40"/>
    </row>
    <row r="6098" spans="24:25" x14ac:dyDescent="0.35">
      <c r="X6098" s="40"/>
      <c r="Y6098" s="40"/>
    </row>
    <row r="6099" spans="24:25" x14ac:dyDescent="0.35">
      <c r="X6099" s="40"/>
      <c r="Y6099" s="40"/>
    </row>
    <row r="6100" spans="24:25" x14ac:dyDescent="0.35">
      <c r="X6100" s="40"/>
      <c r="Y6100" s="40"/>
    </row>
    <row r="6101" spans="24:25" x14ac:dyDescent="0.35">
      <c r="X6101" s="40"/>
      <c r="Y6101" s="40"/>
    </row>
    <row r="6102" spans="24:25" x14ac:dyDescent="0.35">
      <c r="X6102" s="40"/>
      <c r="Y6102" s="40"/>
    </row>
    <row r="6103" spans="24:25" x14ac:dyDescent="0.35">
      <c r="X6103" s="40"/>
      <c r="Y6103" s="40"/>
    </row>
    <row r="6104" spans="24:25" x14ac:dyDescent="0.35">
      <c r="X6104" s="40"/>
      <c r="Y6104" s="40"/>
    </row>
    <row r="6105" spans="24:25" x14ac:dyDescent="0.35">
      <c r="X6105" s="40"/>
      <c r="Y6105" s="40"/>
    </row>
    <row r="6106" spans="24:25" x14ac:dyDescent="0.35">
      <c r="X6106" s="40"/>
      <c r="Y6106" s="40"/>
    </row>
    <row r="6107" spans="24:25" x14ac:dyDescent="0.35">
      <c r="X6107" s="40"/>
      <c r="Y6107" s="40"/>
    </row>
    <row r="6108" spans="24:25" x14ac:dyDescent="0.35">
      <c r="X6108" s="40"/>
      <c r="Y6108" s="40"/>
    </row>
    <row r="6109" spans="24:25" x14ac:dyDescent="0.35">
      <c r="X6109" s="40"/>
      <c r="Y6109" s="40"/>
    </row>
    <row r="6110" spans="24:25" x14ac:dyDescent="0.35">
      <c r="X6110" s="40"/>
      <c r="Y6110" s="40"/>
    </row>
    <row r="6111" spans="24:25" x14ac:dyDescent="0.35">
      <c r="X6111" s="40"/>
      <c r="Y6111" s="40"/>
    </row>
    <row r="6112" spans="24:25" x14ac:dyDescent="0.35">
      <c r="X6112" s="40"/>
      <c r="Y6112" s="40"/>
    </row>
    <row r="6113" spans="24:25" x14ac:dyDescent="0.35">
      <c r="X6113" s="40"/>
      <c r="Y6113" s="40"/>
    </row>
    <row r="6114" spans="24:25" x14ac:dyDescent="0.35">
      <c r="X6114" s="40"/>
      <c r="Y6114" s="40"/>
    </row>
    <row r="6115" spans="24:25" x14ac:dyDescent="0.35">
      <c r="X6115" s="40"/>
      <c r="Y6115" s="40"/>
    </row>
    <row r="6116" spans="24:25" x14ac:dyDescent="0.35">
      <c r="X6116" s="40"/>
      <c r="Y6116" s="40"/>
    </row>
    <row r="6117" spans="24:25" x14ac:dyDescent="0.35">
      <c r="X6117" s="40"/>
      <c r="Y6117" s="40"/>
    </row>
    <row r="6118" spans="24:25" x14ac:dyDescent="0.35">
      <c r="X6118" s="40"/>
      <c r="Y6118" s="40"/>
    </row>
    <row r="6119" spans="24:25" x14ac:dyDescent="0.35">
      <c r="X6119" s="40"/>
      <c r="Y6119" s="40"/>
    </row>
    <row r="6120" spans="24:25" x14ac:dyDescent="0.35">
      <c r="X6120" s="40"/>
      <c r="Y6120" s="40"/>
    </row>
    <row r="6121" spans="24:25" x14ac:dyDescent="0.35">
      <c r="X6121" s="40"/>
      <c r="Y6121" s="40"/>
    </row>
    <row r="6122" spans="24:25" x14ac:dyDescent="0.35">
      <c r="X6122" s="40"/>
      <c r="Y6122" s="40"/>
    </row>
    <row r="6123" spans="24:25" x14ac:dyDescent="0.35">
      <c r="X6123" s="40"/>
      <c r="Y6123" s="40"/>
    </row>
    <row r="6124" spans="24:25" x14ac:dyDescent="0.35">
      <c r="X6124" s="40"/>
      <c r="Y6124" s="40"/>
    </row>
    <row r="6125" spans="24:25" x14ac:dyDescent="0.35">
      <c r="X6125" s="40"/>
      <c r="Y6125" s="40"/>
    </row>
    <row r="6126" spans="24:25" x14ac:dyDescent="0.35">
      <c r="X6126" s="40"/>
      <c r="Y6126" s="40"/>
    </row>
    <row r="6127" spans="24:25" x14ac:dyDescent="0.35">
      <c r="X6127" s="40"/>
      <c r="Y6127" s="40"/>
    </row>
    <row r="6128" spans="24:25" x14ac:dyDescent="0.35">
      <c r="X6128" s="40"/>
      <c r="Y6128" s="40"/>
    </row>
    <row r="6129" spans="24:25" x14ac:dyDescent="0.35">
      <c r="X6129" s="40"/>
      <c r="Y6129" s="40"/>
    </row>
    <row r="6130" spans="24:25" x14ac:dyDescent="0.35">
      <c r="X6130" s="40"/>
      <c r="Y6130" s="40"/>
    </row>
    <row r="6131" spans="24:25" x14ac:dyDescent="0.35">
      <c r="X6131" s="40"/>
      <c r="Y6131" s="40"/>
    </row>
    <row r="6132" spans="24:25" x14ac:dyDescent="0.35">
      <c r="X6132" s="40"/>
      <c r="Y6132" s="40"/>
    </row>
    <row r="6133" spans="24:25" x14ac:dyDescent="0.35">
      <c r="X6133" s="40"/>
      <c r="Y6133" s="40"/>
    </row>
    <row r="6134" spans="24:25" x14ac:dyDescent="0.35">
      <c r="X6134" s="40"/>
      <c r="Y6134" s="40"/>
    </row>
    <row r="6135" spans="24:25" x14ac:dyDescent="0.35">
      <c r="X6135" s="40"/>
      <c r="Y6135" s="40"/>
    </row>
    <row r="6136" spans="24:25" x14ac:dyDescent="0.35">
      <c r="X6136" s="40"/>
      <c r="Y6136" s="40"/>
    </row>
    <row r="6137" spans="24:25" x14ac:dyDescent="0.35">
      <c r="X6137" s="40"/>
      <c r="Y6137" s="40"/>
    </row>
    <row r="6138" spans="24:25" x14ac:dyDescent="0.35">
      <c r="X6138" s="40"/>
      <c r="Y6138" s="40"/>
    </row>
    <row r="6139" spans="24:25" x14ac:dyDescent="0.35">
      <c r="X6139" s="40"/>
      <c r="Y6139" s="40"/>
    </row>
    <row r="6140" spans="24:25" x14ac:dyDescent="0.35">
      <c r="X6140" s="40"/>
      <c r="Y6140" s="40"/>
    </row>
    <row r="6141" spans="24:25" x14ac:dyDescent="0.35">
      <c r="X6141" s="40"/>
      <c r="Y6141" s="40"/>
    </row>
    <row r="6142" spans="24:25" x14ac:dyDescent="0.35">
      <c r="X6142" s="40"/>
      <c r="Y6142" s="40"/>
    </row>
    <row r="6143" spans="24:25" x14ac:dyDescent="0.35">
      <c r="X6143" s="40"/>
      <c r="Y6143" s="40"/>
    </row>
    <row r="6144" spans="24:25" x14ac:dyDescent="0.35">
      <c r="X6144" s="40"/>
      <c r="Y6144" s="40"/>
    </row>
    <row r="6145" spans="24:25" x14ac:dyDescent="0.35">
      <c r="X6145" s="40"/>
      <c r="Y6145" s="40"/>
    </row>
    <row r="6146" spans="24:25" x14ac:dyDescent="0.35">
      <c r="X6146" s="40"/>
      <c r="Y6146" s="40"/>
    </row>
    <row r="6147" spans="24:25" x14ac:dyDescent="0.35">
      <c r="X6147" s="40"/>
      <c r="Y6147" s="40"/>
    </row>
    <row r="6148" spans="24:25" x14ac:dyDescent="0.35">
      <c r="X6148" s="40"/>
      <c r="Y6148" s="40"/>
    </row>
    <row r="6149" spans="24:25" x14ac:dyDescent="0.35">
      <c r="X6149" s="40"/>
      <c r="Y6149" s="40"/>
    </row>
    <row r="6150" spans="24:25" x14ac:dyDescent="0.35">
      <c r="X6150" s="40"/>
      <c r="Y6150" s="40"/>
    </row>
    <row r="6151" spans="24:25" x14ac:dyDescent="0.35">
      <c r="X6151" s="40"/>
      <c r="Y6151" s="40"/>
    </row>
    <row r="6152" spans="24:25" x14ac:dyDescent="0.35">
      <c r="X6152" s="40"/>
      <c r="Y6152" s="40"/>
    </row>
    <row r="6153" spans="24:25" x14ac:dyDescent="0.35">
      <c r="X6153" s="40"/>
      <c r="Y6153" s="40"/>
    </row>
    <row r="6154" spans="24:25" x14ac:dyDescent="0.35">
      <c r="X6154" s="40"/>
      <c r="Y6154" s="40"/>
    </row>
    <row r="6155" spans="24:25" x14ac:dyDescent="0.35">
      <c r="X6155" s="40"/>
      <c r="Y6155" s="40"/>
    </row>
    <row r="6156" spans="24:25" x14ac:dyDescent="0.35">
      <c r="X6156" s="40"/>
      <c r="Y6156" s="40"/>
    </row>
    <row r="6157" spans="24:25" x14ac:dyDescent="0.35">
      <c r="X6157" s="40"/>
      <c r="Y6157" s="40"/>
    </row>
    <row r="6158" spans="24:25" x14ac:dyDescent="0.35">
      <c r="X6158" s="40"/>
      <c r="Y6158" s="40"/>
    </row>
    <row r="6159" spans="24:25" x14ac:dyDescent="0.35">
      <c r="X6159" s="40"/>
      <c r="Y6159" s="40"/>
    </row>
    <row r="6160" spans="24:25" x14ac:dyDescent="0.35">
      <c r="X6160" s="40"/>
      <c r="Y6160" s="40"/>
    </row>
    <row r="6161" spans="24:25" x14ac:dyDescent="0.35">
      <c r="X6161" s="40"/>
      <c r="Y6161" s="40"/>
    </row>
    <row r="6162" spans="24:25" x14ac:dyDescent="0.35">
      <c r="X6162" s="40"/>
      <c r="Y6162" s="40"/>
    </row>
    <row r="6163" spans="24:25" x14ac:dyDescent="0.35">
      <c r="X6163" s="40"/>
      <c r="Y6163" s="40"/>
    </row>
    <row r="6164" spans="24:25" x14ac:dyDescent="0.35">
      <c r="X6164" s="40"/>
      <c r="Y6164" s="40"/>
    </row>
    <row r="6165" spans="24:25" x14ac:dyDescent="0.35">
      <c r="X6165" s="40"/>
      <c r="Y6165" s="40"/>
    </row>
    <row r="6166" spans="24:25" x14ac:dyDescent="0.35">
      <c r="X6166" s="40"/>
      <c r="Y6166" s="40"/>
    </row>
    <row r="6167" spans="24:25" x14ac:dyDescent="0.35">
      <c r="X6167" s="40"/>
      <c r="Y6167" s="40"/>
    </row>
    <row r="6168" spans="24:25" x14ac:dyDescent="0.35">
      <c r="X6168" s="40"/>
      <c r="Y6168" s="40"/>
    </row>
    <row r="6169" spans="24:25" x14ac:dyDescent="0.35">
      <c r="X6169" s="40"/>
      <c r="Y6169" s="40"/>
    </row>
    <row r="6170" spans="24:25" x14ac:dyDescent="0.35">
      <c r="X6170" s="40"/>
      <c r="Y6170" s="40"/>
    </row>
    <row r="6171" spans="24:25" x14ac:dyDescent="0.35">
      <c r="X6171" s="40"/>
      <c r="Y6171" s="40"/>
    </row>
    <row r="6172" spans="24:25" x14ac:dyDescent="0.35">
      <c r="X6172" s="40"/>
      <c r="Y6172" s="40"/>
    </row>
    <row r="6173" spans="24:25" x14ac:dyDescent="0.35">
      <c r="X6173" s="40"/>
      <c r="Y6173" s="40"/>
    </row>
    <row r="6174" spans="24:25" x14ac:dyDescent="0.35">
      <c r="X6174" s="40"/>
      <c r="Y6174" s="40"/>
    </row>
    <row r="6175" spans="24:25" x14ac:dyDescent="0.35">
      <c r="X6175" s="40"/>
      <c r="Y6175" s="40"/>
    </row>
    <row r="6176" spans="24:25" x14ac:dyDescent="0.35">
      <c r="X6176" s="40"/>
      <c r="Y6176" s="40"/>
    </row>
    <row r="6177" spans="24:25" x14ac:dyDescent="0.35">
      <c r="X6177" s="40"/>
      <c r="Y6177" s="40"/>
    </row>
    <row r="6178" spans="24:25" x14ac:dyDescent="0.35">
      <c r="X6178" s="40"/>
      <c r="Y6178" s="40"/>
    </row>
    <row r="6179" spans="24:25" x14ac:dyDescent="0.35">
      <c r="X6179" s="40"/>
      <c r="Y6179" s="40"/>
    </row>
    <row r="6180" spans="24:25" x14ac:dyDescent="0.35">
      <c r="X6180" s="40"/>
      <c r="Y6180" s="40"/>
    </row>
    <row r="6181" spans="24:25" x14ac:dyDescent="0.35">
      <c r="X6181" s="40"/>
      <c r="Y6181" s="40"/>
    </row>
    <row r="6182" spans="24:25" x14ac:dyDescent="0.35">
      <c r="X6182" s="40"/>
      <c r="Y6182" s="40"/>
    </row>
    <row r="6183" spans="24:25" x14ac:dyDescent="0.35">
      <c r="X6183" s="40"/>
      <c r="Y6183" s="40"/>
    </row>
    <row r="6184" spans="24:25" x14ac:dyDescent="0.35">
      <c r="X6184" s="40"/>
      <c r="Y6184" s="40"/>
    </row>
    <row r="6185" spans="24:25" x14ac:dyDescent="0.35">
      <c r="X6185" s="40"/>
      <c r="Y6185" s="40"/>
    </row>
    <row r="6186" spans="24:25" x14ac:dyDescent="0.35">
      <c r="X6186" s="40"/>
      <c r="Y6186" s="40"/>
    </row>
    <row r="6187" spans="24:25" x14ac:dyDescent="0.35">
      <c r="X6187" s="40"/>
      <c r="Y6187" s="40"/>
    </row>
    <row r="6188" spans="24:25" x14ac:dyDescent="0.35">
      <c r="X6188" s="40"/>
      <c r="Y6188" s="40"/>
    </row>
    <row r="6189" spans="24:25" x14ac:dyDescent="0.35">
      <c r="X6189" s="40"/>
      <c r="Y6189" s="40"/>
    </row>
    <row r="6190" spans="24:25" x14ac:dyDescent="0.35">
      <c r="X6190" s="40"/>
      <c r="Y6190" s="40"/>
    </row>
    <row r="6191" spans="24:25" x14ac:dyDescent="0.35">
      <c r="X6191" s="40"/>
      <c r="Y6191" s="40"/>
    </row>
    <row r="6192" spans="24:25" x14ac:dyDescent="0.35">
      <c r="X6192" s="40"/>
      <c r="Y6192" s="40"/>
    </row>
    <row r="6193" spans="24:25" x14ac:dyDescent="0.35">
      <c r="X6193" s="40"/>
      <c r="Y6193" s="40"/>
    </row>
    <row r="6194" spans="24:25" x14ac:dyDescent="0.35">
      <c r="X6194" s="40"/>
      <c r="Y6194" s="40"/>
    </row>
    <row r="6195" spans="24:25" x14ac:dyDescent="0.35">
      <c r="X6195" s="40"/>
      <c r="Y6195" s="40"/>
    </row>
    <row r="6196" spans="24:25" x14ac:dyDescent="0.35">
      <c r="X6196" s="40"/>
      <c r="Y6196" s="40"/>
    </row>
    <row r="6197" spans="24:25" x14ac:dyDescent="0.35">
      <c r="X6197" s="40"/>
      <c r="Y6197" s="40"/>
    </row>
    <row r="6198" spans="24:25" x14ac:dyDescent="0.35">
      <c r="X6198" s="40"/>
      <c r="Y6198" s="40"/>
    </row>
    <row r="6199" spans="24:25" x14ac:dyDescent="0.35">
      <c r="X6199" s="40"/>
      <c r="Y6199" s="40"/>
    </row>
    <row r="6200" spans="24:25" x14ac:dyDescent="0.35">
      <c r="X6200" s="40"/>
      <c r="Y6200" s="40"/>
    </row>
    <row r="6201" spans="24:25" x14ac:dyDescent="0.35">
      <c r="X6201" s="40"/>
      <c r="Y6201" s="40"/>
    </row>
    <row r="6202" spans="24:25" x14ac:dyDescent="0.35">
      <c r="X6202" s="40"/>
      <c r="Y6202" s="40"/>
    </row>
    <row r="6203" spans="24:25" x14ac:dyDescent="0.35">
      <c r="X6203" s="40"/>
      <c r="Y6203" s="40"/>
    </row>
    <row r="6204" spans="24:25" x14ac:dyDescent="0.35">
      <c r="X6204" s="40"/>
      <c r="Y6204" s="40"/>
    </row>
    <row r="6205" spans="24:25" x14ac:dyDescent="0.35">
      <c r="X6205" s="40"/>
      <c r="Y6205" s="40"/>
    </row>
    <row r="6206" spans="24:25" x14ac:dyDescent="0.35">
      <c r="X6206" s="40"/>
      <c r="Y6206" s="40"/>
    </row>
    <row r="6207" spans="24:25" x14ac:dyDescent="0.35">
      <c r="X6207" s="40"/>
      <c r="Y6207" s="40"/>
    </row>
    <row r="6208" spans="24:25" x14ac:dyDescent="0.35">
      <c r="X6208" s="40"/>
      <c r="Y6208" s="40"/>
    </row>
    <row r="6209" spans="24:25" x14ac:dyDescent="0.35">
      <c r="X6209" s="40"/>
      <c r="Y6209" s="40"/>
    </row>
    <row r="6210" spans="24:25" x14ac:dyDescent="0.35">
      <c r="X6210" s="40"/>
      <c r="Y6210" s="40"/>
    </row>
    <row r="6211" spans="24:25" x14ac:dyDescent="0.35">
      <c r="X6211" s="40"/>
      <c r="Y6211" s="40"/>
    </row>
    <row r="6212" spans="24:25" x14ac:dyDescent="0.35">
      <c r="X6212" s="40"/>
      <c r="Y6212" s="40"/>
    </row>
    <row r="6213" spans="24:25" x14ac:dyDescent="0.35">
      <c r="X6213" s="40"/>
      <c r="Y6213" s="40"/>
    </row>
    <row r="6214" spans="24:25" x14ac:dyDescent="0.35">
      <c r="X6214" s="40"/>
      <c r="Y6214" s="40"/>
    </row>
    <row r="6215" spans="24:25" x14ac:dyDescent="0.35">
      <c r="X6215" s="40"/>
      <c r="Y6215" s="40"/>
    </row>
    <row r="6216" spans="24:25" x14ac:dyDescent="0.35">
      <c r="X6216" s="40"/>
      <c r="Y6216" s="40"/>
    </row>
    <row r="6217" spans="24:25" x14ac:dyDescent="0.35">
      <c r="X6217" s="40"/>
      <c r="Y6217" s="40"/>
    </row>
    <row r="6218" spans="24:25" x14ac:dyDescent="0.35">
      <c r="X6218" s="40"/>
      <c r="Y6218" s="40"/>
    </row>
    <row r="6219" spans="24:25" x14ac:dyDescent="0.35">
      <c r="X6219" s="40"/>
      <c r="Y6219" s="40"/>
    </row>
    <row r="6220" spans="24:25" x14ac:dyDescent="0.35">
      <c r="X6220" s="40"/>
      <c r="Y6220" s="40"/>
    </row>
    <row r="6221" spans="24:25" x14ac:dyDescent="0.35">
      <c r="X6221" s="40"/>
      <c r="Y6221" s="40"/>
    </row>
    <row r="6222" spans="24:25" x14ac:dyDescent="0.35">
      <c r="X6222" s="40"/>
      <c r="Y6222" s="40"/>
    </row>
    <row r="6223" spans="24:25" x14ac:dyDescent="0.35">
      <c r="X6223" s="40"/>
      <c r="Y6223" s="40"/>
    </row>
    <row r="6224" spans="24:25" x14ac:dyDescent="0.35">
      <c r="X6224" s="40"/>
      <c r="Y6224" s="40"/>
    </row>
    <row r="6225" spans="24:25" x14ac:dyDescent="0.35">
      <c r="X6225" s="40"/>
      <c r="Y6225" s="40"/>
    </row>
    <row r="6226" spans="24:25" x14ac:dyDescent="0.35">
      <c r="X6226" s="40"/>
      <c r="Y6226" s="40"/>
    </row>
    <row r="6227" spans="24:25" x14ac:dyDescent="0.35">
      <c r="X6227" s="40"/>
      <c r="Y6227" s="40"/>
    </row>
    <row r="6228" spans="24:25" x14ac:dyDescent="0.35">
      <c r="X6228" s="40"/>
      <c r="Y6228" s="40"/>
    </row>
    <row r="6229" spans="24:25" x14ac:dyDescent="0.35">
      <c r="X6229" s="40"/>
      <c r="Y6229" s="40"/>
    </row>
    <row r="6230" spans="24:25" x14ac:dyDescent="0.35">
      <c r="X6230" s="40"/>
      <c r="Y6230" s="40"/>
    </row>
    <row r="6231" spans="24:25" x14ac:dyDescent="0.35">
      <c r="X6231" s="40"/>
      <c r="Y6231" s="40"/>
    </row>
    <row r="6232" spans="24:25" x14ac:dyDescent="0.35">
      <c r="X6232" s="40"/>
      <c r="Y6232" s="40"/>
    </row>
    <row r="6233" spans="24:25" x14ac:dyDescent="0.35">
      <c r="X6233" s="40"/>
      <c r="Y6233" s="40"/>
    </row>
    <row r="6234" spans="24:25" x14ac:dyDescent="0.35">
      <c r="X6234" s="40"/>
      <c r="Y6234" s="40"/>
    </row>
    <row r="6235" spans="24:25" x14ac:dyDescent="0.35">
      <c r="X6235" s="40"/>
      <c r="Y6235" s="40"/>
    </row>
    <row r="6236" spans="24:25" x14ac:dyDescent="0.35">
      <c r="X6236" s="40"/>
      <c r="Y6236" s="40"/>
    </row>
    <row r="6237" spans="24:25" x14ac:dyDescent="0.35">
      <c r="X6237" s="40"/>
      <c r="Y6237" s="40"/>
    </row>
    <row r="6238" spans="24:25" x14ac:dyDescent="0.35">
      <c r="X6238" s="40"/>
      <c r="Y6238" s="40"/>
    </row>
    <row r="6239" spans="24:25" x14ac:dyDescent="0.35">
      <c r="X6239" s="40"/>
      <c r="Y6239" s="40"/>
    </row>
    <row r="6240" spans="24:25" x14ac:dyDescent="0.35">
      <c r="X6240" s="40"/>
      <c r="Y6240" s="40"/>
    </row>
    <row r="6241" spans="24:25" x14ac:dyDescent="0.35">
      <c r="X6241" s="40"/>
      <c r="Y6241" s="40"/>
    </row>
    <row r="6242" spans="24:25" x14ac:dyDescent="0.35">
      <c r="X6242" s="40"/>
      <c r="Y6242" s="40"/>
    </row>
    <row r="6243" spans="24:25" x14ac:dyDescent="0.35">
      <c r="X6243" s="40"/>
      <c r="Y6243" s="40"/>
    </row>
    <row r="6244" spans="24:25" x14ac:dyDescent="0.35">
      <c r="X6244" s="40"/>
      <c r="Y6244" s="40"/>
    </row>
    <row r="6245" spans="24:25" x14ac:dyDescent="0.35">
      <c r="X6245" s="40"/>
      <c r="Y6245" s="40"/>
    </row>
    <row r="6246" spans="24:25" x14ac:dyDescent="0.35">
      <c r="X6246" s="40"/>
      <c r="Y6246" s="40"/>
    </row>
    <row r="6247" spans="24:25" x14ac:dyDescent="0.35">
      <c r="X6247" s="40"/>
      <c r="Y6247" s="40"/>
    </row>
    <row r="6248" spans="24:25" x14ac:dyDescent="0.35">
      <c r="X6248" s="40"/>
      <c r="Y6248" s="40"/>
    </row>
    <row r="6249" spans="24:25" x14ac:dyDescent="0.35">
      <c r="X6249" s="40"/>
      <c r="Y6249" s="40"/>
    </row>
    <row r="6250" spans="24:25" x14ac:dyDescent="0.35">
      <c r="X6250" s="40"/>
      <c r="Y6250" s="40"/>
    </row>
    <row r="6251" spans="24:25" x14ac:dyDescent="0.35">
      <c r="X6251" s="40"/>
      <c r="Y6251" s="40"/>
    </row>
    <row r="6252" spans="24:25" x14ac:dyDescent="0.35">
      <c r="X6252" s="40"/>
      <c r="Y6252" s="40"/>
    </row>
    <row r="6253" spans="24:25" x14ac:dyDescent="0.35">
      <c r="X6253" s="40"/>
      <c r="Y6253" s="40"/>
    </row>
    <row r="6254" spans="24:25" x14ac:dyDescent="0.35">
      <c r="X6254" s="40"/>
      <c r="Y6254" s="40"/>
    </row>
    <row r="6255" spans="24:25" x14ac:dyDescent="0.35">
      <c r="X6255" s="40"/>
      <c r="Y6255" s="40"/>
    </row>
    <row r="6256" spans="24:25" x14ac:dyDescent="0.35">
      <c r="X6256" s="40"/>
      <c r="Y6256" s="40"/>
    </row>
    <row r="6257" spans="24:25" x14ac:dyDescent="0.35">
      <c r="X6257" s="40"/>
      <c r="Y6257" s="40"/>
    </row>
    <row r="6258" spans="24:25" x14ac:dyDescent="0.35">
      <c r="X6258" s="40"/>
      <c r="Y6258" s="40"/>
    </row>
    <row r="6259" spans="24:25" x14ac:dyDescent="0.35">
      <c r="X6259" s="40"/>
      <c r="Y6259" s="40"/>
    </row>
    <row r="6260" spans="24:25" x14ac:dyDescent="0.35">
      <c r="X6260" s="40"/>
      <c r="Y6260" s="40"/>
    </row>
    <row r="6261" spans="24:25" x14ac:dyDescent="0.35">
      <c r="X6261" s="40"/>
      <c r="Y6261" s="40"/>
    </row>
    <row r="6262" spans="24:25" x14ac:dyDescent="0.35">
      <c r="X6262" s="40"/>
      <c r="Y6262" s="40"/>
    </row>
    <row r="6263" spans="24:25" x14ac:dyDescent="0.35">
      <c r="X6263" s="40"/>
      <c r="Y6263" s="40"/>
    </row>
    <row r="6264" spans="24:25" x14ac:dyDescent="0.35">
      <c r="X6264" s="40"/>
      <c r="Y6264" s="40"/>
    </row>
    <row r="6265" spans="24:25" x14ac:dyDescent="0.35">
      <c r="X6265" s="40"/>
      <c r="Y6265" s="40"/>
    </row>
    <row r="6266" spans="24:25" x14ac:dyDescent="0.35">
      <c r="X6266" s="40"/>
      <c r="Y6266" s="40"/>
    </row>
    <row r="6267" spans="24:25" x14ac:dyDescent="0.35">
      <c r="X6267" s="40"/>
      <c r="Y6267" s="40"/>
    </row>
    <row r="6268" spans="24:25" x14ac:dyDescent="0.35">
      <c r="X6268" s="40"/>
      <c r="Y6268" s="40"/>
    </row>
    <row r="6269" spans="24:25" x14ac:dyDescent="0.35">
      <c r="X6269" s="40"/>
      <c r="Y6269" s="40"/>
    </row>
    <row r="6270" spans="24:25" x14ac:dyDescent="0.35">
      <c r="X6270" s="40"/>
      <c r="Y6270" s="40"/>
    </row>
    <row r="6271" spans="24:25" x14ac:dyDescent="0.35">
      <c r="X6271" s="40"/>
      <c r="Y6271" s="40"/>
    </row>
    <row r="6272" spans="24:25" x14ac:dyDescent="0.35">
      <c r="X6272" s="40"/>
      <c r="Y6272" s="40"/>
    </row>
    <row r="6273" spans="24:25" x14ac:dyDescent="0.35">
      <c r="X6273" s="40"/>
      <c r="Y6273" s="40"/>
    </row>
    <row r="6274" spans="24:25" x14ac:dyDescent="0.35">
      <c r="X6274" s="40"/>
      <c r="Y6274" s="40"/>
    </row>
    <row r="6275" spans="24:25" x14ac:dyDescent="0.35">
      <c r="X6275" s="40"/>
      <c r="Y6275" s="40"/>
    </row>
    <row r="6276" spans="24:25" x14ac:dyDescent="0.35">
      <c r="X6276" s="40"/>
      <c r="Y6276" s="40"/>
    </row>
    <row r="6277" spans="24:25" x14ac:dyDescent="0.35">
      <c r="X6277" s="40"/>
      <c r="Y6277" s="40"/>
    </row>
    <row r="6278" spans="24:25" x14ac:dyDescent="0.35">
      <c r="X6278" s="40"/>
      <c r="Y6278" s="40"/>
    </row>
    <row r="6279" spans="24:25" x14ac:dyDescent="0.35">
      <c r="X6279" s="40"/>
      <c r="Y6279" s="40"/>
    </row>
    <row r="6280" spans="24:25" x14ac:dyDescent="0.35">
      <c r="X6280" s="40"/>
      <c r="Y6280" s="40"/>
    </row>
    <row r="6281" spans="24:25" x14ac:dyDescent="0.35">
      <c r="X6281" s="40"/>
      <c r="Y6281" s="40"/>
    </row>
    <row r="6282" spans="24:25" x14ac:dyDescent="0.35">
      <c r="X6282" s="40"/>
      <c r="Y6282" s="40"/>
    </row>
    <row r="6283" spans="24:25" x14ac:dyDescent="0.35">
      <c r="X6283" s="40"/>
      <c r="Y6283" s="40"/>
    </row>
    <row r="6284" spans="24:25" x14ac:dyDescent="0.35">
      <c r="X6284" s="40"/>
      <c r="Y6284" s="40"/>
    </row>
    <row r="6285" spans="24:25" x14ac:dyDescent="0.35">
      <c r="X6285" s="40"/>
      <c r="Y6285" s="40"/>
    </row>
    <row r="6286" spans="24:25" x14ac:dyDescent="0.35">
      <c r="X6286" s="40"/>
      <c r="Y6286" s="40"/>
    </row>
    <row r="6287" spans="24:25" x14ac:dyDescent="0.35">
      <c r="X6287" s="40"/>
      <c r="Y6287" s="40"/>
    </row>
    <row r="6288" spans="24:25" x14ac:dyDescent="0.35">
      <c r="X6288" s="40"/>
      <c r="Y6288" s="40"/>
    </row>
    <row r="6289" spans="24:25" x14ac:dyDescent="0.35">
      <c r="X6289" s="40"/>
      <c r="Y6289" s="40"/>
    </row>
    <row r="6290" spans="24:25" x14ac:dyDescent="0.35">
      <c r="X6290" s="40"/>
      <c r="Y6290" s="40"/>
    </row>
    <row r="6291" spans="24:25" x14ac:dyDescent="0.35">
      <c r="X6291" s="40"/>
      <c r="Y6291" s="40"/>
    </row>
    <row r="6292" spans="24:25" x14ac:dyDescent="0.35">
      <c r="X6292" s="40"/>
      <c r="Y6292" s="40"/>
    </row>
    <row r="6293" spans="24:25" x14ac:dyDescent="0.35">
      <c r="X6293" s="40"/>
      <c r="Y6293" s="40"/>
    </row>
    <row r="6294" spans="24:25" x14ac:dyDescent="0.35">
      <c r="X6294" s="40"/>
      <c r="Y6294" s="40"/>
    </row>
    <row r="6295" spans="24:25" x14ac:dyDescent="0.35">
      <c r="X6295" s="40"/>
      <c r="Y6295" s="40"/>
    </row>
    <row r="6296" spans="24:25" x14ac:dyDescent="0.35">
      <c r="X6296" s="40"/>
      <c r="Y6296" s="40"/>
    </row>
    <row r="6297" spans="24:25" x14ac:dyDescent="0.35">
      <c r="X6297" s="40"/>
      <c r="Y6297" s="40"/>
    </row>
    <row r="6298" spans="24:25" x14ac:dyDescent="0.35">
      <c r="X6298" s="40"/>
      <c r="Y6298" s="40"/>
    </row>
    <row r="6299" spans="24:25" x14ac:dyDescent="0.35">
      <c r="X6299" s="40"/>
      <c r="Y6299" s="40"/>
    </row>
    <row r="6300" spans="24:25" x14ac:dyDescent="0.35">
      <c r="X6300" s="40"/>
      <c r="Y6300" s="40"/>
    </row>
    <row r="6301" spans="24:25" x14ac:dyDescent="0.35">
      <c r="X6301" s="40"/>
      <c r="Y6301" s="40"/>
    </row>
    <row r="6302" spans="24:25" x14ac:dyDescent="0.35">
      <c r="X6302" s="40"/>
      <c r="Y6302" s="40"/>
    </row>
    <row r="6303" spans="24:25" x14ac:dyDescent="0.35">
      <c r="X6303" s="40"/>
      <c r="Y6303" s="40"/>
    </row>
    <row r="6304" spans="24:25" x14ac:dyDescent="0.35">
      <c r="X6304" s="40"/>
      <c r="Y6304" s="40"/>
    </row>
    <row r="6305" spans="24:25" x14ac:dyDescent="0.35">
      <c r="X6305" s="40"/>
      <c r="Y6305" s="40"/>
    </row>
    <row r="6306" spans="24:25" x14ac:dyDescent="0.35">
      <c r="X6306" s="40"/>
      <c r="Y6306" s="40"/>
    </row>
    <row r="6307" spans="24:25" x14ac:dyDescent="0.35">
      <c r="X6307" s="40"/>
      <c r="Y6307" s="40"/>
    </row>
    <row r="6308" spans="24:25" x14ac:dyDescent="0.35">
      <c r="X6308" s="40"/>
      <c r="Y6308" s="40"/>
    </row>
    <row r="6309" spans="24:25" x14ac:dyDescent="0.35">
      <c r="X6309" s="40"/>
      <c r="Y6309" s="40"/>
    </row>
    <row r="6310" spans="24:25" x14ac:dyDescent="0.35">
      <c r="X6310" s="40"/>
      <c r="Y6310" s="40"/>
    </row>
    <row r="6311" spans="24:25" x14ac:dyDescent="0.35">
      <c r="X6311" s="40"/>
      <c r="Y6311" s="40"/>
    </row>
    <row r="6312" spans="24:25" x14ac:dyDescent="0.35">
      <c r="X6312" s="40"/>
      <c r="Y6312" s="40"/>
    </row>
    <row r="6313" spans="24:25" x14ac:dyDescent="0.35">
      <c r="X6313" s="40"/>
      <c r="Y6313" s="40"/>
    </row>
    <row r="6314" spans="24:25" x14ac:dyDescent="0.35">
      <c r="X6314" s="40"/>
      <c r="Y6314" s="40"/>
    </row>
    <row r="6315" spans="24:25" x14ac:dyDescent="0.35">
      <c r="X6315" s="40"/>
      <c r="Y6315" s="40"/>
    </row>
    <row r="6316" spans="24:25" x14ac:dyDescent="0.35">
      <c r="X6316" s="40"/>
      <c r="Y6316" s="40"/>
    </row>
    <row r="6317" spans="24:25" x14ac:dyDescent="0.35">
      <c r="X6317" s="40"/>
      <c r="Y6317" s="40"/>
    </row>
    <row r="6318" spans="24:25" x14ac:dyDescent="0.35">
      <c r="X6318" s="40"/>
      <c r="Y6318" s="40"/>
    </row>
    <row r="6319" spans="24:25" x14ac:dyDescent="0.35">
      <c r="X6319" s="40"/>
      <c r="Y6319" s="40"/>
    </row>
    <row r="6320" spans="24:25" x14ac:dyDescent="0.35">
      <c r="X6320" s="40"/>
      <c r="Y6320" s="40"/>
    </row>
    <row r="6321" spans="24:25" x14ac:dyDescent="0.35">
      <c r="X6321" s="40"/>
      <c r="Y6321" s="40"/>
    </row>
    <row r="6322" spans="24:25" x14ac:dyDescent="0.35">
      <c r="X6322" s="40"/>
      <c r="Y6322" s="40"/>
    </row>
    <row r="6323" spans="24:25" x14ac:dyDescent="0.35">
      <c r="X6323" s="40"/>
      <c r="Y6323" s="40"/>
    </row>
    <row r="6324" spans="24:25" x14ac:dyDescent="0.35">
      <c r="X6324" s="40"/>
      <c r="Y6324" s="40"/>
    </row>
    <row r="6325" spans="24:25" x14ac:dyDescent="0.35">
      <c r="X6325" s="40"/>
      <c r="Y6325" s="40"/>
    </row>
    <row r="6326" spans="24:25" x14ac:dyDescent="0.35">
      <c r="X6326" s="40"/>
      <c r="Y6326" s="40"/>
    </row>
    <row r="6327" spans="24:25" x14ac:dyDescent="0.35">
      <c r="X6327" s="40"/>
      <c r="Y6327" s="40"/>
    </row>
    <row r="6328" spans="24:25" x14ac:dyDescent="0.35">
      <c r="X6328" s="40"/>
      <c r="Y6328" s="40"/>
    </row>
    <row r="6329" spans="24:25" x14ac:dyDescent="0.35">
      <c r="X6329" s="40"/>
      <c r="Y6329" s="40"/>
    </row>
    <row r="6330" spans="24:25" x14ac:dyDescent="0.35">
      <c r="X6330" s="40"/>
      <c r="Y6330" s="40"/>
    </row>
    <row r="6331" spans="24:25" x14ac:dyDescent="0.35">
      <c r="X6331" s="40"/>
      <c r="Y6331" s="40"/>
    </row>
    <row r="6332" spans="24:25" x14ac:dyDescent="0.35">
      <c r="X6332" s="40"/>
      <c r="Y6332" s="40"/>
    </row>
    <row r="6333" spans="24:25" x14ac:dyDescent="0.35">
      <c r="X6333" s="40"/>
      <c r="Y6333" s="40"/>
    </row>
    <row r="6334" spans="24:25" x14ac:dyDescent="0.35">
      <c r="X6334" s="40"/>
      <c r="Y6334" s="40"/>
    </row>
    <row r="6335" spans="24:25" x14ac:dyDescent="0.35">
      <c r="X6335" s="40"/>
      <c r="Y6335" s="40"/>
    </row>
    <row r="6336" spans="24:25" x14ac:dyDescent="0.35">
      <c r="X6336" s="40"/>
      <c r="Y6336" s="40"/>
    </row>
    <row r="6337" spans="24:25" x14ac:dyDescent="0.35">
      <c r="X6337" s="40"/>
      <c r="Y6337" s="40"/>
    </row>
    <row r="6338" spans="24:25" x14ac:dyDescent="0.35">
      <c r="X6338" s="40"/>
      <c r="Y6338" s="40"/>
    </row>
    <row r="6339" spans="24:25" x14ac:dyDescent="0.35">
      <c r="X6339" s="40"/>
      <c r="Y6339" s="40"/>
    </row>
    <row r="6340" spans="24:25" x14ac:dyDescent="0.35">
      <c r="X6340" s="40"/>
      <c r="Y6340" s="40"/>
    </row>
    <row r="6341" spans="24:25" x14ac:dyDescent="0.35">
      <c r="X6341" s="40"/>
      <c r="Y6341" s="40"/>
    </row>
    <row r="6342" spans="24:25" x14ac:dyDescent="0.35">
      <c r="X6342" s="40"/>
      <c r="Y6342" s="40"/>
    </row>
    <row r="6343" spans="24:25" x14ac:dyDescent="0.35">
      <c r="X6343" s="40"/>
      <c r="Y6343" s="40"/>
    </row>
    <row r="6344" spans="24:25" x14ac:dyDescent="0.35">
      <c r="X6344" s="40"/>
      <c r="Y6344" s="40"/>
    </row>
    <row r="6345" spans="24:25" x14ac:dyDescent="0.35">
      <c r="X6345" s="40"/>
      <c r="Y6345" s="40"/>
    </row>
    <row r="6346" spans="24:25" x14ac:dyDescent="0.35">
      <c r="X6346" s="40"/>
      <c r="Y6346" s="40"/>
    </row>
    <row r="6347" spans="24:25" x14ac:dyDescent="0.35">
      <c r="X6347" s="40"/>
      <c r="Y6347" s="40"/>
    </row>
    <row r="6348" spans="24:25" x14ac:dyDescent="0.35">
      <c r="X6348" s="40"/>
      <c r="Y6348" s="40"/>
    </row>
    <row r="6349" spans="24:25" x14ac:dyDescent="0.35">
      <c r="X6349" s="40"/>
      <c r="Y6349" s="40"/>
    </row>
    <row r="6350" spans="24:25" x14ac:dyDescent="0.35">
      <c r="X6350" s="40"/>
      <c r="Y6350" s="40"/>
    </row>
    <row r="6351" spans="24:25" x14ac:dyDescent="0.35">
      <c r="X6351" s="40"/>
      <c r="Y6351" s="40"/>
    </row>
    <row r="6352" spans="24:25" x14ac:dyDescent="0.35">
      <c r="X6352" s="40"/>
      <c r="Y6352" s="40"/>
    </row>
    <row r="6353" spans="24:25" x14ac:dyDescent="0.35">
      <c r="X6353" s="40"/>
      <c r="Y6353" s="40"/>
    </row>
    <row r="6354" spans="24:25" x14ac:dyDescent="0.35">
      <c r="X6354" s="40"/>
      <c r="Y6354" s="40"/>
    </row>
    <row r="6355" spans="24:25" x14ac:dyDescent="0.35">
      <c r="X6355" s="40"/>
      <c r="Y6355" s="40"/>
    </row>
    <row r="6356" spans="24:25" x14ac:dyDescent="0.35">
      <c r="X6356" s="40"/>
      <c r="Y6356" s="40"/>
    </row>
    <row r="6357" spans="24:25" x14ac:dyDescent="0.35">
      <c r="X6357" s="40"/>
      <c r="Y6357" s="40"/>
    </row>
    <row r="6358" spans="24:25" x14ac:dyDescent="0.35">
      <c r="X6358" s="40"/>
      <c r="Y6358" s="40"/>
    </row>
    <row r="6359" spans="24:25" x14ac:dyDescent="0.35">
      <c r="X6359" s="40"/>
      <c r="Y6359" s="40"/>
    </row>
    <row r="6360" spans="24:25" x14ac:dyDescent="0.35">
      <c r="X6360" s="40"/>
      <c r="Y6360" s="40"/>
    </row>
    <row r="6361" spans="24:25" x14ac:dyDescent="0.35">
      <c r="X6361" s="40"/>
      <c r="Y6361" s="40"/>
    </row>
    <row r="6362" spans="24:25" x14ac:dyDescent="0.35">
      <c r="X6362" s="40"/>
      <c r="Y6362" s="40"/>
    </row>
    <row r="6363" spans="24:25" x14ac:dyDescent="0.35">
      <c r="X6363" s="40"/>
      <c r="Y6363" s="40"/>
    </row>
    <row r="6364" spans="24:25" x14ac:dyDescent="0.35">
      <c r="X6364" s="40"/>
      <c r="Y6364" s="40"/>
    </row>
    <row r="6365" spans="24:25" x14ac:dyDescent="0.35">
      <c r="X6365" s="40"/>
      <c r="Y6365" s="40"/>
    </row>
    <row r="6366" spans="24:25" x14ac:dyDescent="0.35">
      <c r="X6366" s="40"/>
      <c r="Y6366" s="40"/>
    </row>
    <row r="6367" spans="24:25" x14ac:dyDescent="0.35">
      <c r="X6367" s="40"/>
      <c r="Y6367" s="40"/>
    </row>
    <row r="6368" spans="24:25" x14ac:dyDescent="0.35">
      <c r="X6368" s="40"/>
      <c r="Y6368" s="40"/>
    </row>
    <row r="6369" spans="24:25" x14ac:dyDescent="0.35">
      <c r="X6369" s="40"/>
      <c r="Y6369" s="40"/>
    </row>
    <row r="6370" spans="24:25" x14ac:dyDescent="0.35">
      <c r="X6370" s="40"/>
      <c r="Y6370" s="40"/>
    </row>
    <row r="6371" spans="24:25" x14ac:dyDescent="0.35">
      <c r="X6371" s="40"/>
      <c r="Y6371" s="40"/>
    </row>
    <row r="6372" spans="24:25" x14ac:dyDescent="0.35">
      <c r="X6372" s="40"/>
      <c r="Y6372" s="40"/>
    </row>
    <row r="6373" spans="24:25" x14ac:dyDescent="0.35">
      <c r="X6373" s="40"/>
      <c r="Y6373" s="40"/>
    </row>
    <row r="6374" spans="24:25" x14ac:dyDescent="0.35">
      <c r="X6374" s="40"/>
      <c r="Y6374" s="40"/>
    </row>
    <row r="6375" spans="24:25" x14ac:dyDescent="0.35">
      <c r="X6375" s="40"/>
      <c r="Y6375" s="40"/>
    </row>
    <row r="6376" spans="24:25" x14ac:dyDescent="0.35">
      <c r="X6376" s="40"/>
      <c r="Y6376" s="40"/>
    </row>
    <row r="6377" spans="24:25" x14ac:dyDescent="0.35">
      <c r="X6377" s="40"/>
      <c r="Y6377" s="40"/>
    </row>
    <row r="6378" spans="24:25" x14ac:dyDescent="0.35">
      <c r="X6378" s="40"/>
      <c r="Y6378" s="40"/>
    </row>
    <row r="6379" spans="24:25" x14ac:dyDescent="0.35">
      <c r="X6379" s="40"/>
      <c r="Y6379" s="40"/>
    </row>
    <row r="6380" spans="24:25" x14ac:dyDescent="0.35">
      <c r="X6380" s="40"/>
      <c r="Y6380" s="40"/>
    </row>
    <row r="6381" spans="24:25" x14ac:dyDescent="0.35">
      <c r="X6381" s="40"/>
      <c r="Y6381" s="40"/>
    </row>
    <row r="6382" spans="24:25" x14ac:dyDescent="0.35">
      <c r="X6382" s="40"/>
      <c r="Y6382" s="40"/>
    </row>
    <row r="6383" spans="24:25" x14ac:dyDescent="0.35">
      <c r="X6383" s="40"/>
      <c r="Y6383" s="40"/>
    </row>
    <row r="6384" spans="24:25" x14ac:dyDescent="0.35">
      <c r="X6384" s="40"/>
      <c r="Y6384" s="40"/>
    </row>
    <row r="6385" spans="24:25" x14ac:dyDescent="0.35">
      <c r="X6385" s="40"/>
      <c r="Y6385" s="40"/>
    </row>
    <row r="6386" spans="24:25" x14ac:dyDescent="0.35">
      <c r="X6386" s="40"/>
      <c r="Y6386" s="40"/>
    </row>
    <row r="6387" spans="24:25" x14ac:dyDescent="0.35">
      <c r="X6387" s="40"/>
      <c r="Y6387" s="40"/>
    </row>
    <row r="6388" spans="24:25" x14ac:dyDescent="0.35">
      <c r="X6388" s="40"/>
      <c r="Y6388" s="40"/>
    </row>
    <row r="6389" spans="24:25" x14ac:dyDescent="0.35">
      <c r="X6389" s="40"/>
      <c r="Y6389" s="40"/>
    </row>
    <row r="6390" spans="24:25" x14ac:dyDescent="0.35">
      <c r="X6390" s="40"/>
      <c r="Y6390" s="40"/>
    </row>
    <row r="6391" spans="24:25" x14ac:dyDescent="0.35">
      <c r="X6391" s="40"/>
      <c r="Y6391" s="40"/>
    </row>
    <row r="6392" spans="24:25" x14ac:dyDescent="0.35">
      <c r="X6392" s="40"/>
      <c r="Y6392" s="40"/>
    </row>
    <row r="6393" spans="24:25" x14ac:dyDescent="0.35">
      <c r="X6393" s="40"/>
      <c r="Y6393" s="40"/>
    </row>
    <row r="6394" spans="24:25" x14ac:dyDescent="0.35">
      <c r="X6394" s="40"/>
      <c r="Y6394" s="40"/>
    </row>
    <row r="6395" spans="24:25" x14ac:dyDescent="0.35">
      <c r="X6395" s="40"/>
      <c r="Y6395" s="40"/>
    </row>
    <row r="6396" spans="24:25" x14ac:dyDescent="0.35">
      <c r="X6396" s="40"/>
      <c r="Y6396" s="40"/>
    </row>
    <row r="6397" spans="24:25" x14ac:dyDescent="0.35">
      <c r="X6397" s="40"/>
      <c r="Y6397" s="40"/>
    </row>
    <row r="6398" spans="24:25" x14ac:dyDescent="0.35">
      <c r="X6398" s="40"/>
      <c r="Y6398" s="40"/>
    </row>
    <row r="6399" spans="24:25" x14ac:dyDescent="0.35">
      <c r="X6399" s="40"/>
      <c r="Y6399" s="40"/>
    </row>
    <row r="6400" spans="24:25" x14ac:dyDescent="0.35">
      <c r="X6400" s="40"/>
      <c r="Y6400" s="40"/>
    </row>
    <row r="6401" spans="24:25" x14ac:dyDescent="0.35">
      <c r="X6401" s="40"/>
      <c r="Y6401" s="40"/>
    </row>
    <row r="6402" spans="24:25" x14ac:dyDescent="0.35">
      <c r="X6402" s="40"/>
      <c r="Y6402" s="40"/>
    </row>
    <row r="6403" spans="24:25" x14ac:dyDescent="0.35">
      <c r="X6403" s="40"/>
      <c r="Y6403" s="40"/>
    </row>
    <row r="6404" spans="24:25" x14ac:dyDescent="0.35">
      <c r="X6404" s="40"/>
      <c r="Y6404" s="40"/>
    </row>
    <row r="6405" spans="24:25" x14ac:dyDescent="0.35">
      <c r="X6405" s="40"/>
      <c r="Y6405" s="40"/>
    </row>
    <row r="6406" spans="24:25" x14ac:dyDescent="0.35">
      <c r="X6406" s="40"/>
      <c r="Y6406" s="40"/>
    </row>
    <row r="6407" spans="24:25" x14ac:dyDescent="0.35">
      <c r="X6407" s="40"/>
      <c r="Y6407" s="40"/>
    </row>
    <row r="6408" spans="24:25" x14ac:dyDescent="0.35">
      <c r="X6408" s="40"/>
      <c r="Y6408" s="40"/>
    </row>
    <row r="6409" spans="24:25" x14ac:dyDescent="0.35">
      <c r="X6409" s="40"/>
      <c r="Y6409" s="40"/>
    </row>
    <row r="6410" spans="24:25" x14ac:dyDescent="0.35">
      <c r="X6410" s="40"/>
      <c r="Y6410" s="40"/>
    </row>
    <row r="6411" spans="24:25" x14ac:dyDescent="0.35">
      <c r="X6411" s="40"/>
      <c r="Y6411" s="40"/>
    </row>
    <row r="6412" spans="24:25" x14ac:dyDescent="0.35">
      <c r="X6412" s="40"/>
      <c r="Y6412" s="40"/>
    </row>
    <row r="6413" spans="24:25" x14ac:dyDescent="0.35">
      <c r="X6413" s="40"/>
      <c r="Y6413" s="40"/>
    </row>
    <row r="6414" spans="24:25" x14ac:dyDescent="0.35">
      <c r="X6414" s="40"/>
      <c r="Y6414" s="40"/>
    </row>
    <row r="6415" spans="24:25" x14ac:dyDescent="0.35">
      <c r="X6415" s="40"/>
      <c r="Y6415" s="40"/>
    </row>
    <row r="6416" spans="24:25" x14ac:dyDescent="0.35">
      <c r="X6416" s="40"/>
      <c r="Y6416" s="40"/>
    </row>
    <row r="6417" spans="24:25" x14ac:dyDescent="0.35">
      <c r="X6417" s="40"/>
      <c r="Y6417" s="40"/>
    </row>
    <row r="6418" spans="24:25" x14ac:dyDescent="0.35">
      <c r="X6418" s="40"/>
      <c r="Y6418" s="40"/>
    </row>
    <row r="6419" spans="24:25" x14ac:dyDescent="0.35">
      <c r="X6419" s="40"/>
      <c r="Y6419" s="40"/>
    </row>
    <row r="6420" spans="24:25" x14ac:dyDescent="0.35">
      <c r="X6420" s="40"/>
      <c r="Y6420" s="40"/>
    </row>
    <row r="6421" spans="24:25" x14ac:dyDescent="0.35">
      <c r="X6421" s="40"/>
      <c r="Y6421" s="40"/>
    </row>
    <row r="6422" spans="24:25" x14ac:dyDescent="0.35">
      <c r="X6422" s="40"/>
      <c r="Y6422" s="40"/>
    </row>
    <row r="6423" spans="24:25" x14ac:dyDescent="0.35">
      <c r="X6423" s="40"/>
      <c r="Y6423" s="40"/>
    </row>
    <row r="6424" spans="24:25" x14ac:dyDescent="0.35">
      <c r="X6424" s="40"/>
      <c r="Y6424" s="40"/>
    </row>
    <row r="6425" spans="24:25" x14ac:dyDescent="0.35">
      <c r="X6425" s="40"/>
      <c r="Y6425" s="40"/>
    </row>
    <row r="6426" spans="24:25" x14ac:dyDescent="0.35">
      <c r="X6426" s="40"/>
      <c r="Y6426" s="40"/>
    </row>
    <row r="6427" spans="24:25" x14ac:dyDescent="0.35">
      <c r="X6427" s="40"/>
      <c r="Y6427" s="40"/>
    </row>
    <row r="6428" spans="24:25" x14ac:dyDescent="0.35">
      <c r="X6428" s="40"/>
      <c r="Y6428" s="40"/>
    </row>
    <row r="6429" spans="24:25" x14ac:dyDescent="0.35">
      <c r="X6429" s="40"/>
      <c r="Y6429" s="40"/>
    </row>
    <row r="6430" spans="24:25" x14ac:dyDescent="0.35">
      <c r="X6430" s="40"/>
      <c r="Y6430" s="40"/>
    </row>
    <row r="6431" spans="24:25" x14ac:dyDescent="0.35">
      <c r="X6431" s="40"/>
      <c r="Y6431" s="40"/>
    </row>
    <row r="6432" spans="24:25" x14ac:dyDescent="0.35">
      <c r="X6432" s="40"/>
      <c r="Y6432" s="40"/>
    </row>
    <row r="6433" spans="24:25" x14ac:dyDescent="0.35">
      <c r="X6433" s="40"/>
      <c r="Y6433" s="40"/>
    </row>
    <row r="6434" spans="24:25" x14ac:dyDescent="0.35">
      <c r="X6434" s="40"/>
      <c r="Y6434" s="40"/>
    </row>
    <row r="6435" spans="24:25" x14ac:dyDescent="0.35">
      <c r="X6435" s="40"/>
      <c r="Y6435" s="40"/>
    </row>
    <row r="6436" spans="24:25" x14ac:dyDescent="0.35">
      <c r="X6436" s="40"/>
      <c r="Y6436" s="40"/>
    </row>
    <row r="6437" spans="24:25" x14ac:dyDescent="0.35">
      <c r="X6437" s="40"/>
      <c r="Y6437" s="40"/>
    </row>
    <row r="6438" spans="24:25" x14ac:dyDescent="0.35">
      <c r="X6438" s="40"/>
      <c r="Y6438" s="40"/>
    </row>
    <row r="6439" spans="24:25" x14ac:dyDescent="0.35">
      <c r="X6439" s="40"/>
      <c r="Y6439" s="40"/>
    </row>
    <row r="6440" spans="24:25" x14ac:dyDescent="0.35">
      <c r="X6440" s="40"/>
      <c r="Y6440" s="40"/>
    </row>
    <row r="6441" spans="24:25" x14ac:dyDescent="0.35">
      <c r="X6441" s="40"/>
      <c r="Y6441" s="40"/>
    </row>
    <row r="6442" spans="24:25" x14ac:dyDescent="0.35">
      <c r="X6442" s="40"/>
      <c r="Y6442" s="40"/>
    </row>
    <row r="6443" spans="24:25" x14ac:dyDescent="0.35">
      <c r="X6443" s="40"/>
      <c r="Y6443" s="40"/>
    </row>
    <row r="6444" spans="24:25" x14ac:dyDescent="0.35">
      <c r="X6444" s="40"/>
      <c r="Y6444" s="40"/>
    </row>
    <row r="6445" spans="24:25" x14ac:dyDescent="0.35">
      <c r="X6445" s="40"/>
      <c r="Y6445" s="40"/>
    </row>
    <row r="6446" spans="24:25" x14ac:dyDescent="0.35">
      <c r="X6446" s="40"/>
      <c r="Y6446" s="40"/>
    </row>
    <row r="6447" spans="24:25" x14ac:dyDescent="0.35">
      <c r="X6447" s="40"/>
      <c r="Y6447" s="40"/>
    </row>
    <row r="6448" spans="24:25" x14ac:dyDescent="0.35">
      <c r="X6448" s="40"/>
      <c r="Y6448" s="40"/>
    </row>
    <row r="6449" spans="24:25" x14ac:dyDescent="0.35">
      <c r="X6449" s="40"/>
      <c r="Y6449" s="40"/>
    </row>
    <row r="6450" spans="24:25" x14ac:dyDescent="0.35">
      <c r="X6450" s="40"/>
      <c r="Y6450" s="40"/>
    </row>
    <row r="6451" spans="24:25" x14ac:dyDescent="0.35">
      <c r="X6451" s="40"/>
      <c r="Y6451" s="40"/>
    </row>
    <row r="6452" spans="24:25" x14ac:dyDescent="0.35">
      <c r="X6452" s="40"/>
      <c r="Y6452" s="40"/>
    </row>
    <row r="6453" spans="24:25" x14ac:dyDescent="0.35">
      <c r="X6453" s="40"/>
      <c r="Y6453" s="40"/>
    </row>
    <row r="6454" spans="24:25" x14ac:dyDescent="0.35">
      <c r="X6454" s="40"/>
      <c r="Y6454" s="40"/>
    </row>
    <row r="6455" spans="24:25" x14ac:dyDescent="0.35">
      <c r="X6455" s="40"/>
      <c r="Y6455" s="40"/>
    </row>
    <row r="6456" spans="24:25" x14ac:dyDescent="0.35">
      <c r="X6456" s="40"/>
      <c r="Y6456" s="40"/>
    </row>
    <row r="6457" spans="24:25" x14ac:dyDescent="0.35">
      <c r="X6457" s="40"/>
      <c r="Y6457" s="40"/>
    </row>
    <row r="6458" spans="24:25" x14ac:dyDescent="0.35">
      <c r="X6458" s="40"/>
      <c r="Y6458" s="40"/>
    </row>
    <row r="6459" spans="24:25" x14ac:dyDescent="0.35">
      <c r="X6459" s="40"/>
      <c r="Y6459" s="40"/>
    </row>
    <row r="6460" spans="24:25" x14ac:dyDescent="0.35">
      <c r="X6460" s="40"/>
      <c r="Y6460" s="40"/>
    </row>
    <row r="6461" spans="24:25" x14ac:dyDescent="0.35">
      <c r="X6461" s="40"/>
      <c r="Y6461" s="40"/>
    </row>
    <row r="6462" spans="24:25" x14ac:dyDescent="0.35">
      <c r="X6462" s="40"/>
      <c r="Y6462" s="40"/>
    </row>
    <row r="6463" spans="24:25" x14ac:dyDescent="0.35">
      <c r="X6463" s="40"/>
      <c r="Y6463" s="40"/>
    </row>
    <row r="6464" spans="24:25" x14ac:dyDescent="0.35">
      <c r="X6464" s="40"/>
      <c r="Y6464" s="40"/>
    </row>
    <row r="6465" spans="24:25" x14ac:dyDescent="0.35">
      <c r="X6465" s="40"/>
      <c r="Y6465" s="40"/>
    </row>
    <row r="6466" spans="24:25" x14ac:dyDescent="0.35">
      <c r="X6466" s="40"/>
      <c r="Y6466" s="40"/>
    </row>
    <row r="6467" spans="24:25" x14ac:dyDescent="0.35">
      <c r="X6467" s="40"/>
      <c r="Y6467" s="40"/>
    </row>
    <row r="6468" spans="24:25" x14ac:dyDescent="0.35">
      <c r="X6468" s="40"/>
      <c r="Y6468" s="40"/>
    </row>
    <row r="6469" spans="24:25" x14ac:dyDescent="0.35">
      <c r="X6469" s="40"/>
      <c r="Y6469" s="40"/>
    </row>
    <row r="6470" spans="24:25" x14ac:dyDescent="0.35">
      <c r="X6470" s="40"/>
      <c r="Y6470" s="40"/>
    </row>
    <row r="6471" spans="24:25" x14ac:dyDescent="0.35">
      <c r="X6471" s="40"/>
      <c r="Y6471" s="40"/>
    </row>
    <row r="6472" spans="24:25" x14ac:dyDescent="0.35">
      <c r="X6472" s="40"/>
      <c r="Y6472" s="40"/>
    </row>
    <row r="6473" spans="24:25" x14ac:dyDescent="0.35">
      <c r="X6473" s="40"/>
      <c r="Y6473" s="40"/>
    </row>
    <row r="6474" spans="24:25" x14ac:dyDescent="0.35">
      <c r="X6474" s="40"/>
      <c r="Y6474" s="40"/>
    </row>
    <row r="6475" spans="24:25" x14ac:dyDescent="0.35">
      <c r="X6475" s="40"/>
      <c r="Y6475" s="40"/>
    </row>
    <row r="6476" spans="24:25" x14ac:dyDescent="0.35">
      <c r="X6476" s="40"/>
      <c r="Y6476" s="40"/>
    </row>
    <row r="6477" spans="24:25" x14ac:dyDescent="0.35">
      <c r="X6477" s="40"/>
      <c r="Y6477" s="40"/>
    </row>
    <row r="6478" spans="24:25" x14ac:dyDescent="0.35">
      <c r="X6478" s="40"/>
      <c r="Y6478" s="40"/>
    </row>
    <row r="6479" spans="24:25" x14ac:dyDescent="0.35">
      <c r="X6479" s="40"/>
      <c r="Y6479" s="40"/>
    </row>
    <row r="6480" spans="24:25" x14ac:dyDescent="0.35">
      <c r="X6480" s="40"/>
      <c r="Y6480" s="40"/>
    </row>
    <row r="6481" spans="24:25" x14ac:dyDescent="0.35">
      <c r="X6481" s="40"/>
      <c r="Y6481" s="40"/>
    </row>
    <row r="6482" spans="24:25" x14ac:dyDescent="0.35">
      <c r="X6482" s="40"/>
      <c r="Y6482" s="40"/>
    </row>
    <row r="6483" spans="24:25" x14ac:dyDescent="0.35">
      <c r="X6483" s="40"/>
      <c r="Y6483" s="40"/>
    </row>
    <row r="6484" spans="24:25" x14ac:dyDescent="0.35">
      <c r="X6484" s="40"/>
      <c r="Y6484" s="40"/>
    </row>
    <row r="6485" spans="24:25" x14ac:dyDescent="0.35">
      <c r="X6485" s="40"/>
      <c r="Y6485" s="40"/>
    </row>
    <row r="6486" spans="24:25" x14ac:dyDescent="0.35">
      <c r="X6486" s="40"/>
      <c r="Y6486" s="40"/>
    </row>
    <row r="6487" spans="24:25" x14ac:dyDescent="0.35">
      <c r="X6487" s="40"/>
      <c r="Y6487" s="40"/>
    </row>
    <row r="6488" spans="24:25" x14ac:dyDescent="0.35">
      <c r="X6488" s="40"/>
      <c r="Y6488" s="40"/>
    </row>
    <row r="6489" spans="24:25" x14ac:dyDescent="0.35">
      <c r="X6489" s="40"/>
      <c r="Y6489" s="40"/>
    </row>
    <row r="6490" spans="24:25" x14ac:dyDescent="0.35">
      <c r="X6490" s="40"/>
      <c r="Y6490" s="40"/>
    </row>
    <row r="6491" spans="24:25" x14ac:dyDescent="0.35">
      <c r="X6491" s="40"/>
      <c r="Y6491" s="40"/>
    </row>
    <row r="6492" spans="24:25" x14ac:dyDescent="0.35">
      <c r="X6492" s="40"/>
      <c r="Y6492" s="40"/>
    </row>
    <row r="6493" spans="24:25" x14ac:dyDescent="0.35">
      <c r="X6493" s="40"/>
      <c r="Y6493" s="40"/>
    </row>
    <row r="6494" spans="24:25" x14ac:dyDescent="0.35">
      <c r="X6494" s="40"/>
      <c r="Y6494" s="40"/>
    </row>
    <row r="6495" spans="24:25" x14ac:dyDescent="0.35">
      <c r="X6495" s="40"/>
      <c r="Y6495" s="40"/>
    </row>
    <row r="6496" spans="24:25" x14ac:dyDescent="0.35">
      <c r="X6496" s="40"/>
      <c r="Y6496" s="40"/>
    </row>
    <row r="6497" spans="24:25" x14ac:dyDescent="0.35">
      <c r="X6497" s="40"/>
      <c r="Y6497" s="40"/>
    </row>
    <row r="6498" spans="24:25" x14ac:dyDescent="0.35">
      <c r="X6498" s="40"/>
      <c r="Y6498" s="40"/>
    </row>
    <row r="6499" spans="24:25" x14ac:dyDescent="0.35">
      <c r="X6499" s="40"/>
      <c r="Y6499" s="40"/>
    </row>
    <row r="6500" spans="24:25" x14ac:dyDescent="0.35">
      <c r="X6500" s="40"/>
      <c r="Y6500" s="40"/>
    </row>
    <row r="6501" spans="24:25" x14ac:dyDescent="0.35">
      <c r="X6501" s="40"/>
      <c r="Y6501" s="40"/>
    </row>
    <row r="6502" spans="24:25" x14ac:dyDescent="0.35">
      <c r="X6502" s="40"/>
      <c r="Y6502" s="40"/>
    </row>
    <row r="6503" spans="24:25" x14ac:dyDescent="0.35">
      <c r="X6503" s="40"/>
      <c r="Y6503" s="40"/>
    </row>
    <row r="6504" spans="24:25" x14ac:dyDescent="0.35">
      <c r="X6504" s="40"/>
      <c r="Y6504" s="40"/>
    </row>
    <row r="6505" spans="24:25" x14ac:dyDescent="0.35">
      <c r="X6505" s="40"/>
      <c r="Y6505" s="40"/>
    </row>
    <row r="6506" spans="24:25" x14ac:dyDescent="0.35">
      <c r="X6506" s="40"/>
      <c r="Y6506" s="40"/>
    </row>
    <row r="6507" spans="24:25" x14ac:dyDescent="0.35">
      <c r="X6507" s="40"/>
      <c r="Y6507" s="40"/>
    </row>
    <row r="6508" spans="24:25" x14ac:dyDescent="0.35">
      <c r="X6508" s="40"/>
      <c r="Y6508" s="40"/>
    </row>
    <row r="6509" spans="24:25" x14ac:dyDescent="0.35">
      <c r="X6509" s="40"/>
      <c r="Y6509" s="40"/>
    </row>
    <row r="6510" spans="24:25" x14ac:dyDescent="0.35">
      <c r="X6510" s="40"/>
      <c r="Y6510" s="40"/>
    </row>
    <row r="6511" spans="24:25" x14ac:dyDescent="0.35">
      <c r="X6511" s="40"/>
      <c r="Y6511" s="40"/>
    </row>
    <row r="6512" spans="24:25" x14ac:dyDescent="0.35">
      <c r="X6512" s="40"/>
      <c r="Y6512" s="40"/>
    </row>
    <row r="6513" spans="24:25" x14ac:dyDescent="0.35">
      <c r="X6513" s="40"/>
      <c r="Y6513" s="40"/>
    </row>
    <row r="6514" spans="24:25" x14ac:dyDescent="0.35">
      <c r="X6514" s="40"/>
      <c r="Y6514" s="40"/>
    </row>
    <row r="6515" spans="24:25" x14ac:dyDescent="0.35">
      <c r="X6515" s="40"/>
      <c r="Y6515" s="40"/>
    </row>
    <row r="6516" spans="24:25" x14ac:dyDescent="0.35">
      <c r="X6516" s="40"/>
      <c r="Y6516" s="40"/>
    </row>
    <row r="6517" spans="24:25" x14ac:dyDescent="0.35">
      <c r="X6517" s="40"/>
      <c r="Y6517" s="40"/>
    </row>
    <row r="6518" spans="24:25" x14ac:dyDescent="0.35">
      <c r="X6518" s="40"/>
      <c r="Y6518" s="40"/>
    </row>
    <row r="6519" spans="24:25" x14ac:dyDescent="0.35">
      <c r="X6519" s="40"/>
      <c r="Y6519" s="40"/>
    </row>
    <row r="6520" spans="24:25" x14ac:dyDescent="0.35">
      <c r="X6520" s="40"/>
      <c r="Y6520" s="40"/>
    </row>
    <row r="6521" spans="24:25" x14ac:dyDescent="0.35">
      <c r="X6521" s="40"/>
      <c r="Y6521" s="40"/>
    </row>
    <row r="6522" spans="24:25" x14ac:dyDescent="0.35">
      <c r="X6522" s="40"/>
      <c r="Y6522" s="40"/>
    </row>
    <row r="6523" spans="24:25" x14ac:dyDescent="0.35">
      <c r="X6523" s="40"/>
      <c r="Y6523" s="40"/>
    </row>
    <row r="6524" spans="24:25" x14ac:dyDescent="0.35">
      <c r="X6524" s="40"/>
      <c r="Y6524" s="40"/>
    </row>
    <row r="6525" spans="24:25" x14ac:dyDescent="0.35">
      <c r="X6525" s="40"/>
      <c r="Y6525" s="40"/>
    </row>
    <row r="6526" spans="24:25" x14ac:dyDescent="0.35">
      <c r="X6526" s="40"/>
      <c r="Y6526" s="40"/>
    </row>
    <row r="6527" spans="24:25" x14ac:dyDescent="0.35">
      <c r="X6527" s="40"/>
      <c r="Y6527" s="40"/>
    </row>
    <row r="6528" spans="24:25" x14ac:dyDescent="0.35">
      <c r="X6528" s="40"/>
      <c r="Y6528" s="40"/>
    </row>
    <row r="6529" spans="24:25" x14ac:dyDescent="0.35">
      <c r="X6529" s="40"/>
      <c r="Y6529" s="40"/>
    </row>
    <row r="6530" spans="24:25" x14ac:dyDescent="0.35">
      <c r="X6530" s="40"/>
      <c r="Y6530" s="40"/>
    </row>
    <row r="6531" spans="24:25" x14ac:dyDescent="0.35">
      <c r="X6531" s="40"/>
      <c r="Y6531" s="40"/>
    </row>
    <row r="6532" spans="24:25" x14ac:dyDescent="0.35">
      <c r="X6532" s="40"/>
      <c r="Y6532" s="40"/>
    </row>
    <row r="6533" spans="24:25" x14ac:dyDescent="0.35">
      <c r="X6533" s="40"/>
      <c r="Y6533" s="40"/>
    </row>
    <row r="6534" spans="24:25" x14ac:dyDescent="0.35">
      <c r="X6534" s="40"/>
      <c r="Y6534" s="40"/>
    </row>
    <row r="6535" spans="24:25" x14ac:dyDescent="0.35">
      <c r="X6535" s="40"/>
      <c r="Y6535" s="40"/>
    </row>
    <row r="6536" spans="24:25" x14ac:dyDescent="0.35">
      <c r="X6536" s="40"/>
      <c r="Y6536" s="40"/>
    </row>
    <row r="6537" spans="24:25" x14ac:dyDescent="0.35">
      <c r="X6537" s="40"/>
      <c r="Y6537" s="40"/>
    </row>
    <row r="6538" spans="24:25" x14ac:dyDescent="0.35">
      <c r="X6538" s="40"/>
      <c r="Y6538" s="40"/>
    </row>
    <row r="6539" spans="24:25" x14ac:dyDescent="0.35">
      <c r="X6539" s="40"/>
      <c r="Y6539" s="40"/>
    </row>
    <row r="6540" spans="24:25" x14ac:dyDescent="0.35">
      <c r="X6540" s="40"/>
      <c r="Y6540" s="40"/>
    </row>
    <row r="6541" spans="24:25" x14ac:dyDescent="0.35">
      <c r="X6541" s="40"/>
      <c r="Y6541" s="40"/>
    </row>
    <row r="6542" spans="24:25" x14ac:dyDescent="0.35">
      <c r="X6542" s="40"/>
      <c r="Y6542" s="40"/>
    </row>
    <row r="6543" spans="24:25" x14ac:dyDescent="0.35">
      <c r="X6543" s="40"/>
      <c r="Y6543" s="40"/>
    </row>
    <row r="6544" spans="24:25" x14ac:dyDescent="0.35">
      <c r="X6544" s="40"/>
      <c r="Y6544" s="40"/>
    </row>
    <row r="6545" spans="24:25" x14ac:dyDescent="0.35">
      <c r="X6545" s="40"/>
      <c r="Y6545" s="40"/>
    </row>
    <row r="6546" spans="24:25" x14ac:dyDescent="0.35">
      <c r="X6546" s="40"/>
      <c r="Y6546" s="40"/>
    </row>
    <row r="6547" spans="24:25" x14ac:dyDescent="0.35">
      <c r="X6547" s="40"/>
      <c r="Y6547" s="40"/>
    </row>
    <row r="6548" spans="24:25" x14ac:dyDescent="0.35">
      <c r="X6548" s="40"/>
      <c r="Y6548" s="40"/>
    </row>
    <row r="6549" spans="24:25" x14ac:dyDescent="0.35">
      <c r="X6549" s="40"/>
      <c r="Y6549" s="40"/>
    </row>
    <row r="6550" spans="24:25" x14ac:dyDescent="0.35">
      <c r="X6550" s="40"/>
      <c r="Y6550" s="40"/>
    </row>
    <row r="6551" spans="24:25" x14ac:dyDescent="0.35">
      <c r="X6551" s="40"/>
      <c r="Y6551" s="40"/>
    </row>
    <row r="6552" spans="24:25" x14ac:dyDescent="0.35">
      <c r="X6552" s="40"/>
      <c r="Y6552" s="40"/>
    </row>
    <row r="6553" spans="24:25" x14ac:dyDescent="0.35">
      <c r="X6553" s="40"/>
      <c r="Y6553" s="40"/>
    </row>
    <row r="6554" spans="24:25" x14ac:dyDescent="0.35">
      <c r="X6554" s="40"/>
      <c r="Y6554" s="40"/>
    </row>
    <row r="6555" spans="24:25" x14ac:dyDescent="0.35">
      <c r="X6555" s="40"/>
      <c r="Y6555" s="40"/>
    </row>
    <row r="6556" spans="24:25" x14ac:dyDescent="0.35">
      <c r="X6556" s="40"/>
      <c r="Y6556" s="40"/>
    </row>
    <row r="6557" spans="24:25" x14ac:dyDescent="0.35">
      <c r="X6557" s="40"/>
      <c r="Y6557" s="40"/>
    </row>
    <row r="6558" spans="24:25" x14ac:dyDescent="0.35">
      <c r="X6558" s="40"/>
      <c r="Y6558" s="40"/>
    </row>
    <row r="6559" spans="24:25" x14ac:dyDescent="0.35">
      <c r="X6559" s="40"/>
      <c r="Y6559" s="40"/>
    </row>
    <row r="6560" spans="24:25" x14ac:dyDescent="0.35">
      <c r="X6560" s="40"/>
      <c r="Y6560" s="40"/>
    </row>
    <row r="6561" spans="24:25" x14ac:dyDescent="0.35">
      <c r="X6561" s="40"/>
      <c r="Y6561" s="40"/>
    </row>
    <row r="6562" spans="24:25" x14ac:dyDescent="0.35">
      <c r="X6562" s="40"/>
      <c r="Y6562" s="40"/>
    </row>
    <row r="6563" spans="24:25" x14ac:dyDescent="0.35">
      <c r="X6563" s="40"/>
      <c r="Y6563" s="40"/>
    </row>
    <row r="6564" spans="24:25" x14ac:dyDescent="0.35">
      <c r="X6564" s="40"/>
      <c r="Y6564" s="40"/>
    </row>
    <row r="6565" spans="24:25" x14ac:dyDescent="0.35">
      <c r="X6565" s="40"/>
      <c r="Y6565" s="40"/>
    </row>
    <row r="6566" spans="24:25" x14ac:dyDescent="0.35">
      <c r="X6566" s="40"/>
      <c r="Y6566" s="40"/>
    </row>
    <row r="6567" spans="24:25" x14ac:dyDescent="0.35">
      <c r="X6567" s="40"/>
      <c r="Y6567" s="40"/>
    </row>
    <row r="6568" spans="24:25" x14ac:dyDescent="0.35">
      <c r="X6568" s="40"/>
      <c r="Y6568" s="40"/>
    </row>
    <row r="6569" spans="24:25" x14ac:dyDescent="0.35">
      <c r="X6569" s="40"/>
      <c r="Y6569" s="40"/>
    </row>
    <row r="6570" spans="24:25" x14ac:dyDescent="0.35">
      <c r="X6570" s="40"/>
      <c r="Y6570" s="40"/>
    </row>
    <row r="6571" spans="24:25" x14ac:dyDescent="0.35">
      <c r="X6571" s="40"/>
      <c r="Y6571" s="40"/>
    </row>
    <row r="6572" spans="24:25" x14ac:dyDescent="0.35">
      <c r="X6572" s="40"/>
      <c r="Y6572" s="40"/>
    </row>
    <row r="6573" spans="24:25" x14ac:dyDescent="0.35">
      <c r="X6573" s="40"/>
      <c r="Y6573" s="40"/>
    </row>
    <row r="6574" spans="24:25" x14ac:dyDescent="0.35">
      <c r="X6574" s="40"/>
      <c r="Y6574" s="40"/>
    </row>
    <row r="6575" spans="24:25" x14ac:dyDescent="0.35">
      <c r="X6575" s="40"/>
      <c r="Y6575" s="40"/>
    </row>
    <row r="6576" spans="24:25" x14ac:dyDescent="0.35">
      <c r="X6576" s="40"/>
      <c r="Y6576" s="40"/>
    </row>
    <row r="6577" spans="24:25" x14ac:dyDescent="0.35">
      <c r="X6577" s="40"/>
      <c r="Y6577" s="40"/>
    </row>
    <row r="6578" spans="24:25" x14ac:dyDescent="0.35">
      <c r="X6578" s="40"/>
      <c r="Y6578" s="40"/>
    </row>
    <row r="6579" spans="24:25" x14ac:dyDescent="0.35">
      <c r="X6579" s="40"/>
      <c r="Y6579" s="40"/>
    </row>
    <row r="6580" spans="24:25" x14ac:dyDescent="0.35">
      <c r="X6580" s="40"/>
      <c r="Y6580" s="40"/>
    </row>
    <row r="6581" spans="24:25" x14ac:dyDescent="0.35">
      <c r="X6581" s="40"/>
      <c r="Y6581" s="40"/>
    </row>
    <row r="6582" spans="24:25" x14ac:dyDescent="0.35">
      <c r="X6582" s="40"/>
      <c r="Y6582" s="40"/>
    </row>
    <row r="6583" spans="24:25" x14ac:dyDescent="0.35">
      <c r="X6583" s="40"/>
      <c r="Y6583" s="40"/>
    </row>
    <row r="6584" spans="24:25" x14ac:dyDescent="0.35">
      <c r="X6584" s="40"/>
      <c r="Y6584" s="40"/>
    </row>
    <row r="6585" spans="24:25" x14ac:dyDescent="0.35">
      <c r="X6585" s="40"/>
      <c r="Y6585" s="40"/>
    </row>
    <row r="6586" spans="24:25" x14ac:dyDescent="0.35">
      <c r="X6586" s="40"/>
      <c r="Y6586" s="40"/>
    </row>
    <row r="6587" spans="24:25" x14ac:dyDescent="0.35">
      <c r="X6587" s="40"/>
      <c r="Y6587" s="40"/>
    </row>
    <row r="6588" spans="24:25" x14ac:dyDescent="0.35">
      <c r="X6588" s="40"/>
      <c r="Y6588" s="40"/>
    </row>
    <row r="6589" spans="24:25" x14ac:dyDescent="0.35">
      <c r="X6589" s="40"/>
      <c r="Y6589" s="40"/>
    </row>
    <row r="6590" spans="24:25" x14ac:dyDescent="0.35">
      <c r="X6590" s="40"/>
      <c r="Y6590" s="40"/>
    </row>
    <row r="6591" spans="24:25" x14ac:dyDescent="0.35">
      <c r="X6591" s="40"/>
      <c r="Y6591" s="40"/>
    </row>
    <row r="6592" spans="24:25" x14ac:dyDescent="0.35">
      <c r="X6592" s="40"/>
      <c r="Y6592" s="40"/>
    </row>
    <row r="6593" spans="24:25" x14ac:dyDescent="0.35">
      <c r="X6593" s="40"/>
      <c r="Y6593" s="40"/>
    </row>
    <row r="6594" spans="24:25" x14ac:dyDescent="0.35">
      <c r="X6594" s="40"/>
      <c r="Y6594" s="40"/>
    </row>
    <row r="6595" spans="24:25" x14ac:dyDescent="0.35">
      <c r="X6595" s="40"/>
      <c r="Y6595" s="40"/>
    </row>
    <row r="6596" spans="24:25" x14ac:dyDescent="0.35">
      <c r="X6596" s="40"/>
      <c r="Y6596" s="40"/>
    </row>
    <row r="6597" spans="24:25" x14ac:dyDescent="0.35">
      <c r="X6597" s="40"/>
      <c r="Y6597" s="40"/>
    </row>
    <row r="6598" spans="24:25" x14ac:dyDescent="0.35">
      <c r="X6598" s="40"/>
      <c r="Y6598" s="40"/>
    </row>
    <row r="6599" spans="24:25" x14ac:dyDescent="0.35">
      <c r="X6599" s="40"/>
      <c r="Y6599" s="40"/>
    </row>
    <row r="6600" spans="24:25" x14ac:dyDescent="0.35">
      <c r="X6600" s="40"/>
      <c r="Y6600" s="40"/>
    </row>
    <row r="6601" spans="24:25" x14ac:dyDescent="0.35">
      <c r="X6601" s="40"/>
      <c r="Y6601" s="40"/>
    </row>
    <row r="6602" spans="24:25" x14ac:dyDescent="0.35">
      <c r="X6602" s="40"/>
      <c r="Y6602" s="40"/>
    </row>
    <row r="6603" spans="24:25" x14ac:dyDescent="0.35">
      <c r="X6603" s="40"/>
      <c r="Y6603" s="40"/>
    </row>
    <row r="6604" spans="24:25" x14ac:dyDescent="0.35">
      <c r="X6604" s="40"/>
      <c r="Y6604" s="40"/>
    </row>
    <row r="6605" spans="24:25" x14ac:dyDescent="0.35">
      <c r="X6605" s="40"/>
      <c r="Y6605" s="40"/>
    </row>
    <row r="6606" spans="24:25" x14ac:dyDescent="0.35">
      <c r="X6606" s="40"/>
      <c r="Y6606" s="40"/>
    </row>
    <row r="6607" spans="24:25" x14ac:dyDescent="0.35">
      <c r="X6607" s="40"/>
      <c r="Y6607" s="40"/>
    </row>
    <row r="6608" spans="24:25" x14ac:dyDescent="0.35">
      <c r="X6608" s="40"/>
      <c r="Y6608" s="40"/>
    </row>
    <row r="6609" spans="24:25" x14ac:dyDescent="0.35">
      <c r="X6609" s="40"/>
      <c r="Y6609" s="40"/>
    </row>
    <row r="6610" spans="24:25" x14ac:dyDescent="0.35">
      <c r="X6610" s="40"/>
      <c r="Y6610" s="40"/>
    </row>
    <row r="6611" spans="24:25" x14ac:dyDescent="0.35">
      <c r="X6611" s="40"/>
      <c r="Y6611" s="40"/>
    </row>
    <row r="6612" spans="24:25" x14ac:dyDescent="0.35">
      <c r="X6612" s="40"/>
      <c r="Y6612" s="40"/>
    </row>
    <row r="6613" spans="24:25" x14ac:dyDescent="0.35">
      <c r="X6613" s="40"/>
      <c r="Y6613" s="40"/>
    </row>
    <row r="6614" spans="24:25" x14ac:dyDescent="0.35">
      <c r="X6614" s="40"/>
      <c r="Y6614" s="40"/>
    </row>
    <row r="6615" spans="24:25" x14ac:dyDescent="0.35">
      <c r="X6615" s="40"/>
      <c r="Y6615" s="40"/>
    </row>
    <row r="6616" spans="24:25" x14ac:dyDescent="0.35">
      <c r="X6616" s="40"/>
      <c r="Y6616" s="40"/>
    </row>
    <row r="6617" spans="24:25" x14ac:dyDescent="0.35">
      <c r="X6617" s="40"/>
      <c r="Y6617" s="40"/>
    </row>
    <row r="6618" spans="24:25" x14ac:dyDescent="0.35">
      <c r="X6618" s="40"/>
      <c r="Y6618" s="40"/>
    </row>
    <row r="6619" spans="24:25" x14ac:dyDescent="0.35">
      <c r="X6619" s="40"/>
      <c r="Y6619" s="40"/>
    </row>
    <row r="6620" spans="24:25" x14ac:dyDescent="0.35">
      <c r="X6620" s="40"/>
      <c r="Y6620" s="40"/>
    </row>
    <row r="6621" spans="24:25" x14ac:dyDescent="0.35">
      <c r="X6621" s="40"/>
      <c r="Y6621" s="40"/>
    </row>
    <row r="6622" spans="24:25" x14ac:dyDescent="0.35">
      <c r="X6622" s="40"/>
      <c r="Y6622" s="40"/>
    </row>
    <row r="6623" spans="24:25" x14ac:dyDescent="0.35">
      <c r="X6623" s="40"/>
      <c r="Y6623" s="40"/>
    </row>
    <row r="6624" spans="24:25" x14ac:dyDescent="0.35">
      <c r="X6624" s="40"/>
      <c r="Y6624" s="40"/>
    </row>
    <row r="6625" spans="24:25" x14ac:dyDescent="0.35">
      <c r="X6625" s="40"/>
      <c r="Y6625" s="40"/>
    </row>
    <row r="6626" spans="24:25" x14ac:dyDescent="0.35">
      <c r="X6626" s="40"/>
      <c r="Y6626" s="40"/>
    </row>
    <row r="6627" spans="24:25" x14ac:dyDescent="0.35">
      <c r="X6627" s="40"/>
      <c r="Y6627" s="40"/>
    </row>
    <row r="6628" spans="24:25" x14ac:dyDescent="0.35">
      <c r="X6628" s="40"/>
      <c r="Y6628" s="40"/>
    </row>
    <row r="6629" spans="24:25" x14ac:dyDescent="0.35">
      <c r="X6629" s="40"/>
      <c r="Y6629" s="40"/>
    </row>
    <row r="6630" spans="24:25" x14ac:dyDescent="0.35">
      <c r="X6630" s="40"/>
      <c r="Y6630" s="40"/>
    </row>
    <row r="6631" spans="24:25" x14ac:dyDescent="0.35">
      <c r="X6631" s="40"/>
      <c r="Y6631" s="40"/>
    </row>
    <row r="6632" spans="24:25" x14ac:dyDescent="0.35">
      <c r="X6632" s="40"/>
      <c r="Y6632" s="40"/>
    </row>
    <row r="6633" spans="24:25" x14ac:dyDescent="0.35">
      <c r="X6633" s="40"/>
      <c r="Y6633" s="40"/>
    </row>
    <row r="6634" spans="24:25" x14ac:dyDescent="0.35">
      <c r="X6634" s="40"/>
      <c r="Y6634" s="40"/>
    </row>
    <row r="6635" spans="24:25" x14ac:dyDescent="0.35">
      <c r="X6635" s="40"/>
      <c r="Y6635" s="40"/>
    </row>
    <row r="6636" spans="24:25" x14ac:dyDescent="0.35">
      <c r="X6636" s="40"/>
      <c r="Y6636" s="40"/>
    </row>
    <row r="6637" spans="24:25" x14ac:dyDescent="0.35">
      <c r="X6637" s="40"/>
      <c r="Y6637" s="40"/>
    </row>
    <row r="6638" spans="24:25" x14ac:dyDescent="0.35">
      <c r="X6638" s="40"/>
      <c r="Y6638" s="40"/>
    </row>
    <row r="6639" spans="24:25" x14ac:dyDescent="0.35">
      <c r="X6639" s="40"/>
      <c r="Y6639" s="40"/>
    </row>
    <row r="6640" spans="24:25" x14ac:dyDescent="0.35">
      <c r="X6640" s="40"/>
      <c r="Y6640" s="40"/>
    </row>
    <row r="6641" spans="24:25" x14ac:dyDescent="0.35">
      <c r="X6641" s="40"/>
      <c r="Y6641" s="40"/>
    </row>
    <row r="6642" spans="24:25" x14ac:dyDescent="0.35">
      <c r="X6642" s="40"/>
      <c r="Y6642" s="40"/>
    </row>
    <row r="6643" spans="24:25" x14ac:dyDescent="0.35">
      <c r="X6643" s="40"/>
      <c r="Y6643" s="40"/>
    </row>
    <row r="6644" spans="24:25" x14ac:dyDescent="0.35">
      <c r="X6644" s="40"/>
      <c r="Y6644" s="40"/>
    </row>
    <row r="6645" spans="24:25" x14ac:dyDescent="0.35">
      <c r="X6645" s="40"/>
      <c r="Y6645" s="40"/>
    </row>
    <row r="6646" spans="24:25" x14ac:dyDescent="0.35">
      <c r="X6646" s="40"/>
      <c r="Y6646" s="40"/>
    </row>
    <row r="6647" spans="24:25" x14ac:dyDescent="0.35">
      <c r="X6647" s="40"/>
      <c r="Y6647" s="40"/>
    </row>
    <row r="6648" spans="24:25" x14ac:dyDescent="0.35">
      <c r="X6648" s="40"/>
      <c r="Y6648" s="40"/>
    </row>
    <row r="6649" spans="24:25" x14ac:dyDescent="0.35">
      <c r="X6649" s="40"/>
      <c r="Y6649" s="40"/>
    </row>
    <row r="6650" spans="24:25" x14ac:dyDescent="0.35">
      <c r="X6650" s="40"/>
      <c r="Y6650" s="40"/>
    </row>
    <row r="6651" spans="24:25" x14ac:dyDescent="0.35">
      <c r="X6651" s="40"/>
      <c r="Y6651" s="40"/>
    </row>
    <row r="6652" spans="24:25" x14ac:dyDescent="0.35">
      <c r="X6652" s="40"/>
      <c r="Y6652" s="40"/>
    </row>
    <row r="6653" spans="24:25" x14ac:dyDescent="0.35">
      <c r="X6653" s="40"/>
      <c r="Y6653" s="40"/>
    </row>
    <row r="6654" spans="24:25" x14ac:dyDescent="0.35">
      <c r="X6654" s="40"/>
      <c r="Y6654" s="40"/>
    </row>
    <row r="6655" spans="24:25" x14ac:dyDescent="0.35">
      <c r="X6655" s="40"/>
      <c r="Y6655" s="40"/>
    </row>
    <row r="6656" spans="24:25" x14ac:dyDescent="0.35">
      <c r="X6656" s="40"/>
      <c r="Y6656" s="40"/>
    </row>
    <row r="6657" spans="24:25" x14ac:dyDescent="0.35">
      <c r="X6657" s="40"/>
      <c r="Y6657" s="40"/>
    </row>
    <row r="6658" spans="24:25" x14ac:dyDescent="0.35">
      <c r="X6658" s="40"/>
      <c r="Y6658" s="40"/>
    </row>
    <row r="6659" spans="24:25" x14ac:dyDescent="0.35">
      <c r="X6659" s="40"/>
      <c r="Y6659" s="40"/>
    </row>
    <row r="6660" spans="24:25" x14ac:dyDescent="0.35">
      <c r="X6660" s="40"/>
      <c r="Y6660" s="40"/>
    </row>
    <row r="6661" spans="24:25" x14ac:dyDescent="0.35">
      <c r="X6661" s="40"/>
      <c r="Y6661" s="40"/>
    </row>
    <row r="6662" spans="24:25" x14ac:dyDescent="0.35">
      <c r="X6662" s="40"/>
      <c r="Y6662" s="40"/>
    </row>
    <row r="6663" spans="24:25" x14ac:dyDescent="0.35">
      <c r="X6663" s="40"/>
      <c r="Y6663" s="40"/>
    </row>
    <row r="6664" spans="24:25" x14ac:dyDescent="0.35">
      <c r="X6664" s="40"/>
      <c r="Y6664" s="40"/>
    </row>
    <row r="6665" spans="24:25" x14ac:dyDescent="0.35">
      <c r="X6665" s="40"/>
      <c r="Y6665" s="40"/>
    </row>
    <row r="6666" spans="24:25" x14ac:dyDescent="0.35">
      <c r="X6666" s="40"/>
      <c r="Y6666" s="40"/>
    </row>
    <row r="6667" spans="24:25" x14ac:dyDescent="0.35">
      <c r="X6667" s="40"/>
      <c r="Y6667" s="40"/>
    </row>
    <row r="6668" spans="24:25" x14ac:dyDescent="0.35">
      <c r="X6668" s="40"/>
      <c r="Y6668" s="40"/>
    </row>
    <row r="6669" spans="24:25" x14ac:dyDescent="0.35">
      <c r="X6669" s="40"/>
      <c r="Y6669" s="40"/>
    </row>
    <row r="6670" spans="24:25" x14ac:dyDescent="0.35">
      <c r="X6670" s="40"/>
      <c r="Y6670" s="40"/>
    </row>
    <row r="6671" spans="24:25" x14ac:dyDescent="0.35">
      <c r="X6671" s="40"/>
      <c r="Y6671" s="40"/>
    </row>
    <row r="6672" spans="24:25" x14ac:dyDescent="0.35">
      <c r="X6672" s="40"/>
      <c r="Y6672" s="40"/>
    </row>
    <row r="6673" spans="24:25" x14ac:dyDescent="0.35">
      <c r="X6673" s="40"/>
      <c r="Y6673" s="40"/>
    </row>
    <row r="6674" spans="24:25" x14ac:dyDescent="0.35">
      <c r="X6674" s="40"/>
      <c r="Y6674" s="40"/>
    </row>
    <row r="6675" spans="24:25" x14ac:dyDescent="0.35">
      <c r="X6675" s="40"/>
      <c r="Y6675" s="40"/>
    </row>
    <row r="6676" spans="24:25" x14ac:dyDescent="0.35">
      <c r="X6676" s="40"/>
      <c r="Y6676" s="40"/>
    </row>
    <row r="6677" spans="24:25" x14ac:dyDescent="0.35">
      <c r="X6677" s="40"/>
      <c r="Y6677" s="40"/>
    </row>
    <row r="6678" spans="24:25" x14ac:dyDescent="0.35">
      <c r="X6678" s="40"/>
      <c r="Y6678" s="40"/>
    </row>
    <row r="6679" spans="24:25" x14ac:dyDescent="0.35">
      <c r="X6679" s="40"/>
      <c r="Y6679" s="40"/>
    </row>
    <row r="6680" spans="24:25" x14ac:dyDescent="0.35">
      <c r="X6680" s="40"/>
      <c r="Y6680" s="40"/>
    </row>
    <row r="6681" spans="24:25" x14ac:dyDescent="0.35">
      <c r="X6681" s="40"/>
      <c r="Y6681" s="40"/>
    </row>
    <row r="6682" spans="24:25" x14ac:dyDescent="0.35">
      <c r="X6682" s="40"/>
      <c r="Y6682" s="40"/>
    </row>
    <row r="6683" spans="24:25" x14ac:dyDescent="0.35">
      <c r="X6683" s="40"/>
      <c r="Y6683" s="40"/>
    </row>
    <row r="6684" spans="24:25" x14ac:dyDescent="0.35">
      <c r="X6684" s="40"/>
      <c r="Y6684" s="40"/>
    </row>
    <row r="6685" spans="24:25" x14ac:dyDescent="0.35">
      <c r="X6685" s="40"/>
      <c r="Y6685" s="40"/>
    </row>
    <row r="6686" spans="24:25" x14ac:dyDescent="0.35">
      <c r="X6686" s="40"/>
      <c r="Y6686" s="40"/>
    </row>
    <row r="6687" spans="24:25" x14ac:dyDescent="0.35">
      <c r="X6687" s="40"/>
      <c r="Y6687" s="40"/>
    </row>
    <row r="6688" spans="24:25" x14ac:dyDescent="0.35">
      <c r="X6688" s="40"/>
      <c r="Y6688" s="40"/>
    </row>
    <row r="6689" spans="24:25" x14ac:dyDescent="0.35">
      <c r="X6689" s="40"/>
      <c r="Y6689" s="40"/>
    </row>
    <row r="6690" spans="24:25" x14ac:dyDescent="0.35">
      <c r="X6690" s="40"/>
      <c r="Y6690" s="40"/>
    </row>
    <row r="6691" spans="24:25" x14ac:dyDescent="0.35">
      <c r="X6691" s="40"/>
      <c r="Y6691" s="40"/>
    </row>
    <row r="6692" spans="24:25" x14ac:dyDescent="0.35">
      <c r="X6692" s="40"/>
      <c r="Y6692" s="40"/>
    </row>
    <row r="6693" spans="24:25" x14ac:dyDescent="0.35">
      <c r="X6693" s="40"/>
      <c r="Y6693" s="40"/>
    </row>
    <row r="6694" spans="24:25" x14ac:dyDescent="0.35">
      <c r="X6694" s="40"/>
      <c r="Y6694" s="40"/>
    </row>
    <row r="6695" spans="24:25" x14ac:dyDescent="0.35">
      <c r="X6695" s="40"/>
      <c r="Y6695" s="40"/>
    </row>
    <row r="6696" spans="24:25" x14ac:dyDescent="0.35">
      <c r="X6696" s="40"/>
      <c r="Y6696" s="40"/>
    </row>
    <row r="6697" spans="24:25" x14ac:dyDescent="0.35">
      <c r="X6697" s="40"/>
      <c r="Y6697" s="40"/>
    </row>
    <row r="6698" spans="24:25" x14ac:dyDescent="0.35">
      <c r="X6698" s="40"/>
      <c r="Y6698" s="40"/>
    </row>
    <row r="6699" spans="24:25" x14ac:dyDescent="0.35">
      <c r="X6699" s="40"/>
      <c r="Y6699" s="40"/>
    </row>
    <row r="6700" spans="24:25" x14ac:dyDescent="0.35">
      <c r="X6700" s="40"/>
      <c r="Y6700" s="40"/>
    </row>
    <row r="6701" spans="24:25" x14ac:dyDescent="0.35">
      <c r="X6701" s="40"/>
      <c r="Y6701" s="40"/>
    </row>
    <row r="6702" spans="24:25" x14ac:dyDescent="0.35">
      <c r="X6702" s="40"/>
      <c r="Y6702" s="40"/>
    </row>
    <row r="6703" spans="24:25" x14ac:dyDescent="0.35">
      <c r="X6703" s="40"/>
      <c r="Y6703" s="40"/>
    </row>
    <row r="6704" spans="24:25" x14ac:dyDescent="0.35">
      <c r="X6704" s="40"/>
      <c r="Y6704" s="40"/>
    </row>
    <row r="6705" spans="24:25" x14ac:dyDescent="0.35">
      <c r="X6705" s="40"/>
      <c r="Y6705" s="40"/>
    </row>
    <row r="6706" spans="24:25" x14ac:dyDescent="0.35">
      <c r="X6706" s="40"/>
      <c r="Y6706" s="40"/>
    </row>
    <row r="6707" spans="24:25" x14ac:dyDescent="0.35">
      <c r="X6707" s="40"/>
      <c r="Y6707" s="40"/>
    </row>
    <row r="6708" spans="24:25" x14ac:dyDescent="0.35">
      <c r="X6708" s="40"/>
      <c r="Y6708" s="40"/>
    </row>
    <row r="6709" spans="24:25" x14ac:dyDescent="0.35">
      <c r="X6709" s="40"/>
      <c r="Y6709" s="40"/>
    </row>
    <row r="6710" spans="24:25" x14ac:dyDescent="0.35">
      <c r="X6710" s="40"/>
      <c r="Y6710" s="40"/>
    </row>
    <row r="6711" spans="24:25" x14ac:dyDescent="0.35">
      <c r="X6711" s="40"/>
      <c r="Y6711" s="40"/>
    </row>
    <row r="6712" spans="24:25" x14ac:dyDescent="0.35">
      <c r="X6712" s="40"/>
      <c r="Y6712" s="40"/>
    </row>
    <row r="6713" spans="24:25" x14ac:dyDescent="0.35">
      <c r="X6713" s="40"/>
      <c r="Y6713" s="40"/>
    </row>
    <row r="6714" spans="24:25" x14ac:dyDescent="0.35">
      <c r="X6714" s="40"/>
      <c r="Y6714" s="40"/>
    </row>
    <row r="6715" spans="24:25" x14ac:dyDescent="0.35">
      <c r="X6715" s="40"/>
      <c r="Y6715" s="40"/>
    </row>
    <row r="6716" spans="24:25" x14ac:dyDescent="0.35">
      <c r="X6716" s="40"/>
      <c r="Y6716" s="40"/>
    </row>
    <row r="6717" spans="24:25" x14ac:dyDescent="0.35">
      <c r="X6717" s="40"/>
      <c r="Y6717" s="40"/>
    </row>
    <row r="6718" spans="24:25" x14ac:dyDescent="0.35">
      <c r="X6718" s="40"/>
      <c r="Y6718" s="40"/>
    </row>
    <row r="6719" spans="24:25" x14ac:dyDescent="0.35">
      <c r="X6719" s="40"/>
      <c r="Y6719" s="40"/>
    </row>
    <row r="6720" spans="24:25" x14ac:dyDescent="0.35">
      <c r="X6720" s="40"/>
      <c r="Y6720" s="40"/>
    </row>
    <row r="6721" spans="24:25" x14ac:dyDescent="0.35">
      <c r="X6721" s="40"/>
      <c r="Y6721" s="40"/>
    </row>
    <row r="6722" spans="24:25" x14ac:dyDescent="0.35">
      <c r="X6722" s="40"/>
      <c r="Y6722" s="40"/>
    </row>
    <row r="6723" spans="24:25" x14ac:dyDescent="0.35">
      <c r="X6723" s="40"/>
      <c r="Y6723" s="40"/>
    </row>
    <row r="6724" spans="24:25" x14ac:dyDescent="0.35">
      <c r="X6724" s="40"/>
      <c r="Y6724" s="40"/>
    </row>
    <row r="6725" spans="24:25" x14ac:dyDescent="0.35">
      <c r="X6725" s="40"/>
      <c r="Y6725" s="40"/>
    </row>
    <row r="6726" spans="24:25" x14ac:dyDescent="0.35">
      <c r="X6726" s="40"/>
      <c r="Y6726" s="40"/>
    </row>
    <row r="6727" spans="24:25" x14ac:dyDescent="0.35">
      <c r="X6727" s="40"/>
      <c r="Y6727" s="40"/>
    </row>
    <row r="6728" spans="24:25" x14ac:dyDescent="0.35">
      <c r="X6728" s="40"/>
      <c r="Y6728" s="40"/>
    </row>
    <row r="6729" spans="24:25" x14ac:dyDescent="0.35">
      <c r="X6729" s="40"/>
      <c r="Y6729" s="40"/>
    </row>
    <row r="6730" spans="24:25" x14ac:dyDescent="0.35">
      <c r="X6730" s="40"/>
      <c r="Y6730" s="40"/>
    </row>
    <row r="6731" spans="24:25" x14ac:dyDescent="0.35">
      <c r="X6731" s="40"/>
      <c r="Y6731" s="40"/>
    </row>
    <row r="6732" spans="24:25" x14ac:dyDescent="0.35">
      <c r="X6732" s="40"/>
      <c r="Y6732" s="40"/>
    </row>
    <row r="6733" spans="24:25" x14ac:dyDescent="0.35">
      <c r="X6733" s="40"/>
      <c r="Y6733" s="40"/>
    </row>
    <row r="6734" spans="24:25" x14ac:dyDescent="0.35">
      <c r="X6734" s="40"/>
      <c r="Y6734" s="40"/>
    </row>
    <row r="6735" spans="24:25" x14ac:dyDescent="0.35">
      <c r="X6735" s="40"/>
      <c r="Y6735" s="40"/>
    </row>
    <row r="6736" spans="24:25" x14ac:dyDescent="0.35">
      <c r="X6736" s="40"/>
      <c r="Y6736" s="40"/>
    </row>
    <row r="6737" spans="24:25" x14ac:dyDescent="0.35">
      <c r="X6737" s="40"/>
      <c r="Y6737" s="40"/>
    </row>
    <row r="6738" spans="24:25" x14ac:dyDescent="0.35">
      <c r="X6738" s="40"/>
      <c r="Y6738" s="40"/>
    </row>
    <row r="6739" spans="24:25" x14ac:dyDescent="0.35">
      <c r="X6739" s="40"/>
      <c r="Y6739" s="40"/>
    </row>
    <row r="6740" spans="24:25" x14ac:dyDescent="0.35">
      <c r="X6740" s="40"/>
      <c r="Y6740" s="40"/>
    </row>
    <row r="6741" spans="24:25" x14ac:dyDescent="0.35">
      <c r="X6741" s="40"/>
      <c r="Y6741" s="40"/>
    </row>
    <row r="6742" spans="24:25" x14ac:dyDescent="0.35">
      <c r="X6742" s="40"/>
      <c r="Y6742" s="40"/>
    </row>
    <row r="6743" spans="24:25" x14ac:dyDescent="0.35">
      <c r="X6743" s="40"/>
      <c r="Y6743" s="40"/>
    </row>
    <row r="6744" spans="24:25" x14ac:dyDescent="0.35">
      <c r="X6744" s="40"/>
      <c r="Y6744" s="40"/>
    </row>
    <row r="6745" spans="24:25" x14ac:dyDescent="0.35">
      <c r="X6745" s="40"/>
      <c r="Y6745" s="40"/>
    </row>
    <row r="6746" spans="24:25" x14ac:dyDescent="0.35">
      <c r="X6746" s="40"/>
      <c r="Y6746" s="40"/>
    </row>
    <row r="6747" spans="24:25" x14ac:dyDescent="0.35">
      <c r="X6747" s="40"/>
      <c r="Y6747" s="40"/>
    </row>
    <row r="6748" spans="24:25" x14ac:dyDescent="0.35">
      <c r="X6748" s="40"/>
      <c r="Y6748" s="40"/>
    </row>
    <row r="6749" spans="24:25" x14ac:dyDescent="0.35">
      <c r="X6749" s="40"/>
      <c r="Y6749" s="40"/>
    </row>
    <row r="6750" spans="24:25" x14ac:dyDescent="0.35">
      <c r="X6750" s="40"/>
      <c r="Y6750" s="40"/>
    </row>
    <row r="6751" spans="24:25" x14ac:dyDescent="0.35">
      <c r="X6751" s="40"/>
      <c r="Y6751" s="40"/>
    </row>
    <row r="6752" spans="24:25" x14ac:dyDescent="0.35">
      <c r="X6752" s="40"/>
      <c r="Y6752" s="40"/>
    </row>
    <row r="6753" spans="24:25" x14ac:dyDescent="0.35">
      <c r="X6753" s="40"/>
      <c r="Y6753" s="40"/>
    </row>
    <row r="6754" spans="24:25" x14ac:dyDescent="0.35">
      <c r="X6754" s="40"/>
      <c r="Y6754" s="40"/>
    </row>
    <row r="6755" spans="24:25" x14ac:dyDescent="0.35">
      <c r="X6755" s="40"/>
      <c r="Y6755" s="40"/>
    </row>
    <row r="6756" spans="24:25" x14ac:dyDescent="0.35">
      <c r="X6756" s="40"/>
      <c r="Y6756" s="40"/>
    </row>
    <row r="6757" spans="24:25" x14ac:dyDescent="0.35">
      <c r="X6757" s="40"/>
      <c r="Y6757" s="40"/>
    </row>
    <row r="6758" spans="24:25" x14ac:dyDescent="0.35">
      <c r="X6758" s="40"/>
      <c r="Y6758" s="40"/>
    </row>
    <row r="6759" spans="24:25" x14ac:dyDescent="0.35">
      <c r="X6759" s="40"/>
      <c r="Y6759" s="40"/>
    </row>
    <row r="6760" spans="24:25" x14ac:dyDescent="0.35">
      <c r="X6760" s="40"/>
      <c r="Y6760" s="40"/>
    </row>
    <row r="6761" spans="24:25" x14ac:dyDescent="0.35">
      <c r="X6761" s="40"/>
      <c r="Y6761" s="40"/>
    </row>
    <row r="6762" spans="24:25" x14ac:dyDescent="0.35">
      <c r="X6762" s="40"/>
      <c r="Y6762" s="40"/>
    </row>
    <row r="6763" spans="24:25" x14ac:dyDescent="0.35">
      <c r="X6763" s="40"/>
      <c r="Y6763" s="40"/>
    </row>
    <row r="6764" spans="24:25" x14ac:dyDescent="0.35">
      <c r="X6764" s="40"/>
      <c r="Y6764" s="40"/>
    </row>
    <row r="6765" spans="24:25" x14ac:dyDescent="0.35">
      <c r="X6765" s="40"/>
      <c r="Y6765" s="40"/>
    </row>
    <row r="6766" spans="24:25" x14ac:dyDescent="0.35">
      <c r="X6766" s="40"/>
      <c r="Y6766" s="40"/>
    </row>
    <row r="6767" spans="24:25" x14ac:dyDescent="0.35">
      <c r="X6767" s="40"/>
      <c r="Y6767" s="40"/>
    </row>
    <row r="6768" spans="24:25" x14ac:dyDescent="0.35">
      <c r="X6768" s="40"/>
      <c r="Y6768" s="40"/>
    </row>
    <row r="6769" spans="24:25" x14ac:dyDescent="0.35">
      <c r="X6769" s="40"/>
      <c r="Y6769" s="40"/>
    </row>
    <row r="6770" spans="24:25" x14ac:dyDescent="0.35">
      <c r="X6770" s="40"/>
      <c r="Y6770" s="40"/>
    </row>
    <row r="6771" spans="24:25" x14ac:dyDescent="0.35">
      <c r="X6771" s="40"/>
      <c r="Y6771" s="40"/>
    </row>
    <row r="6772" spans="24:25" x14ac:dyDescent="0.35">
      <c r="X6772" s="40"/>
      <c r="Y6772" s="40"/>
    </row>
    <row r="6773" spans="24:25" x14ac:dyDescent="0.35">
      <c r="X6773" s="40"/>
      <c r="Y6773" s="40"/>
    </row>
    <row r="6774" spans="24:25" x14ac:dyDescent="0.35">
      <c r="X6774" s="40"/>
      <c r="Y6774" s="40"/>
    </row>
    <row r="6775" spans="24:25" x14ac:dyDescent="0.35">
      <c r="X6775" s="40"/>
      <c r="Y6775" s="40"/>
    </row>
    <row r="6776" spans="24:25" x14ac:dyDescent="0.35">
      <c r="X6776" s="40"/>
      <c r="Y6776" s="40"/>
    </row>
    <row r="6777" spans="24:25" x14ac:dyDescent="0.35">
      <c r="X6777" s="40"/>
      <c r="Y6777" s="40"/>
    </row>
    <row r="6778" spans="24:25" x14ac:dyDescent="0.35">
      <c r="X6778" s="40"/>
      <c r="Y6778" s="40"/>
    </row>
    <row r="6779" spans="24:25" x14ac:dyDescent="0.35">
      <c r="X6779" s="40"/>
      <c r="Y6779" s="40"/>
    </row>
    <row r="6780" spans="24:25" x14ac:dyDescent="0.35">
      <c r="X6780" s="40"/>
      <c r="Y6780" s="40"/>
    </row>
    <row r="6781" spans="24:25" x14ac:dyDescent="0.35">
      <c r="X6781" s="40"/>
      <c r="Y6781" s="40"/>
    </row>
    <row r="6782" spans="24:25" x14ac:dyDescent="0.35">
      <c r="X6782" s="40"/>
      <c r="Y6782" s="40"/>
    </row>
    <row r="6783" spans="24:25" x14ac:dyDescent="0.35">
      <c r="X6783" s="40"/>
      <c r="Y6783" s="40"/>
    </row>
    <row r="6784" spans="24:25" x14ac:dyDescent="0.35">
      <c r="X6784" s="40"/>
      <c r="Y6784" s="40"/>
    </row>
    <row r="6785" spans="24:25" x14ac:dyDescent="0.35">
      <c r="X6785" s="40"/>
      <c r="Y6785" s="40"/>
    </row>
    <row r="6786" spans="24:25" x14ac:dyDescent="0.35">
      <c r="X6786" s="40"/>
      <c r="Y6786" s="40"/>
    </row>
    <row r="6787" spans="24:25" x14ac:dyDescent="0.35">
      <c r="X6787" s="40"/>
      <c r="Y6787" s="40"/>
    </row>
    <row r="6788" spans="24:25" x14ac:dyDescent="0.35">
      <c r="X6788" s="40"/>
      <c r="Y6788" s="40"/>
    </row>
    <row r="6789" spans="24:25" x14ac:dyDescent="0.35">
      <c r="X6789" s="40"/>
      <c r="Y6789" s="40"/>
    </row>
    <row r="6790" spans="24:25" x14ac:dyDescent="0.35">
      <c r="X6790" s="40"/>
      <c r="Y6790" s="40"/>
    </row>
    <row r="6791" spans="24:25" x14ac:dyDescent="0.35">
      <c r="X6791" s="40"/>
      <c r="Y6791" s="40"/>
    </row>
    <row r="6792" spans="24:25" x14ac:dyDescent="0.35">
      <c r="X6792" s="40"/>
      <c r="Y6792" s="40"/>
    </row>
    <row r="6793" spans="24:25" x14ac:dyDescent="0.35">
      <c r="X6793" s="40"/>
      <c r="Y6793" s="40"/>
    </row>
    <row r="6794" spans="24:25" x14ac:dyDescent="0.35">
      <c r="X6794" s="40"/>
      <c r="Y6794" s="40"/>
    </row>
    <row r="6795" spans="24:25" x14ac:dyDescent="0.35">
      <c r="X6795" s="40"/>
      <c r="Y6795" s="40"/>
    </row>
    <row r="6796" spans="24:25" x14ac:dyDescent="0.35">
      <c r="X6796" s="40"/>
      <c r="Y6796" s="40"/>
    </row>
    <row r="6797" spans="24:25" x14ac:dyDescent="0.35">
      <c r="X6797" s="40"/>
      <c r="Y6797" s="40"/>
    </row>
    <row r="6798" spans="24:25" x14ac:dyDescent="0.35">
      <c r="X6798" s="40"/>
      <c r="Y6798" s="40"/>
    </row>
    <row r="6799" spans="24:25" x14ac:dyDescent="0.35">
      <c r="X6799" s="40"/>
      <c r="Y6799" s="40"/>
    </row>
    <row r="6800" spans="24:25" x14ac:dyDescent="0.35">
      <c r="X6800" s="40"/>
      <c r="Y6800" s="40"/>
    </row>
    <row r="6801" spans="24:25" x14ac:dyDescent="0.35">
      <c r="X6801" s="40"/>
      <c r="Y6801" s="40"/>
    </row>
    <row r="6802" spans="24:25" x14ac:dyDescent="0.35">
      <c r="X6802" s="40"/>
      <c r="Y6802" s="40"/>
    </row>
    <row r="6803" spans="24:25" x14ac:dyDescent="0.35">
      <c r="X6803" s="40"/>
      <c r="Y6803" s="40"/>
    </row>
    <row r="6804" spans="24:25" x14ac:dyDescent="0.35">
      <c r="X6804" s="40"/>
      <c r="Y6804" s="40"/>
    </row>
    <row r="6805" spans="24:25" x14ac:dyDescent="0.35">
      <c r="X6805" s="40"/>
      <c r="Y6805" s="40"/>
    </row>
    <row r="6806" spans="24:25" x14ac:dyDescent="0.35">
      <c r="X6806" s="40"/>
      <c r="Y6806" s="40"/>
    </row>
    <row r="6807" spans="24:25" x14ac:dyDescent="0.35">
      <c r="X6807" s="40"/>
      <c r="Y6807" s="40"/>
    </row>
    <row r="6808" spans="24:25" x14ac:dyDescent="0.35">
      <c r="X6808" s="40"/>
      <c r="Y6808" s="40"/>
    </row>
    <row r="6809" spans="24:25" x14ac:dyDescent="0.35">
      <c r="X6809" s="40"/>
      <c r="Y6809" s="40"/>
    </row>
    <row r="6810" spans="24:25" x14ac:dyDescent="0.35">
      <c r="X6810" s="40"/>
      <c r="Y6810" s="40"/>
    </row>
    <row r="6811" spans="24:25" x14ac:dyDescent="0.35">
      <c r="X6811" s="40"/>
      <c r="Y6811" s="40"/>
    </row>
    <row r="6812" spans="24:25" x14ac:dyDescent="0.35">
      <c r="X6812" s="40"/>
      <c r="Y6812" s="40"/>
    </row>
    <row r="6813" spans="24:25" x14ac:dyDescent="0.35">
      <c r="X6813" s="40"/>
      <c r="Y6813" s="40"/>
    </row>
    <row r="6814" spans="24:25" x14ac:dyDescent="0.35">
      <c r="X6814" s="40"/>
      <c r="Y6814" s="40"/>
    </row>
    <row r="6815" spans="24:25" x14ac:dyDescent="0.35">
      <c r="X6815" s="40"/>
      <c r="Y6815" s="40"/>
    </row>
    <row r="6816" spans="24:25" x14ac:dyDescent="0.35">
      <c r="X6816" s="40"/>
      <c r="Y6816" s="40"/>
    </row>
    <row r="6817" spans="24:25" x14ac:dyDescent="0.35">
      <c r="X6817" s="40"/>
      <c r="Y6817" s="40"/>
    </row>
    <row r="6818" spans="24:25" x14ac:dyDescent="0.35">
      <c r="X6818" s="40"/>
      <c r="Y6818" s="40"/>
    </row>
    <row r="6819" spans="24:25" x14ac:dyDescent="0.35">
      <c r="X6819" s="40"/>
      <c r="Y6819" s="40"/>
    </row>
    <row r="6820" spans="24:25" x14ac:dyDescent="0.35">
      <c r="X6820" s="40"/>
      <c r="Y6820" s="40"/>
    </row>
    <row r="6821" spans="24:25" x14ac:dyDescent="0.35">
      <c r="X6821" s="40"/>
      <c r="Y6821" s="40"/>
    </row>
    <row r="6822" spans="24:25" x14ac:dyDescent="0.35">
      <c r="X6822" s="40"/>
      <c r="Y6822" s="40"/>
    </row>
    <row r="6823" spans="24:25" x14ac:dyDescent="0.35">
      <c r="X6823" s="40"/>
      <c r="Y6823" s="40"/>
    </row>
    <row r="6824" spans="24:25" x14ac:dyDescent="0.35">
      <c r="X6824" s="40"/>
      <c r="Y6824" s="40"/>
    </row>
    <row r="6825" spans="24:25" x14ac:dyDescent="0.35">
      <c r="X6825" s="40"/>
      <c r="Y6825" s="40"/>
    </row>
    <row r="6826" spans="24:25" x14ac:dyDescent="0.35">
      <c r="X6826" s="40"/>
      <c r="Y6826" s="40"/>
    </row>
    <row r="6827" spans="24:25" x14ac:dyDescent="0.35">
      <c r="X6827" s="40"/>
      <c r="Y6827" s="40"/>
    </row>
    <row r="6828" spans="24:25" x14ac:dyDescent="0.35">
      <c r="X6828" s="40"/>
      <c r="Y6828" s="40"/>
    </row>
    <row r="6829" spans="24:25" x14ac:dyDescent="0.35">
      <c r="X6829" s="40"/>
      <c r="Y6829" s="40"/>
    </row>
    <row r="6830" spans="24:25" x14ac:dyDescent="0.35">
      <c r="X6830" s="40"/>
      <c r="Y6830" s="40"/>
    </row>
    <row r="6831" spans="24:25" x14ac:dyDescent="0.35">
      <c r="X6831" s="40"/>
      <c r="Y6831" s="40"/>
    </row>
    <row r="6832" spans="24:25" x14ac:dyDescent="0.35">
      <c r="X6832" s="40"/>
      <c r="Y6832" s="40"/>
    </row>
    <row r="6833" spans="24:25" x14ac:dyDescent="0.35">
      <c r="X6833" s="40"/>
      <c r="Y6833" s="40"/>
    </row>
    <row r="6834" spans="24:25" x14ac:dyDescent="0.35">
      <c r="X6834" s="40"/>
      <c r="Y6834" s="40"/>
    </row>
    <row r="6835" spans="24:25" x14ac:dyDescent="0.35">
      <c r="X6835" s="40"/>
      <c r="Y6835" s="40"/>
    </row>
    <row r="6836" spans="24:25" x14ac:dyDescent="0.35">
      <c r="X6836" s="40"/>
      <c r="Y6836" s="40"/>
    </row>
    <row r="6837" spans="24:25" x14ac:dyDescent="0.35">
      <c r="X6837" s="40"/>
      <c r="Y6837" s="40"/>
    </row>
    <row r="6838" spans="24:25" x14ac:dyDescent="0.35">
      <c r="X6838" s="40"/>
      <c r="Y6838" s="40"/>
    </row>
    <row r="6839" spans="24:25" x14ac:dyDescent="0.35">
      <c r="X6839" s="40"/>
      <c r="Y6839" s="40"/>
    </row>
    <row r="6840" spans="24:25" x14ac:dyDescent="0.35">
      <c r="X6840" s="40"/>
      <c r="Y6840" s="40"/>
    </row>
    <row r="6841" spans="24:25" x14ac:dyDescent="0.35">
      <c r="X6841" s="40"/>
      <c r="Y6841" s="40"/>
    </row>
    <row r="6842" spans="24:25" x14ac:dyDescent="0.35">
      <c r="X6842" s="40"/>
      <c r="Y6842" s="40"/>
    </row>
    <row r="6843" spans="24:25" x14ac:dyDescent="0.35">
      <c r="X6843" s="40"/>
      <c r="Y6843" s="40"/>
    </row>
    <row r="6844" spans="24:25" x14ac:dyDescent="0.35">
      <c r="X6844" s="40"/>
      <c r="Y6844" s="40"/>
    </row>
    <row r="6845" spans="24:25" x14ac:dyDescent="0.35">
      <c r="X6845" s="40"/>
      <c r="Y6845" s="40"/>
    </row>
    <row r="6846" spans="24:25" x14ac:dyDescent="0.35">
      <c r="X6846" s="40"/>
      <c r="Y6846" s="40"/>
    </row>
    <row r="6847" spans="24:25" x14ac:dyDescent="0.35">
      <c r="X6847" s="40"/>
      <c r="Y6847" s="40"/>
    </row>
    <row r="6848" spans="24:25" x14ac:dyDescent="0.35">
      <c r="X6848" s="40"/>
      <c r="Y6848" s="40"/>
    </row>
    <row r="6849" spans="24:25" x14ac:dyDescent="0.35">
      <c r="X6849" s="40"/>
      <c r="Y6849" s="40"/>
    </row>
    <row r="6850" spans="24:25" x14ac:dyDescent="0.35">
      <c r="X6850" s="40"/>
      <c r="Y6850" s="40"/>
    </row>
    <row r="6851" spans="24:25" x14ac:dyDescent="0.35">
      <c r="X6851" s="40"/>
      <c r="Y6851" s="40"/>
    </row>
    <row r="6852" spans="24:25" x14ac:dyDescent="0.35">
      <c r="X6852" s="40"/>
      <c r="Y6852" s="40"/>
    </row>
    <row r="6853" spans="24:25" x14ac:dyDescent="0.35">
      <c r="X6853" s="40"/>
      <c r="Y6853" s="40"/>
    </row>
    <row r="6854" spans="24:25" x14ac:dyDescent="0.35">
      <c r="X6854" s="40"/>
      <c r="Y6854" s="40"/>
    </row>
    <row r="6855" spans="24:25" x14ac:dyDescent="0.35">
      <c r="X6855" s="40"/>
      <c r="Y6855" s="40"/>
    </row>
    <row r="6856" spans="24:25" x14ac:dyDescent="0.35">
      <c r="X6856" s="40"/>
      <c r="Y6856" s="40"/>
    </row>
    <row r="6857" spans="24:25" x14ac:dyDescent="0.35">
      <c r="X6857" s="40"/>
      <c r="Y6857" s="40"/>
    </row>
    <row r="6858" spans="24:25" x14ac:dyDescent="0.35">
      <c r="X6858" s="40"/>
      <c r="Y6858" s="40"/>
    </row>
    <row r="6859" spans="24:25" x14ac:dyDescent="0.35">
      <c r="X6859" s="40"/>
      <c r="Y6859" s="40"/>
    </row>
    <row r="6860" spans="24:25" x14ac:dyDescent="0.35">
      <c r="X6860" s="40"/>
      <c r="Y6860" s="40"/>
    </row>
    <row r="6861" spans="24:25" x14ac:dyDescent="0.35">
      <c r="X6861" s="40"/>
      <c r="Y6861" s="40"/>
    </row>
    <row r="6862" spans="24:25" x14ac:dyDescent="0.35">
      <c r="X6862" s="40"/>
      <c r="Y6862" s="40"/>
    </row>
    <row r="6863" spans="24:25" x14ac:dyDescent="0.35">
      <c r="X6863" s="40"/>
      <c r="Y6863" s="40"/>
    </row>
    <row r="6864" spans="24:25" x14ac:dyDescent="0.35">
      <c r="X6864" s="40"/>
      <c r="Y6864" s="40"/>
    </row>
    <row r="6865" spans="24:25" x14ac:dyDescent="0.35">
      <c r="X6865" s="40"/>
      <c r="Y6865" s="40"/>
    </row>
    <row r="6866" spans="24:25" x14ac:dyDescent="0.35">
      <c r="X6866" s="40"/>
      <c r="Y6866" s="40"/>
    </row>
    <row r="6867" spans="24:25" x14ac:dyDescent="0.35">
      <c r="X6867" s="40"/>
      <c r="Y6867" s="40"/>
    </row>
    <row r="6868" spans="24:25" x14ac:dyDescent="0.35">
      <c r="X6868" s="40"/>
      <c r="Y6868" s="40"/>
    </row>
    <row r="6869" spans="24:25" x14ac:dyDescent="0.35">
      <c r="X6869" s="40"/>
      <c r="Y6869" s="40"/>
    </row>
    <row r="6870" spans="24:25" x14ac:dyDescent="0.35">
      <c r="X6870" s="40"/>
      <c r="Y6870" s="40"/>
    </row>
    <row r="6871" spans="24:25" x14ac:dyDescent="0.35">
      <c r="X6871" s="40"/>
      <c r="Y6871" s="40"/>
    </row>
    <row r="6872" spans="24:25" x14ac:dyDescent="0.35">
      <c r="X6872" s="40"/>
      <c r="Y6872" s="40"/>
    </row>
    <row r="6873" spans="24:25" x14ac:dyDescent="0.35">
      <c r="X6873" s="40"/>
      <c r="Y6873" s="40"/>
    </row>
    <row r="6874" spans="24:25" x14ac:dyDescent="0.35">
      <c r="X6874" s="40"/>
      <c r="Y6874" s="40"/>
    </row>
    <row r="6875" spans="24:25" x14ac:dyDescent="0.35">
      <c r="X6875" s="40"/>
      <c r="Y6875" s="40"/>
    </row>
    <row r="6876" spans="24:25" x14ac:dyDescent="0.35">
      <c r="X6876" s="40"/>
      <c r="Y6876" s="40"/>
    </row>
    <row r="6877" spans="24:25" x14ac:dyDescent="0.35">
      <c r="X6877" s="40"/>
      <c r="Y6877" s="40"/>
    </row>
    <row r="6878" spans="24:25" x14ac:dyDescent="0.35">
      <c r="X6878" s="40"/>
      <c r="Y6878" s="40"/>
    </row>
    <row r="6879" spans="24:25" x14ac:dyDescent="0.35">
      <c r="X6879" s="40"/>
      <c r="Y6879" s="40"/>
    </row>
    <row r="6880" spans="24:25" x14ac:dyDescent="0.35">
      <c r="X6880" s="40"/>
      <c r="Y6880" s="40"/>
    </row>
    <row r="6881" spans="24:25" x14ac:dyDescent="0.35">
      <c r="X6881" s="40"/>
      <c r="Y6881" s="40"/>
    </row>
    <row r="6882" spans="24:25" x14ac:dyDescent="0.35">
      <c r="X6882" s="40"/>
      <c r="Y6882" s="40"/>
    </row>
    <row r="6883" spans="24:25" x14ac:dyDescent="0.35">
      <c r="X6883" s="40"/>
      <c r="Y6883" s="40"/>
    </row>
    <row r="6884" spans="24:25" x14ac:dyDescent="0.35">
      <c r="X6884" s="40"/>
      <c r="Y6884" s="40"/>
    </row>
    <row r="6885" spans="24:25" x14ac:dyDescent="0.35">
      <c r="X6885" s="40"/>
      <c r="Y6885" s="40"/>
    </row>
    <row r="6886" spans="24:25" x14ac:dyDescent="0.35">
      <c r="X6886" s="40"/>
      <c r="Y6886" s="40"/>
    </row>
    <row r="6887" spans="24:25" x14ac:dyDescent="0.35">
      <c r="X6887" s="40"/>
      <c r="Y6887" s="40"/>
    </row>
    <row r="6888" spans="24:25" x14ac:dyDescent="0.35">
      <c r="X6888" s="40"/>
      <c r="Y6888" s="40"/>
    </row>
    <row r="6889" spans="24:25" x14ac:dyDescent="0.35">
      <c r="X6889" s="40"/>
      <c r="Y6889" s="40"/>
    </row>
    <row r="6890" spans="24:25" x14ac:dyDescent="0.35">
      <c r="X6890" s="40"/>
      <c r="Y6890" s="40"/>
    </row>
    <row r="6891" spans="24:25" x14ac:dyDescent="0.35">
      <c r="X6891" s="40"/>
      <c r="Y6891" s="40"/>
    </row>
    <row r="6892" spans="24:25" x14ac:dyDescent="0.35">
      <c r="X6892" s="40"/>
      <c r="Y6892" s="40"/>
    </row>
    <row r="6893" spans="24:25" x14ac:dyDescent="0.35">
      <c r="X6893" s="40"/>
      <c r="Y6893" s="40"/>
    </row>
    <row r="6894" spans="24:25" x14ac:dyDescent="0.35">
      <c r="X6894" s="40"/>
      <c r="Y6894" s="40"/>
    </row>
    <row r="6895" spans="24:25" x14ac:dyDescent="0.35">
      <c r="X6895" s="40"/>
      <c r="Y6895" s="40"/>
    </row>
    <row r="6896" spans="24:25" x14ac:dyDescent="0.35">
      <c r="X6896" s="40"/>
      <c r="Y6896" s="40"/>
    </row>
    <row r="6897" spans="24:25" x14ac:dyDescent="0.35">
      <c r="X6897" s="40"/>
      <c r="Y6897" s="40"/>
    </row>
    <row r="6898" spans="24:25" x14ac:dyDescent="0.35">
      <c r="X6898" s="40"/>
      <c r="Y6898" s="40"/>
    </row>
    <row r="6899" spans="24:25" x14ac:dyDescent="0.35">
      <c r="X6899" s="40"/>
      <c r="Y6899" s="40"/>
    </row>
    <row r="6900" spans="24:25" x14ac:dyDescent="0.35">
      <c r="X6900" s="40"/>
      <c r="Y6900" s="40"/>
    </row>
    <row r="6901" spans="24:25" x14ac:dyDescent="0.35">
      <c r="X6901" s="40"/>
      <c r="Y6901" s="40"/>
    </row>
    <row r="6902" spans="24:25" x14ac:dyDescent="0.35">
      <c r="X6902" s="40"/>
      <c r="Y6902" s="40"/>
    </row>
    <row r="6903" spans="24:25" x14ac:dyDescent="0.35">
      <c r="X6903" s="40"/>
      <c r="Y6903" s="40"/>
    </row>
    <row r="6904" spans="24:25" x14ac:dyDescent="0.35">
      <c r="X6904" s="40"/>
      <c r="Y6904" s="40"/>
    </row>
    <row r="6905" spans="24:25" x14ac:dyDescent="0.35">
      <c r="X6905" s="40"/>
      <c r="Y6905" s="40"/>
    </row>
    <row r="6906" spans="24:25" x14ac:dyDescent="0.35">
      <c r="X6906" s="40"/>
      <c r="Y6906" s="40"/>
    </row>
    <row r="6907" spans="24:25" x14ac:dyDescent="0.35">
      <c r="X6907" s="40"/>
      <c r="Y6907" s="40"/>
    </row>
    <row r="6908" spans="24:25" x14ac:dyDescent="0.35">
      <c r="X6908" s="40"/>
      <c r="Y6908" s="40"/>
    </row>
    <row r="6909" spans="24:25" x14ac:dyDescent="0.35">
      <c r="X6909" s="40"/>
      <c r="Y6909" s="40"/>
    </row>
    <row r="6910" spans="24:25" x14ac:dyDescent="0.35">
      <c r="X6910" s="40"/>
      <c r="Y6910" s="40"/>
    </row>
    <row r="6911" spans="24:25" x14ac:dyDescent="0.35">
      <c r="X6911" s="40"/>
      <c r="Y6911" s="40"/>
    </row>
    <row r="6912" spans="24:25" x14ac:dyDescent="0.35">
      <c r="X6912" s="40"/>
      <c r="Y6912" s="40"/>
    </row>
    <row r="6913" spans="24:25" x14ac:dyDescent="0.35">
      <c r="X6913" s="40"/>
      <c r="Y6913" s="40"/>
    </row>
    <row r="6914" spans="24:25" x14ac:dyDescent="0.35">
      <c r="X6914" s="40"/>
      <c r="Y6914" s="40"/>
    </row>
    <row r="6915" spans="24:25" x14ac:dyDescent="0.35">
      <c r="X6915" s="40"/>
      <c r="Y6915" s="40"/>
    </row>
    <row r="6916" spans="24:25" x14ac:dyDescent="0.35">
      <c r="X6916" s="40"/>
      <c r="Y6916" s="40"/>
    </row>
    <row r="6917" spans="24:25" x14ac:dyDescent="0.35">
      <c r="X6917" s="40"/>
      <c r="Y6917" s="40"/>
    </row>
    <row r="6918" spans="24:25" x14ac:dyDescent="0.35">
      <c r="X6918" s="40"/>
      <c r="Y6918" s="40"/>
    </row>
    <row r="6919" spans="24:25" x14ac:dyDescent="0.35">
      <c r="X6919" s="40"/>
      <c r="Y6919" s="40"/>
    </row>
    <row r="6920" spans="24:25" x14ac:dyDescent="0.35">
      <c r="X6920" s="40"/>
      <c r="Y6920" s="40"/>
    </row>
    <row r="6921" spans="24:25" x14ac:dyDescent="0.35">
      <c r="X6921" s="40"/>
      <c r="Y6921" s="40"/>
    </row>
    <row r="6922" spans="24:25" x14ac:dyDescent="0.35">
      <c r="X6922" s="40"/>
      <c r="Y6922" s="40"/>
    </row>
    <row r="6923" spans="24:25" x14ac:dyDescent="0.35">
      <c r="X6923" s="40"/>
      <c r="Y6923" s="40"/>
    </row>
    <row r="6924" spans="24:25" x14ac:dyDescent="0.35">
      <c r="X6924" s="40"/>
      <c r="Y6924" s="40"/>
    </row>
    <row r="6925" spans="24:25" x14ac:dyDescent="0.35">
      <c r="X6925" s="40"/>
      <c r="Y6925" s="40"/>
    </row>
    <row r="6926" spans="24:25" x14ac:dyDescent="0.35">
      <c r="X6926" s="40"/>
      <c r="Y6926" s="40"/>
    </row>
    <row r="6927" spans="24:25" x14ac:dyDescent="0.35">
      <c r="X6927" s="40"/>
      <c r="Y6927" s="40"/>
    </row>
    <row r="6928" spans="24:25" x14ac:dyDescent="0.35">
      <c r="X6928" s="40"/>
      <c r="Y6928" s="40"/>
    </row>
    <row r="6929" spans="24:25" x14ac:dyDescent="0.35">
      <c r="X6929" s="40"/>
      <c r="Y6929" s="40"/>
    </row>
    <row r="6930" spans="24:25" x14ac:dyDescent="0.35">
      <c r="X6930" s="40"/>
      <c r="Y6930" s="40"/>
    </row>
    <row r="6931" spans="24:25" x14ac:dyDescent="0.35">
      <c r="X6931" s="40"/>
      <c r="Y6931" s="40"/>
    </row>
    <row r="6932" spans="24:25" x14ac:dyDescent="0.35">
      <c r="X6932" s="40"/>
      <c r="Y6932" s="40"/>
    </row>
    <row r="6933" spans="24:25" x14ac:dyDescent="0.35">
      <c r="X6933" s="40"/>
      <c r="Y6933" s="40"/>
    </row>
    <row r="6934" spans="24:25" x14ac:dyDescent="0.35">
      <c r="X6934" s="40"/>
      <c r="Y6934" s="40"/>
    </row>
    <row r="6935" spans="24:25" x14ac:dyDescent="0.35">
      <c r="X6935" s="40"/>
      <c r="Y6935" s="40"/>
    </row>
    <row r="6936" spans="24:25" x14ac:dyDescent="0.35">
      <c r="X6936" s="40"/>
      <c r="Y6936" s="40"/>
    </row>
    <row r="6937" spans="24:25" x14ac:dyDescent="0.35">
      <c r="X6937" s="40"/>
      <c r="Y6937" s="40"/>
    </row>
    <row r="6938" spans="24:25" x14ac:dyDescent="0.35">
      <c r="X6938" s="40"/>
      <c r="Y6938" s="40"/>
    </row>
    <row r="6939" spans="24:25" x14ac:dyDescent="0.35">
      <c r="X6939" s="40"/>
      <c r="Y6939" s="40"/>
    </row>
    <row r="6940" spans="24:25" x14ac:dyDescent="0.35">
      <c r="X6940" s="40"/>
      <c r="Y6940" s="40"/>
    </row>
    <row r="6941" spans="24:25" x14ac:dyDescent="0.35">
      <c r="X6941" s="40"/>
      <c r="Y6941" s="40"/>
    </row>
    <row r="6942" spans="24:25" x14ac:dyDescent="0.35">
      <c r="X6942" s="40"/>
      <c r="Y6942" s="40"/>
    </row>
    <row r="6943" spans="24:25" x14ac:dyDescent="0.35">
      <c r="X6943" s="40"/>
      <c r="Y6943" s="40"/>
    </row>
    <row r="6944" spans="24:25" x14ac:dyDescent="0.35">
      <c r="X6944" s="40"/>
      <c r="Y6944" s="40"/>
    </row>
    <row r="6945" spans="24:25" x14ac:dyDescent="0.35">
      <c r="X6945" s="40"/>
      <c r="Y6945" s="40"/>
    </row>
    <row r="6946" spans="24:25" x14ac:dyDescent="0.35">
      <c r="X6946" s="40"/>
      <c r="Y6946" s="40"/>
    </row>
    <row r="6947" spans="24:25" x14ac:dyDescent="0.35">
      <c r="X6947" s="40"/>
      <c r="Y6947" s="40"/>
    </row>
    <row r="6948" spans="24:25" x14ac:dyDescent="0.35">
      <c r="X6948" s="40"/>
      <c r="Y6948" s="40"/>
    </row>
    <row r="6949" spans="24:25" x14ac:dyDescent="0.35">
      <c r="X6949" s="40"/>
      <c r="Y6949" s="40"/>
    </row>
    <row r="6950" spans="24:25" x14ac:dyDescent="0.35">
      <c r="X6950" s="40"/>
      <c r="Y6950" s="40"/>
    </row>
    <row r="6951" spans="24:25" x14ac:dyDescent="0.35">
      <c r="X6951" s="40"/>
      <c r="Y6951" s="40"/>
    </row>
    <row r="6952" spans="24:25" x14ac:dyDescent="0.35">
      <c r="X6952" s="40"/>
      <c r="Y6952" s="40"/>
    </row>
    <row r="6953" spans="24:25" x14ac:dyDescent="0.35">
      <c r="X6953" s="40"/>
      <c r="Y6953" s="40"/>
    </row>
    <row r="6954" spans="24:25" x14ac:dyDescent="0.35">
      <c r="X6954" s="40"/>
      <c r="Y6954" s="40"/>
    </row>
    <row r="6955" spans="24:25" x14ac:dyDescent="0.35">
      <c r="X6955" s="40"/>
      <c r="Y6955" s="40"/>
    </row>
    <row r="6956" spans="24:25" x14ac:dyDescent="0.35">
      <c r="X6956" s="40"/>
      <c r="Y6956" s="40"/>
    </row>
    <row r="6957" spans="24:25" x14ac:dyDescent="0.35">
      <c r="X6957" s="40"/>
      <c r="Y6957" s="40"/>
    </row>
    <row r="6958" spans="24:25" x14ac:dyDescent="0.35">
      <c r="X6958" s="40"/>
      <c r="Y6958" s="40"/>
    </row>
    <row r="6959" spans="24:25" x14ac:dyDescent="0.35">
      <c r="X6959" s="40"/>
      <c r="Y6959" s="40"/>
    </row>
    <row r="6960" spans="24:25" x14ac:dyDescent="0.35">
      <c r="X6960" s="40"/>
      <c r="Y6960" s="40"/>
    </row>
    <row r="6961" spans="24:25" x14ac:dyDescent="0.35">
      <c r="X6961" s="40"/>
      <c r="Y6961" s="40"/>
    </row>
    <row r="6962" spans="24:25" x14ac:dyDescent="0.35">
      <c r="X6962" s="40"/>
      <c r="Y6962" s="40"/>
    </row>
    <row r="6963" spans="24:25" x14ac:dyDescent="0.35">
      <c r="X6963" s="40"/>
      <c r="Y6963" s="40"/>
    </row>
    <row r="6964" spans="24:25" x14ac:dyDescent="0.35">
      <c r="X6964" s="40"/>
      <c r="Y6964" s="40"/>
    </row>
    <row r="6965" spans="24:25" x14ac:dyDescent="0.35">
      <c r="X6965" s="40"/>
      <c r="Y6965" s="40"/>
    </row>
    <row r="6966" spans="24:25" x14ac:dyDescent="0.35">
      <c r="X6966" s="40"/>
      <c r="Y6966" s="40"/>
    </row>
    <row r="6967" spans="24:25" x14ac:dyDescent="0.35">
      <c r="X6967" s="40"/>
      <c r="Y6967" s="40"/>
    </row>
    <row r="6968" spans="24:25" x14ac:dyDescent="0.35">
      <c r="X6968" s="40"/>
      <c r="Y6968" s="40"/>
    </row>
    <row r="6969" spans="24:25" x14ac:dyDescent="0.35">
      <c r="X6969" s="40"/>
      <c r="Y6969" s="40"/>
    </row>
    <row r="6970" spans="24:25" x14ac:dyDescent="0.35">
      <c r="X6970" s="40"/>
      <c r="Y6970" s="40"/>
    </row>
    <row r="6971" spans="24:25" x14ac:dyDescent="0.35">
      <c r="X6971" s="40"/>
      <c r="Y6971" s="40"/>
    </row>
    <row r="6972" spans="24:25" x14ac:dyDescent="0.35">
      <c r="X6972" s="40"/>
      <c r="Y6972" s="40"/>
    </row>
    <row r="6973" spans="24:25" x14ac:dyDescent="0.35">
      <c r="X6973" s="40"/>
      <c r="Y6973" s="40"/>
    </row>
    <row r="6974" spans="24:25" x14ac:dyDescent="0.35">
      <c r="X6974" s="40"/>
      <c r="Y6974" s="40"/>
    </row>
    <row r="6975" spans="24:25" x14ac:dyDescent="0.35">
      <c r="X6975" s="40"/>
      <c r="Y6975" s="40"/>
    </row>
    <row r="6976" spans="24:25" x14ac:dyDescent="0.35">
      <c r="X6976" s="40"/>
      <c r="Y6976" s="40"/>
    </row>
    <row r="6977" spans="24:25" x14ac:dyDescent="0.35">
      <c r="X6977" s="40"/>
      <c r="Y6977" s="40"/>
    </row>
    <row r="6978" spans="24:25" x14ac:dyDescent="0.35">
      <c r="X6978" s="40"/>
      <c r="Y6978" s="40"/>
    </row>
    <row r="6979" spans="24:25" x14ac:dyDescent="0.35">
      <c r="X6979" s="40"/>
      <c r="Y6979" s="40"/>
    </row>
    <row r="6980" spans="24:25" x14ac:dyDescent="0.35">
      <c r="X6980" s="40"/>
      <c r="Y6980" s="40"/>
    </row>
    <row r="6981" spans="24:25" x14ac:dyDescent="0.35">
      <c r="X6981" s="40"/>
      <c r="Y6981" s="40"/>
    </row>
    <row r="6982" spans="24:25" x14ac:dyDescent="0.35">
      <c r="X6982" s="40"/>
      <c r="Y6982" s="40"/>
    </row>
    <row r="6983" spans="24:25" x14ac:dyDescent="0.35">
      <c r="X6983" s="40"/>
      <c r="Y6983" s="40"/>
    </row>
    <row r="6984" spans="24:25" x14ac:dyDescent="0.35">
      <c r="X6984" s="40"/>
      <c r="Y6984" s="40"/>
    </row>
    <row r="6985" spans="24:25" x14ac:dyDescent="0.35">
      <c r="X6985" s="40"/>
      <c r="Y6985" s="40"/>
    </row>
    <row r="6986" spans="24:25" x14ac:dyDescent="0.35">
      <c r="X6986" s="40"/>
      <c r="Y6986" s="40"/>
    </row>
    <row r="6987" spans="24:25" x14ac:dyDescent="0.35">
      <c r="X6987" s="40"/>
      <c r="Y6987" s="40"/>
    </row>
    <row r="6988" spans="24:25" x14ac:dyDescent="0.35">
      <c r="X6988" s="40"/>
      <c r="Y6988" s="40"/>
    </row>
    <row r="6989" spans="24:25" x14ac:dyDescent="0.35">
      <c r="X6989" s="40"/>
      <c r="Y6989" s="40"/>
    </row>
    <row r="6990" spans="24:25" x14ac:dyDescent="0.35">
      <c r="X6990" s="40"/>
      <c r="Y6990" s="40"/>
    </row>
    <row r="6991" spans="24:25" x14ac:dyDescent="0.35">
      <c r="X6991" s="40"/>
      <c r="Y6991" s="40"/>
    </row>
    <row r="6992" spans="24:25" x14ac:dyDescent="0.35">
      <c r="X6992" s="40"/>
      <c r="Y6992" s="40"/>
    </row>
    <row r="6993" spans="24:25" x14ac:dyDescent="0.35">
      <c r="X6993" s="40"/>
      <c r="Y6993" s="40"/>
    </row>
    <row r="6994" spans="24:25" x14ac:dyDescent="0.35">
      <c r="X6994" s="40"/>
      <c r="Y6994" s="40"/>
    </row>
    <row r="6995" spans="24:25" x14ac:dyDescent="0.35">
      <c r="X6995" s="40"/>
      <c r="Y6995" s="40"/>
    </row>
    <row r="6996" spans="24:25" x14ac:dyDescent="0.35">
      <c r="X6996" s="40"/>
      <c r="Y6996" s="40"/>
    </row>
    <row r="6997" spans="24:25" x14ac:dyDescent="0.35">
      <c r="X6997" s="40"/>
      <c r="Y6997" s="40"/>
    </row>
    <row r="6998" spans="24:25" x14ac:dyDescent="0.35">
      <c r="X6998" s="40"/>
      <c r="Y6998" s="40"/>
    </row>
    <row r="6999" spans="24:25" x14ac:dyDescent="0.35">
      <c r="X6999" s="40"/>
      <c r="Y6999" s="40"/>
    </row>
    <row r="7000" spans="24:25" x14ac:dyDescent="0.35">
      <c r="X7000" s="40"/>
      <c r="Y7000" s="40"/>
    </row>
    <row r="7001" spans="24:25" x14ac:dyDescent="0.35">
      <c r="X7001" s="40"/>
      <c r="Y7001" s="40"/>
    </row>
    <row r="7002" spans="24:25" x14ac:dyDescent="0.35">
      <c r="X7002" s="40"/>
      <c r="Y7002" s="40"/>
    </row>
    <row r="7003" spans="24:25" x14ac:dyDescent="0.35">
      <c r="X7003" s="40"/>
      <c r="Y7003" s="40"/>
    </row>
    <row r="7004" spans="24:25" x14ac:dyDescent="0.35">
      <c r="X7004" s="40"/>
      <c r="Y7004" s="40"/>
    </row>
    <row r="7005" spans="24:25" x14ac:dyDescent="0.35">
      <c r="X7005" s="40"/>
      <c r="Y7005" s="40"/>
    </row>
    <row r="7006" spans="24:25" x14ac:dyDescent="0.35">
      <c r="X7006" s="40"/>
      <c r="Y7006" s="40"/>
    </row>
    <row r="7007" spans="24:25" x14ac:dyDescent="0.35">
      <c r="X7007" s="40"/>
      <c r="Y7007" s="40"/>
    </row>
    <row r="7008" spans="24:25" x14ac:dyDescent="0.35">
      <c r="X7008" s="40"/>
      <c r="Y7008" s="40"/>
    </row>
    <row r="7009" spans="24:25" x14ac:dyDescent="0.35">
      <c r="X7009" s="40"/>
      <c r="Y7009" s="40"/>
    </row>
    <row r="7010" spans="24:25" x14ac:dyDescent="0.35">
      <c r="X7010" s="40"/>
      <c r="Y7010" s="40"/>
    </row>
    <row r="7011" spans="24:25" x14ac:dyDescent="0.35">
      <c r="X7011" s="40"/>
      <c r="Y7011" s="40"/>
    </row>
    <row r="7012" spans="24:25" x14ac:dyDescent="0.35">
      <c r="X7012" s="40"/>
      <c r="Y7012" s="40"/>
    </row>
    <row r="7013" spans="24:25" x14ac:dyDescent="0.35">
      <c r="X7013" s="40"/>
      <c r="Y7013" s="40"/>
    </row>
    <row r="7014" spans="24:25" x14ac:dyDescent="0.35">
      <c r="X7014" s="40"/>
      <c r="Y7014" s="40"/>
    </row>
    <row r="7015" spans="24:25" x14ac:dyDescent="0.35">
      <c r="X7015" s="40"/>
      <c r="Y7015" s="40"/>
    </row>
    <row r="7016" spans="24:25" x14ac:dyDescent="0.35">
      <c r="X7016" s="40"/>
      <c r="Y7016" s="40"/>
    </row>
    <row r="7017" spans="24:25" x14ac:dyDescent="0.35">
      <c r="X7017" s="40"/>
      <c r="Y7017" s="40"/>
    </row>
    <row r="7018" spans="24:25" x14ac:dyDescent="0.35">
      <c r="X7018" s="40"/>
      <c r="Y7018" s="40"/>
    </row>
    <row r="7019" spans="24:25" x14ac:dyDescent="0.35">
      <c r="X7019" s="40"/>
      <c r="Y7019" s="40"/>
    </row>
    <row r="7020" spans="24:25" x14ac:dyDescent="0.35">
      <c r="X7020" s="40"/>
      <c r="Y7020" s="40"/>
    </row>
    <row r="7021" spans="24:25" x14ac:dyDescent="0.35">
      <c r="X7021" s="40"/>
      <c r="Y7021" s="40"/>
    </row>
    <row r="7022" spans="24:25" x14ac:dyDescent="0.35">
      <c r="X7022" s="40"/>
      <c r="Y7022" s="40"/>
    </row>
    <row r="7023" spans="24:25" x14ac:dyDescent="0.35">
      <c r="X7023" s="40"/>
      <c r="Y7023" s="40"/>
    </row>
    <row r="7024" spans="24:25" x14ac:dyDescent="0.35">
      <c r="X7024" s="40"/>
      <c r="Y7024" s="40"/>
    </row>
    <row r="7025" spans="24:25" x14ac:dyDescent="0.35">
      <c r="X7025" s="40"/>
      <c r="Y7025" s="40"/>
    </row>
    <row r="7026" spans="24:25" x14ac:dyDescent="0.35">
      <c r="X7026" s="40"/>
      <c r="Y7026" s="40"/>
    </row>
    <row r="7027" spans="24:25" x14ac:dyDescent="0.35">
      <c r="X7027" s="40"/>
      <c r="Y7027" s="40"/>
    </row>
    <row r="7028" spans="24:25" x14ac:dyDescent="0.35">
      <c r="X7028" s="40"/>
      <c r="Y7028" s="40"/>
    </row>
    <row r="7029" spans="24:25" x14ac:dyDescent="0.35">
      <c r="X7029" s="40"/>
      <c r="Y7029" s="40"/>
    </row>
    <row r="7030" spans="24:25" x14ac:dyDescent="0.35">
      <c r="X7030" s="40"/>
      <c r="Y7030" s="40"/>
    </row>
    <row r="7031" spans="24:25" x14ac:dyDescent="0.35">
      <c r="X7031" s="40"/>
      <c r="Y7031" s="40"/>
    </row>
    <row r="7032" spans="24:25" x14ac:dyDescent="0.35">
      <c r="X7032" s="40"/>
      <c r="Y7032" s="40"/>
    </row>
    <row r="7033" spans="24:25" x14ac:dyDescent="0.35">
      <c r="X7033" s="40"/>
      <c r="Y7033" s="40"/>
    </row>
    <row r="7034" spans="24:25" x14ac:dyDescent="0.35">
      <c r="X7034" s="40"/>
      <c r="Y7034" s="40"/>
    </row>
    <row r="7035" spans="24:25" x14ac:dyDescent="0.35">
      <c r="X7035" s="40"/>
      <c r="Y7035" s="40"/>
    </row>
    <row r="7036" spans="24:25" x14ac:dyDescent="0.35">
      <c r="X7036" s="40"/>
      <c r="Y7036" s="40"/>
    </row>
    <row r="7037" spans="24:25" x14ac:dyDescent="0.35">
      <c r="X7037" s="40"/>
      <c r="Y7037" s="40"/>
    </row>
    <row r="7038" spans="24:25" x14ac:dyDescent="0.35">
      <c r="X7038" s="40"/>
      <c r="Y7038" s="40"/>
    </row>
    <row r="7039" spans="24:25" x14ac:dyDescent="0.35">
      <c r="X7039" s="40"/>
      <c r="Y7039" s="40"/>
    </row>
    <row r="7040" spans="24:25" x14ac:dyDescent="0.35">
      <c r="X7040" s="40"/>
      <c r="Y7040" s="40"/>
    </row>
    <row r="7041" spans="24:25" x14ac:dyDescent="0.35">
      <c r="X7041" s="40"/>
      <c r="Y7041" s="40"/>
    </row>
    <row r="7042" spans="24:25" x14ac:dyDescent="0.35">
      <c r="X7042" s="40"/>
      <c r="Y7042" s="40"/>
    </row>
    <row r="7043" spans="24:25" x14ac:dyDescent="0.35">
      <c r="X7043" s="40"/>
      <c r="Y7043" s="40"/>
    </row>
    <row r="7044" spans="24:25" x14ac:dyDescent="0.35">
      <c r="X7044" s="40"/>
      <c r="Y7044" s="40"/>
    </row>
    <row r="7045" spans="24:25" x14ac:dyDescent="0.35">
      <c r="X7045" s="40"/>
      <c r="Y7045" s="40"/>
    </row>
    <row r="7046" spans="24:25" x14ac:dyDescent="0.35">
      <c r="X7046" s="40"/>
      <c r="Y7046" s="40"/>
    </row>
    <row r="7047" spans="24:25" x14ac:dyDescent="0.35">
      <c r="X7047" s="40"/>
      <c r="Y7047" s="40"/>
    </row>
    <row r="7048" spans="24:25" x14ac:dyDescent="0.35">
      <c r="X7048" s="40"/>
      <c r="Y7048" s="40"/>
    </row>
    <row r="7049" spans="24:25" x14ac:dyDescent="0.35">
      <c r="X7049" s="40"/>
      <c r="Y7049" s="40"/>
    </row>
    <row r="7050" spans="24:25" x14ac:dyDescent="0.35">
      <c r="X7050" s="40"/>
      <c r="Y7050" s="40"/>
    </row>
    <row r="7051" spans="24:25" x14ac:dyDescent="0.35">
      <c r="X7051" s="40"/>
      <c r="Y7051" s="40"/>
    </row>
    <row r="7052" spans="24:25" x14ac:dyDescent="0.35">
      <c r="X7052" s="40"/>
      <c r="Y7052" s="40"/>
    </row>
    <row r="7053" spans="24:25" x14ac:dyDescent="0.35">
      <c r="X7053" s="40"/>
      <c r="Y7053" s="40"/>
    </row>
    <row r="7054" spans="24:25" x14ac:dyDescent="0.35">
      <c r="X7054" s="40"/>
      <c r="Y7054" s="40"/>
    </row>
    <row r="7055" spans="24:25" x14ac:dyDescent="0.35">
      <c r="X7055" s="40"/>
      <c r="Y7055" s="40"/>
    </row>
    <row r="7056" spans="24:25" x14ac:dyDescent="0.35">
      <c r="X7056" s="40"/>
      <c r="Y7056" s="40"/>
    </row>
    <row r="7057" spans="24:25" x14ac:dyDescent="0.35">
      <c r="X7057" s="40"/>
      <c r="Y7057" s="40"/>
    </row>
    <row r="7058" spans="24:25" x14ac:dyDescent="0.35">
      <c r="X7058" s="40"/>
      <c r="Y7058" s="40"/>
    </row>
    <row r="7059" spans="24:25" x14ac:dyDescent="0.35">
      <c r="X7059" s="40"/>
      <c r="Y7059" s="40"/>
    </row>
    <row r="7060" spans="24:25" x14ac:dyDescent="0.35">
      <c r="X7060" s="40"/>
      <c r="Y7060" s="40"/>
    </row>
    <row r="7061" spans="24:25" x14ac:dyDescent="0.35">
      <c r="X7061" s="40"/>
      <c r="Y7061" s="40"/>
    </row>
    <row r="7062" spans="24:25" x14ac:dyDescent="0.35">
      <c r="X7062" s="40"/>
      <c r="Y7062" s="40"/>
    </row>
    <row r="7063" spans="24:25" x14ac:dyDescent="0.35">
      <c r="X7063" s="40"/>
      <c r="Y7063" s="40"/>
    </row>
    <row r="7064" spans="24:25" x14ac:dyDescent="0.35">
      <c r="X7064" s="40"/>
      <c r="Y7064" s="40"/>
    </row>
    <row r="7065" spans="24:25" x14ac:dyDescent="0.35">
      <c r="X7065" s="40"/>
      <c r="Y7065" s="40"/>
    </row>
    <row r="7066" spans="24:25" x14ac:dyDescent="0.35">
      <c r="X7066" s="40"/>
      <c r="Y7066" s="40"/>
    </row>
    <row r="7067" spans="24:25" x14ac:dyDescent="0.35">
      <c r="X7067" s="40"/>
      <c r="Y7067" s="40"/>
    </row>
    <row r="7068" spans="24:25" x14ac:dyDescent="0.35">
      <c r="X7068" s="40"/>
      <c r="Y7068" s="40"/>
    </row>
    <row r="7069" spans="24:25" x14ac:dyDescent="0.35">
      <c r="X7069" s="40"/>
      <c r="Y7069" s="40"/>
    </row>
    <row r="7070" spans="24:25" x14ac:dyDescent="0.35">
      <c r="X7070" s="40"/>
      <c r="Y7070" s="40"/>
    </row>
    <row r="7071" spans="24:25" x14ac:dyDescent="0.35">
      <c r="X7071" s="40"/>
      <c r="Y7071" s="40"/>
    </row>
    <row r="7072" spans="24:25" x14ac:dyDescent="0.35">
      <c r="X7072" s="40"/>
      <c r="Y7072" s="40"/>
    </row>
    <row r="7073" spans="24:25" x14ac:dyDescent="0.35">
      <c r="X7073" s="40"/>
      <c r="Y7073" s="40"/>
    </row>
    <row r="7074" spans="24:25" x14ac:dyDescent="0.35">
      <c r="X7074" s="40"/>
      <c r="Y7074" s="40"/>
    </row>
    <row r="7075" spans="24:25" x14ac:dyDescent="0.35">
      <c r="X7075" s="40"/>
      <c r="Y7075" s="40"/>
    </row>
    <row r="7076" spans="24:25" x14ac:dyDescent="0.35">
      <c r="X7076" s="40"/>
      <c r="Y7076" s="40"/>
    </row>
    <row r="7077" spans="24:25" x14ac:dyDescent="0.35">
      <c r="X7077" s="40"/>
      <c r="Y7077" s="40"/>
    </row>
    <row r="7078" spans="24:25" x14ac:dyDescent="0.35">
      <c r="X7078" s="40"/>
      <c r="Y7078" s="40"/>
    </row>
    <row r="7079" spans="24:25" x14ac:dyDescent="0.35">
      <c r="X7079" s="40"/>
      <c r="Y7079" s="40"/>
    </row>
    <row r="7080" spans="24:25" x14ac:dyDescent="0.35">
      <c r="X7080" s="40"/>
      <c r="Y7080" s="40"/>
    </row>
    <row r="7081" spans="24:25" x14ac:dyDescent="0.35">
      <c r="X7081" s="40"/>
      <c r="Y7081" s="40"/>
    </row>
    <row r="7082" spans="24:25" x14ac:dyDescent="0.35">
      <c r="X7082" s="40"/>
      <c r="Y7082" s="40"/>
    </row>
    <row r="7083" spans="24:25" x14ac:dyDescent="0.35">
      <c r="X7083" s="40"/>
      <c r="Y7083" s="40"/>
    </row>
    <row r="7084" spans="24:25" x14ac:dyDescent="0.35">
      <c r="X7084" s="40"/>
      <c r="Y7084" s="40"/>
    </row>
    <row r="7085" spans="24:25" x14ac:dyDescent="0.35">
      <c r="X7085" s="40"/>
      <c r="Y7085" s="40"/>
    </row>
    <row r="7086" spans="24:25" x14ac:dyDescent="0.35">
      <c r="X7086" s="40"/>
      <c r="Y7086" s="40"/>
    </row>
    <row r="7087" spans="24:25" x14ac:dyDescent="0.35">
      <c r="X7087" s="40"/>
      <c r="Y7087" s="40"/>
    </row>
    <row r="7088" spans="24:25" x14ac:dyDescent="0.35">
      <c r="X7088" s="40"/>
      <c r="Y7088" s="40"/>
    </row>
    <row r="7089" spans="24:25" x14ac:dyDescent="0.35">
      <c r="X7089" s="40"/>
      <c r="Y7089" s="40"/>
    </row>
    <row r="7090" spans="24:25" x14ac:dyDescent="0.35">
      <c r="X7090" s="40"/>
      <c r="Y7090" s="40"/>
    </row>
    <row r="7091" spans="24:25" x14ac:dyDescent="0.35">
      <c r="X7091" s="40"/>
      <c r="Y7091" s="40"/>
    </row>
    <row r="7092" spans="24:25" x14ac:dyDescent="0.35">
      <c r="X7092" s="40"/>
      <c r="Y7092" s="40"/>
    </row>
    <row r="7093" spans="24:25" x14ac:dyDescent="0.35">
      <c r="X7093" s="40"/>
      <c r="Y7093" s="40"/>
    </row>
    <row r="7094" spans="24:25" x14ac:dyDescent="0.35">
      <c r="X7094" s="40"/>
      <c r="Y7094" s="40"/>
    </row>
    <row r="7095" spans="24:25" x14ac:dyDescent="0.35">
      <c r="X7095" s="40"/>
      <c r="Y7095" s="40"/>
    </row>
    <row r="7096" spans="24:25" x14ac:dyDescent="0.35">
      <c r="X7096" s="40"/>
      <c r="Y7096" s="40"/>
    </row>
    <row r="7097" spans="24:25" x14ac:dyDescent="0.35">
      <c r="X7097" s="40"/>
      <c r="Y7097" s="40"/>
    </row>
    <row r="7098" spans="24:25" x14ac:dyDescent="0.35">
      <c r="X7098" s="40"/>
      <c r="Y7098" s="40"/>
    </row>
    <row r="7099" spans="24:25" x14ac:dyDescent="0.35">
      <c r="X7099" s="40"/>
      <c r="Y7099" s="40"/>
    </row>
    <row r="7100" spans="24:25" x14ac:dyDescent="0.35">
      <c r="X7100" s="40"/>
      <c r="Y7100" s="40"/>
    </row>
    <row r="7101" spans="24:25" x14ac:dyDescent="0.35">
      <c r="X7101" s="40"/>
      <c r="Y7101" s="40"/>
    </row>
    <row r="7102" spans="24:25" x14ac:dyDescent="0.35">
      <c r="X7102" s="40"/>
      <c r="Y7102" s="40"/>
    </row>
    <row r="7103" spans="24:25" x14ac:dyDescent="0.35">
      <c r="X7103" s="40"/>
      <c r="Y7103" s="40"/>
    </row>
    <row r="7104" spans="24:25" x14ac:dyDescent="0.35">
      <c r="X7104" s="40"/>
      <c r="Y7104" s="40"/>
    </row>
    <row r="7105" spans="24:25" x14ac:dyDescent="0.35">
      <c r="X7105" s="40"/>
      <c r="Y7105" s="40"/>
    </row>
    <row r="7106" spans="24:25" x14ac:dyDescent="0.35">
      <c r="X7106" s="40"/>
      <c r="Y7106" s="40"/>
    </row>
    <row r="7107" spans="24:25" x14ac:dyDescent="0.35">
      <c r="X7107" s="40"/>
      <c r="Y7107" s="40"/>
    </row>
    <row r="7108" spans="24:25" x14ac:dyDescent="0.35">
      <c r="X7108" s="40"/>
      <c r="Y7108" s="40"/>
    </row>
    <row r="7109" spans="24:25" x14ac:dyDescent="0.35">
      <c r="X7109" s="40"/>
      <c r="Y7109" s="40"/>
    </row>
    <row r="7110" spans="24:25" x14ac:dyDescent="0.35">
      <c r="X7110" s="40"/>
      <c r="Y7110" s="40"/>
    </row>
    <row r="7111" spans="24:25" x14ac:dyDescent="0.35">
      <c r="X7111" s="40"/>
      <c r="Y7111" s="40"/>
    </row>
    <row r="7112" spans="24:25" x14ac:dyDescent="0.35">
      <c r="X7112" s="40"/>
      <c r="Y7112" s="40"/>
    </row>
    <row r="7113" spans="24:25" x14ac:dyDescent="0.35">
      <c r="X7113" s="40"/>
      <c r="Y7113" s="40"/>
    </row>
    <row r="7114" spans="24:25" x14ac:dyDescent="0.35">
      <c r="X7114" s="40"/>
      <c r="Y7114" s="40"/>
    </row>
    <row r="7115" spans="24:25" x14ac:dyDescent="0.35">
      <c r="X7115" s="40"/>
      <c r="Y7115" s="40"/>
    </row>
    <row r="7116" spans="24:25" x14ac:dyDescent="0.35">
      <c r="X7116" s="40"/>
      <c r="Y7116" s="40"/>
    </row>
    <row r="7117" spans="24:25" x14ac:dyDescent="0.35">
      <c r="X7117" s="40"/>
      <c r="Y7117" s="40"/>
    </row>
    <row r="7118" spans="24:25" x14ac:dyDescent="0.35">
      <c r="X7118" s="40"/>
      <c r="Y7118" s="40"/>
    </row>
    <row r="7119" spans="24:25" x14ac:dyDescent="0.35">
      <c r="X7119" s="40"/>
      <c r="Y7119" s="40"/>
    </row>
    <row r="7120" spans="24:25" x14ac:dyDescent="0.35">
      <c r="X7120" s="40"/>
      <c r="Y7120" s="40"/>
    </row>
    <row r="7121" spans="24:25" x14ac:dyDescent="0.35">
      <c r="X7121" s="40"/>
      <c r="Y7121" s="40"/>
    </row>
    <row r="7122" spans="24:25" x14ac:dyDescent="0.35">
      <c r="X7122" s="40"/>
      <c r="Y7122" s="40"/>
    </row>
    <row r="7123" spans="24:25" x14ac:dyDescent="0.35">
      <c r="X7123" s="40"/>
      <c r="Y7123" s="40"/>
    </row>
    <row r="7124" spans="24:25" x14ac:dyDescent="0.35">
      <c r="X7124" s="40"/>
      <c r="Y7124" s="40"/>
    </row>
    <row r="7125" spans="24:25" x14ac:dyDescent="0.35">
      <c r="X7125" s="40"/>
      <c r="Y7125" s="40"/>
    </row>
    <row r="7126" spans="24:25" x14ac:dyDescent="0.35">
      <c r="X7126" s="40"/>
      <c r="Y7126" s="40"/>
    </row>
    <row r="7127" spans="24:25" x14ac:dyDescent="0.35">
      <c r="X7127" s="40"/>
      <c r="Y7127" s="40"/>
    </row>
    <row r="7128" spans="24:25" x14ac:dyDescent="0.35">
      <c r="X7128" s="40"/>
      <c r="Y7128" s="40"/>
    </row>
    <row r="7129" spans="24:25" x14ac:dyDescent="0.35">
      <c r="X7129" s="40"/>
      <c r="Y7129" s="40"/>
    </row>
    <row r="7130" spans="24:25" x14ac:dyDescent="0.35">
      <c r="X7130" s="40"/>
      <c r="Y7130" s="40"/>
    </row>
    <row r="7131" spans="24:25" x14ac:dyDescent="0.35">
      <c r="X7131" s="40"/>
      <c r="Y7131" s="40"/>
    </row>
    <row r="7132" spans="24:25" x14ac:dyDescent="0.35">
      <c r="X7132" s="40"/>
      <c r="Y7132" s="40"/>
    </row>
    <row r="7133" spans="24:25" x14ac:dyDescent="0.35">
      <c r="X7133" s="40"/>
      <c r="Y7133" s="40"/>
    </row>
    <row r="7134" spans="24:25" x14ac:dyDescent="0.35">
      <c r="X7134" s="40"/>
      <c r="Y7134" s="40"/>
    </row>
    <row r="7135" spans="24:25" x14ac:dyDescent="0.35">
      <c r="X7135" s="40"/>
      <c r="Y7135" s="40"/>
    </row>
    <row r="7136" spans="24:25" x14ac:dyDescent="0.35">
      <c r="X7136" s="40"/>
      <c r="Y7136" s="40"/>
    </row>
    <row r="7137" spans="24:25" x14ac:dyDescent="0.35">
      <c r="X7137" s="40"/>
      <c r="Y7137" s="40"/>
    </row>
    <row r="7138" spans="24:25" x14ac:dyDescent="0.35">
      <c r="X7138" s="40"/>
      <c r="Y7138" s="40"/>
    </row>
    <row r="7139" spans="24:25" x14ac:dyDescent="0.35">
      <c r="X7139" s="40"/>
      <c r="Y7139" s="40"/>
    </row>
    <row r="7140" spans="24:25" x14ac:dyDescent="0.35">
      <c r="X7140" s="40"/>
      <c r="Y7140" s="40"/>
    </row>
    <row r="7141" spans="24:25" x14ac:dyDescent="0.35">
      <c r="X7141" s="40"/>
      <c r="Y7141" s="40"/>
    </row>
    <row r="7142" spans="24:25" x14ac:dyDescent="0.35">
      <c r="X7142" s="40"/>
      <c r="Y7142" s="40"/>
    </row>
    <row r="7143" spans="24:25" x14ac:dyDescent="0.35">
      <c r="X7143" s="40"/>
      <c r="Y7143" s="40"/>
    </row>
    <row r="7144" spans="24:25" x14ac:dyDescent="0.35">
      <c r="X7144" s="40"/>
      <c r="Y7144" s="40"/>
    </row>
    <row r="7145" spans="24:25" x14ac:dyDescent="0.35">
      <c r="X7145" s="40"/>
      <c r="Y7145" s="40"/>
    </row>
    <row r="7146" spans="24:25" x14ac:dyDescent="0.35">
      <c r="X7146" s="40"/>
      <c r="Y7146" s="40"/>
    </row>
    <row r="7147" spans="24:25" x14ac:dyDescent="0.35">
      <c r="X7147" s="40"/>
      <c r="Y7147" s="40"/>
    </row>
    <row r="7148" spans="24:25" x14ac:dyDescent="0.35">
      <c r="X7148" s="40"/>
      <c r="Y7148" s="40"/>
    </row>
    <row r="7149" spans="24:25" x14ac:dyDescent="0.35">
      <c r="X7149" s="40"/>
      <c r="Y7149" s="40"/>
    </row>
    <row r="7150" spans="24:25" x14ac:dyDescent="0.35">
      <c r="X7150" s="40"/>
      <c r="Y7150" s="40"/>
    </row>
    <row r="7151" spans="24:25" x14ac:dyDescent="0.35">
      <c r="X7151" s="40"/>
      <c r="Y7151" s="40"/>
    </row>
    <row r="7152" spans="24:25" x14ac:dyDescent="0.35">
      <c r="X7152" s="40"/>
      <c r="Y7152" s="40"/>
    </row>
    <row r="7153" spans="24:25" x14ac:dyDescent="0.35">
      <c r="X7153" s="40"/>
      <c r="Y7153" s="40"/>
    </row>
    <row r="7154" spans="24:25" x14ac:dyDescent="0.35">
      <c r="X7154" s="40"/>
      <c r="Y7154" s="40"/>
    </row>
    <row r="7155" spans="24:25" x14ac:dyDescent="0.35">
      <c r="X7155" s="40"/>
      <c r="Y7155" s="40"/>
    </row>
    <row r="7156" spans="24:25" x14ac:dyDescent="0.35">
      <c r="X7156" s="40"/>
      <c r="Y7156" s="40"/>
    </row>
    <row r="7157" spans="24:25" x14ac:dyDescent="0.35">
      <c r="X7157" s="40"/>
      <c r="Y7157" s="40"/>
    </row>
    <row r="7158" spans="24:25" x14ac:dyDescent="0.35">
      <c r="X7158" s="40"/>
      <c r="Y7158" s="40"/>
    </row>
    <row r="7159" spans="24:25" x14ac:dyDescent="0.35">
      <c r="X7159" s="40"/>
      <c r="Y7159" s="40"/>
    </row>
    <row r="7160" spans="24:25" x14ac:dyDescent="0.35">
      <c r="X7160" s="40"/>
      <c r="Y7160" s="40"/>
    </row>
    <row r="7161" spans="24:25" x14ac:dyDescent="0.35">
      <c r="X7161" s="40"/>
      <c r="Y7161" s="40"/>
    </row>
    <row r="7162" spans="24:25" x14ac:dyDescent="0.35">
      <c r="X7162" s="40"/>
      <c r="Y7162" s="40"/>
    </row>
    <row r="7163" spans="24:25" x14ac:dyDescent="0.35">
      <c r="X7163" s="40"/>
      <c r="Y7163" s="40"/>
    </row>
    <row r="7164" spans="24:25" x14ac:dyDescent="0.35">
      <c r="X7164" s="40"/>
      <c r="Y7164" s="40"/>
    </row>
    <row r="7165" spans="24:25" x14ac:dyDescent="0.35">
      <c r="X7165" s="40"/>
      <c r="Y7165" s="40"/>
    </row>
    <row r="7166" spans="24:25" x14ac:dyDescent="0.35">
      <c r="X7166" s="40"/>
      <c r="Y7166" s="40"/>
    </row>
    <row r="7167" spans="24:25" x14ac:dyDescent="0.35">
      <c r="X7167" s="40"/>
      <c r="Y7167" s="40"/>
    </row>
    <row r="7168" spans="24:25" x14ac:dyDescent="0.35">
      <c r="X7168" s="40"/>
      <c r="Y7168" s="40"/>
    </row>
    <row r="7169" spans="24:25" x14ac:dyDescent="0.35">
      <c r="X7169" s="40"/>
      <c r="Y7169" s="40"/>
    </row>
    <row r="7170" spans="24:25" x14ac:dyDescent="0.35">
      <c r="X7170" s="40"/>
      <c r="Y7170" s="40"/>
    </row>
    <row r="7171" spans="24:25" x14ac:dyDescent="0.35">
      <c r="X7171" s="40"/>
      <c r="Y7171" s="40"/>
    </row>
    <row r="7172" spans="24:25" x14ac:dyDescent="0.35">
      <c r="X7172" s="40"/>
      <c r="Y7172" s="40"/>
    </row>
    <row r="7173" spans="24:25" x14ac:dyDescent="0.35">
      <c r="X7173" s="40"/>
      <c r="Y7173" s="40"/>
    </row>
    <row r="7174" spans="24:25" x14ac:dyDescent="0.35">
      <c r="X7174" s="40"/>
      <c r="Y7174" s="40"/>
    </row>
    <row r="7175" spans="24:25" x14ac:dyDescent="0.35">
      <c r="X7175" s="40"/>
      <c r="Y7175" s="40"/>
    </row>
    <row r="7176" spans="24:25" x14ac:dyDescent="0.35">
      <c r="X7176" s="40"/>
      <c r="Y7176" s="40"/>
    </row>
    <row r="7177" spans="24:25" x14ac:dyDescent="0.35">
      <c r="X7177" s="40"/>
      <c r="Y7177" s="40"/>
    </row>
    <row r="7178" spans="24:25" x14ac:dyDescent="0.35">
      <c r="X7178" s="40"/>
      <c r="Y7178" s="40"/>
    </row>
    <row r="7179" spans="24:25" x14ac:dyDescent="0.35">
      <c r="X7179" s="40"/>
      <c r="Y7179" s="40"/>
    </row>
    <row r="7180" spans="24:25" x14ac:dyDescent="0.35">
      <c r="X7180" s="40"/>
      <c r="Y7180" s="40"/>
    </row>
    <row r="7181" spans="24:25" x14ac:dyDescent="0.35">
      <c r="X7181" s="40"/>
      <c r="Y7181" s="40"/>
    </row>
    <row r="7182" spans="24:25" x14ac:dyDescent="0.35">
      <c r="X7182" s="40"/>
      <c r="Y7182" s="40"/>
    </row>
    <row r="7183" spans="24:25" x14ac:dyDescent="0.35">
      <c r="X7183" s="40"/>
      <c r="Y7183" s="40"/>
    </row>
    <row r="7184" spans="24:25" x14ac:dyDescent="0.35">
      <c r="X7184" s="40"/>
      <c r="Y7184" s="40"/>
    </row>
    <row r="7185" spans="24:25" x14ac:dyDescent="0.35">
      <c r="X7185" s="40"/>
      <c r="Y7185" s="40"/>
    </row>
    <row r="7186" spans="24:25" x14ac:dyDescent="0.35">
      <c r="X7186" s="40"/>
      <c r="Y7186" s="40"/>
    </row>
    <row r="7187" spans="24:25" x14ac:dyDescent="0.35">
      <c r="X7187" s="40"/>
      <c r="Y7187" s="40"/>
    </row>
    <row r="7188" spans="24:25" x14ac:dyDescent="0.35">
      <c r="X7188" s="40"/>
      <c r="Y7188" s="40"/>
    </row>
    <row r="7189" spans="24:25" x14ac:dyDescent="0.35">
      <c r="X7189" s="40"/>
      <c r="Y7189" s="40"/>
    </row>
    <row r="7190" spans="24:25" x14ac:dyDescent="0.35">
      <c r="X7190" s="40"/>
      <c r="Y7190" s="40"/>
    </row>
    <row r="7191" spans="24:25" x14ac:dyDescent="0.35">
      <c r="X7191" s="40"/>
      <c r="Y7191" s="40"/>
    </row>
    <row r="7192" spans="24:25" x14ac:dyDescent="0.35">
      <c r="X7192" s="40"/>
      <c r="Y7192" s="40"/>
    </row>
    <row r="7193" spans="24:25" x14ac:dyDescent="0.35">
      <c r="X7193" s="40"/>
      <c r="Y7193" s="40"/>
    </row>
    <row r="7194" spans="24:25" x14ac:dyDescent="0.35">
      <c r="X7194" s="40"/>
      <c r="Y7194" s="40"/>
    </row>
    <row r="7195" spans="24:25" x14ac:dyDescent="0.35">
      <c r="X7195" s="40"/>
      <c r="Y7195" s="40"/>
    </row>
    <row r="7196" spans="24:25" x14ac:dyDescent="0.35">
      <c r="X7196" s="40"/>
      <c r="Y7196" s="40"/>
    </row>
    <row r="7197" spans="24:25" x14ac:dyDescent="0.35">
      <c r="X7197" s="40"/>
      <c r="Y7197" s="40"/>
    </row>
    <row r="7198" spans="24:25" x14ac:dyDescent="0.35">
      <c r="X7198" s="40"/>
      <c r="Y7198" s="40"/>
    </row>
    <row r="7199" spans="24:25" x14ac:dyDescent="0.35">
      <c r="X7199" s="40"/>
      <c r="Y7199" s="40"/>
    </row>
    <row r="7200" spans="24:25" x14ac:dyDescent="0.35">
      <c r="X7200" s="40"/>
      <c r="Y7200" s="40"/>
    </row>
    <row r="7201" spans="24:25" x14ac:dyDescent="0.35">
      <c r="X7201" s="40"/>
      <c r="Y7201" s="40"/>
    </row>
    <row r="7202" spans="24:25" x14ac:dyDescent="0.35">
      <c r="X7202" s="40"/>
      <c r="Y7202" s="40"/>
    </row>
    <row r="7203" spans="24:25" x14ac:dyDescent="0.35">
      <c r="X7203" s="40"/>
      <c r="Y7203" s="40"/>
    </row>
    <row r="7204" spans="24:25" x14ac:dyDescent="0.35">
      <c r="X7204" s="40"/>
      <c r="Y7204" s="40"/>
    </row>
    <row r="7205" spans="24:25" x14ac:dyDescent="0.35">
      <c r="X7205" s="40"/>
      <c r="Y7205" s="40"/>
    </row>
    <row r="7206" spans="24:25" x14ac:dyDescent="0.35">
      <c r="X7206" s="40"/>
      <c r="Y7206" s="40"/>
    </row>
    <row r="7207" spans="24:25" x14ac:dyDescent="0.35">
      <c r="X7207" s="40"/>
      <c r="Y7207" s="40"/>
    </row>
    <row r="7208" spans="24:25" x14ac:dyDescent="0.35">
      <c r="X7208" s="40"/>
      <c r="Y7208" s="40"/>
    </row>
    <row r="7209" spans="24:25" x14ac:dyDescent="0.35">
      <c r="X7209" s="40"/>
      <c r="Y7209" s="40"/>
    </row>
    <row r="7210" spans="24:25" x14ac:dyDescent="0.35">
      <c r="X7210" s="40"/>
      <c r="Y7210" s="40"/>
    </row>
    <row r="7211" spans="24:25" x14ac:dyDescent="0.35">
      <c r="X7211" s="40"/>
      <c r="Y7211" s="40"/>
    </row>
    <row r="7212" spans="24:25" x14ac:dyDescent="0.35">
      <c r="X7212" s="40"/>
      <c r="Y7212" s="40"/>
    </row>
    <row r="7213" spans="24:25" x14ac:dyDescent="0.35">
      <c r="X7213" s="40"/>
      <c r="Y7213" s="40"/>
    </row>
    <row r="7214" spans="24:25" x14ac:dyDescent="0.35">
      <c r="X7214" s="40"/>
      <c r="Y7214" s="40"/>
    </row>
    <row r="7215" spans="24:25" x14ac:dyDescent="0.35">
      <c r="X7215" s="40"/>
      <c r="Y7215" s="40"/>
    </row>
    <row r="7216" spans="24:25" x14ac:dyDescent="0.35">
      <c r="X7216" s="40"/>
      <c r="Y7216" s="40"/>
    </row>
    <row r="7217" spans="24:25" x14ac:dyDescent="0.35">
      <c r="X7217" s="40"/>
      <c r="Y7217" s="40"/>
    </row>
    <row r="7218" spans="24:25" x14ac:dyDescent="0.35">
      <c r="X7218" s="40"/>
      <c r="Y7218" s="40"/>
    </row>
    <row r="7219" spans="24:25" x14ac:dyDescent="0.35">
      <c r="X7219" s="40"/>
      <c r="Y7219" s="40"/>
    </row>
    <row r="7220" spans="24:25" x14ac:dyDescent="0.35">
      <c r="X7220" s="40"/>
      <c r="Y7220" s="40"/>
    </row>
    <row r="7221" spans="24:25" x14ac:dyDescent="0.35">
      <c r="X7221" s="40"/>
      <c r="Y7221" s="40"/>
    </row>
    <row r="7222" spans="24:25" x14ac:dyDescent="0.35">
      <c r="X7222" s="40"/>
      <c r="Y7222" s="40"/>
    </row>
    <row r="7223" spans="24:25" x14ac:dyDescent="0.35">
      <c r="X7223" s="40"/>
      <c r="Y7223" s="40"/>
    </row>
    <row r="7224" spans="24:25" x14ac:dyDescent="0.35">
      <c r="X7224" s="40"/>
      <c r="Y7224" s="40"/>
    </row>
    <row r="7225" spans="24:25" x14ac:dyDescent="0.35">
      <c r="X7225" s="40"/>
      <c r="Y7225" s="40"/>
    </row>
    <row r="7226" spans="24:25" x14ac:dyDescent="0.35">
      <c r="X7226" s="40"/>
      <c r="Y7226" s="40"/>
    </row>
    <row r="7227" spans="24:25" x14ac:dyDescent="0.35">
      <c r="X7227" s="40"/>
      <c r="Y7227" s="40"/>
    </row>
    <row r="7228" spans="24:25" x14ac:dyDescent="0.35">
      <c r="X7228" s="40"/>
      <c r="Y7228" s="40"/>
    </row>
    <row r="7229" spans="24:25" x14ac:dyDescent="0.35">
      <c r="X7229" s="40"/>
      <c r="Y7229" s="40"/>
    </row>
    <row r="7230" spans="24:25" x14ac:dyDescent="0.35">
      <c r="X7230" s="40"/>
      <c r="Y7230" s="40"/>
    </row>
    <row r="7231" spans="24:25" x14ac:dyDescent="0.35">
      <c r="X7231" s="40"/>
      <c r="Y7231" s="40"/>
    </row>
    <row r="7232" spans="24:25" x14ac:dyDescent="0.35">
      <c r="X7232" s="40"/>
      <c r="Y7232" s="40"/>
    </row>
    <row r="7233" spans="24:25" x14ac:dyDescent="0.35">
      <c r="X7233" s="40"/>
      <c r="Y7233" s="40"/>
    </row>
    <row r="7234" spans="24:25" x14ac:dyDescent="0.35">
      <c r="X7234" s="40"/>
      <c r="Y7234" s="40"/>
    </row>
    <row r="7235" spans="24:25" x14ac:dyDescent="0.35">
      <c r="X7235" s="40"/>
      <c r="Y7235" s="40"/>
    </row>
    <row r="7236" spans="24:25" x14ac:dyDescent="0.35">
      <c r="X7236" s="40"/>
      <c r="Y7236" s="40"/>
    </row>
    <row r="7237" spans="24:25" x14ac:dyDescent="0.35">
      <c r="X7237" s="40"/>
      <c r="Y7237" s="40"/>
    </row>
    <row r="7238" spans="24:25" x14ac:dyDescent="0.35">
      <c r="X7238" s="40"/>
      <c r="Y7238" s="40"/>
    </row>
    <row r="7239" spans="24:25" x14ac:dyDescent="0.35">
      <c r="X7239" s="40"/>
      <c r="Y7239" s="40"/>
    </row>
    <row r="7240" spans="24:25" x14ac:dyDescent="0.35">
      <c r="X7240" s="40"/>
      <c r="Y7240" s="40"/>
    </row>
    <row r="7241" spans="24:25" x14ac:dyDescent="0.35">
      <c r="X7241" s="40"/>
      <c r="Y7241" s="40"/>
    </row>
    <row r="7242" spans="24:25" x14ac:dyDescent="0.35">
      <c r="X7242" s="40"/>
      <c r="Y7242" s="40"/>
    </row>
    <row r="7243" spans="24:25" x14ac:dyDescent="0.35">
      <c r="X7243" s="40"/>
      <c r="Y7243" s="40"/>
    </row>
    <row r="7244" spans="24:25" x14ac:dyDescent="0.35">
      <c r="X7244" s="40"/>
      <c r="Y7244" s="40"/>
    </row>
    <row r="7245" spans="24:25" x14ac:dyDescent="0.35">
      <c r="X7245" s="40"/>
      <c r="Y7245" s="40"/>
    </row>
    <row r="7246" spans="24:25" x14ac:dyDescent="0.35">
      <c r="X7246" s="40"/>
      <c r="Y7246" s="40"/>
    </row>
    <row r="7247" spans="24:25" x14ac:dyDescent="0.35">
      <c r="X7247" s="40"/>
      <c r="Y7247" s="40"/>
    </row>
    <row r="7248" spans="24:25" x14ac:dyDescent="0.35">
      <c r="X7248" s="40"/>
      <c r="Y7248" s="40"/>
    </row>
    <row r="7249" spans="24:25" x14ac:dyDescent="0.35">
      <c r="X7249" s="40"/>
      <c r="Y7249" s="40"/>
    </row>
    <row r="7250" spans="24:25" x14ac:dyDescent="0.35">
      <c r="X7250" s="40"/>
      <c r="Y7250" s="40"/>
    </row>
    <row r="7251" spans="24:25" x14ac:dyDescent="0.35">
      <c r="X7251" s="40"/>
      <c r="Y7251" s="40"/>
    </row>
    <row r="7252" spans="24:25" x14ac:dyDescent="0.35">
      <c r="X7252" s="40"/>
      <c r="Y7252" s="40"/>
    </row>
    <row r="7253" spans="24:25" x14ac:dyDescent="0.35">
      <c r="X7253" s="40"/>
      <c r="Y7253" s="40"/>
    </row>
    <row r="7254" spans="24:25" x14ac:dyDescent="0.35">
      <c r="X7254" s="40"/>
      <c r="Y7254" s="40"/>
    </row>
    <row r="7255" spans="24:25" x14ac:dyDescent="0.35">
      <c r="X7255" s="40"/>
      <c r="Y7255" s="40"/>
    </row>
    <row r="7256" spans="24:25" x14ac:dyDescent="0.35">
      <c r="X7256" s="40"/>
      <c r="Y7256" s="40"/>
    </row>
    <row r="7257" spans="24:25" x14ac:dyDescent="0.35">
      <c r="X7257" s="40"/>
      <c r="Y7257" s="40"/>
    </row>
    <row r="7258" spans="24:25" x14ac:dyDescent="0.35">
      <c r="X7258" s="40"/>
      <c r="Y7258" s="40"/>
    </row>
    <row r="7259" spans="24:25" x14ac:dyDescent="0.35">
      <c r="X7259" s="40"/>
      <c r="Y7259" s="40"/>
    </row>
    <row r="7260" spans="24:25" x14ac:dyDescent="0.35">
      <c r="X7260" s="40"/>
      <c r="Y7260" s="40"/>
    </row>
    <row r="7261" spans="24:25" x14ac:dyDescent="0.35">
      <c r="X7261" s="40"/>
      <c r="Y7261" s="40"/>
    </row>
    <row r="7262" spans="24:25" x14ac:dyDescent="0.35">
      <c r="X7262" s="40"/>
      <c r="Y7262" s="40"/>
    </row>
    <row r="7263" spans="24:25" x14ac:dyDescent="0.35">
      <c r="X7263" s="40"/>
      <c r="Y7263" s="40"/>
    </row>
    <row r="7264" spans="24:25" x14ac:dyDescent="0.35">
      <c r="X7264" s="40"/>
      <c r="Y7264" s="40"/>
    </row>
    <row r="7265" spans="24:25" x14ac:dyDescent="0.35">
      <c r="X7265" s="40"/>
      <c r="Y7265" s="40"/>
    </row>
    <row r="7266" spans="24:25" x14ac:dyDescent="0.35">
      <c r="X7266" s="40"/>
      <c r="Y7266" s="40"/>
    </row>
    <row r="7267" spans="24:25" x14ac:dyDescent="0.35">
      <c r="X7267" s="40"/>
      <c r="Y7267" s="40"/>
    </row>
    <row r="7268" spans="24:25" x14ac:dyDescent="0.35">
      <c r="X7268" s="40"/>
      <c r="Y7268" s="40"/>
    </row>
    <row r="7269" spans="24:25" x14ac:dyDescent="0.35">
      <c r="X7269" s="40"/>
      <c r="Y7269" s="40"/>
    </row>
    <row r="7270" spans="24:25" x14ac:dyDescent="0.35">
      <c r="X7270" s="40"/>
      <c r="Y7270" s="40"/>
    </row>
    <row r="7271" spans="24:25" x14ac:dyDescent="0.35">
      <c r="X7271" s="40"/>
      <c r="Y7271" s="40"/>
    </row>
    <row r="7272" spans="24:25" x14ac:dyDescent="0.35">
      <c r="X7272" s="40"/>
      <c r="Y7272" s="40"/>
    </row>
    <row r="7273" spans="24:25" x14ac:dyDescent="0.35">
      <c r="X7273" s="40"/>
      <c r="Y7273" s="40"/>
    </row>
    <row r="7274" spans="24:25" x14ac:dyDescent="0.35">
      <c r="X7274" s="40"/>
      <c r="Y7274" s="40"/>
    </row>
    <row r="7275" spans="24:25" x14ac:dyDescent="0.35">
      <c r="X7275" s="40"/>
      <c r="Y7275" s="40"/>
    </row>
    <row r="7276" spans="24:25" x14ac:dyDescent="0.35">
      <c r="X7276" s="40"/>
      <c r="Y7276" s="40"/>
    </row>
    <row r="7277" spans="24:25" x14ac:dyDescent="0.35">
      <c r="X7277" s="40"/>
      <c r="Y7277" s="40"/>
    </row>
    <row r="7278" spans="24:25" x14ac:dyDescent="0.35">
      <c r="X7278" s="40"/>
      <c r="Y7278" s="40"/>
    </row>
    <row r="7279" spans="24:25" x14ac:dyDescent="0.35">
      <c r="X7279" s="40"/>
      <c r="Y7279" s="40"/>
    </row>
    <row r="7280" spans="24:25" x14ac:dyDescent="0.35">
      <c r="X7280" s="40"/>
      <c r="Y7280" s="40"/>
    </row>
    <row r="7281" spans="24:25" x14ac:dyDescent="0.35">
      <c r="X7281" s="40"/>
      <c r="Y7281" s="40"/>
    </row>
    <row r="7282" spans="24:25" x14ac:dyDescent="0.35">
      <c r="X7282" s="40"/>
      <c r="Y7282" s="40"/>
    </row>
    <row r="7283" spans="24:25" x14ac:dyDescent="0.35">
      <c r="X7283" s="40"/>
      <c r="Y7283" s="40"/>
    </row>
    <row r="7284" spans="24:25" x14ac:dyDescent="0.35">
      <c r="X7284" s="40"/>
      <c r="Y7284" s="40"/>
    </row>
    <row r="7285" spans="24:25" x14ac:dyDescent="0.35">
      <c r="X7285" s="40"/>
      <c r="Y7285" s="40"/>
    </row>
    <row r="7286" spans="24:25" x14ac:dyDescent="0.35">
      <c r="X7286" s="40"/>
      <c r="Y7286" s="40"/>
    </row>
    <row r="7287" spans="24:25" x14ac:dyDescent="0.35">
      <c r="X7287" s="40"/>
      <c r="Y7287" s="40"/>
    </row>
    <row r="7288" spans="24:25" x14ac:dyDescent="0.35">
      <c r="X7288" s="40"/>
      <c r="Y7288" s="40"/>
    </row>
    <row r="7289" spans="24:25" x14ac:dyDescent="0.35">
      <c r="X7289" s="40"/>
      <c r="Y7289" s="40"/>
    </row>
    <row r="7290" spans="24:25" x14ac:dyDescent="0.35">
      <c r="X7290" s="40"/>
      <c r="Y7290" s="40"/>
    </row>
    <row r="7291" spans="24:25" x14ac:dyDescent="0.35">
      <c r="X7291" s="40"/>
      <c r="Y7291" s="40"/>
    </row>
    <row r="7292" spans="24:25" x14ac:dyDescent="0.35">
      <c r="X7292" s="40"/>
      <c r="Y7292" s="40"/>
    </row>
    <row r="7293" spans="24:25" x14ac:dyDescent="0.35">
      <c r="X7293" s="40"/>
      <c r="Y7293" s="40"/>
    </row>
    <row r="7294" spans="24:25" x14ac:dyDescent="0.35">
      <c r="X7294" s="40"/>
      <c r="Y7294" s="40"/>
    </row>
    <row r="7295" spans="24:25" x14ac:dyDescent="0.35">
      <c r="X7295" s="40"/>
      <c r="Y7295" s="40"/>
    </row>
    <row r="7296" spans="24:25" x14ac:dyDescent="0.35">
      <c r="X7296" s="40"/>
      <c r="Y7296" s="40"/>
    </row>
    <row r="7297" spans="24:25" x14ac:dyDescent="0.35">
      <c r="X7297" s="40"/>
      <c r="Y7297" s="40"/>
    </row>
    <row r="7298" spans="24:25" x14ac:dyDescent="0.35">
      <c r="X7298" s="40"/>
      <c r="Y7298" s="40"/>
    </row>
    <row r="7299" spans="24:25" x14ac:dyDescent="0.35">
      <c r="X7299" s="40"/>
      <c r="Y7299" s="40"/>
    </row>
    <row r="7300" spans="24:25" x14ac:dyDescent="0.35">
      <c r="X7300" s="40"/>
      <c r="Y7300" s="40"/>
    </row>
    <row r="7301" spans="24:25" x14ac:dyDescent="0.35">
      <c r="X7301" s="40"/>
      <c r="Y7301" s="40"/>
    </row>
    <row r="7302" spans="24:25" x14ac:dyDescent="0.35">
      <c r="X7302" s="40"/>
      <c r="Y7302" s="40"/>
    </row>
    <row r="7303" spans="24:25" x14ac:dyDescent="0.35">
      <c r="X7303" s="40"/>
      <c r="Y7303" s="40"/>
    </row>
    <row r="7304" spans="24:25" x14ac:dyDescent="0.35">
      <c r="X7304" s="40"/>
      <c r="Y7304" s="40"/>
    </row>
    <row r="7305" spans="24:25" x14ac:dyDescent="0.35">
      <c r="X7305" s="40"/>
      <c r="Y7305" s="40"/>
    </row>
    <row r="7306" spans="24:25" x14ac:dyDescent="0.35">
      <c r="X7306" s="40"/>
      <c r="Y7306" s="40"/>
    </row>
    <row r="7307" spans="24:25" x14ac:dyDescent="0.35">
      <c r="X7307" s="40"/>
      <c r="Y7307" s="40"/>
    </row>
    <row r="7308" spans="24:25" x14ac:dyDescent="0.35">
      <c r="X7308" s="40"/>
      <c r="Y7308" s="40"/>
    </row>
    <row r="7309" spans="24:25" x14ac:dyDescent="0.35">
      <c r="X7309" s="40"/>
      <c r="Y7309" s="40"/>
    </row>
    <row r="7310" spans="24:25" x14ac:dyDescent="0.35">
      <c r="X7310" s="40"/>
      <c r="Y7310" s="40"/>
    </row>
    <row r="7311" spans="24:25" x14ac:dyDescent="0.35">
      <c r="X7311" s="40"/>
      <c r="Y7311" s="40"/>
    </row>
    <row r="7312" spans="24:25" x14ac:dyDescent="0.35">
      <c r="X7312" s="40"/>
      <c r="Y7312" s="40"/>
    </row>
    <row r="7313" spans="24:25" x14ac:dyDescent="0.35">
      <c r="X7313" s="40"/>
      <c r="Y7313" s="40"/>
    </row>
    <row r="7314" spans="24:25" x14ac:dyDescent="0.35">
      <c r="X7314" s="40"/>
      <c r="Y7314" s="40"/>
    </row>
    <row r="7315" spans="24:25" x14ac:dyDescent="0.35">
      <c r="X7315" s="40"/>
      <c r="Y7315" s="40"/>
    </row>
    <row r="7316" spans="24:25" x14ac:dyDescent="0.35">
      <c r="X7316" s="40"/>
      <c r="Y7316" s="40"/>
    </row>
    <row r="7317" spans="24:25" x14ac:dyDescent="0.35">
      <c r="X7317" s="40"/>
      <c r="Y7317" s="40"/>
    </row>
    <row r="7318" spans="24:25" x14ac:dyDescent="0.35">
      <c r="X7318" s="40"/>
      <c r="Y7318" s="40"/>
    </row>
    <row r="7319" spans="24:25" x14ac:dyDescent="0.35">
      <c r="X7319" s="40"/>
      <c r="Y7319" s="40"/>
    </row>
    <row r="7320" spans="24:25" x14ac:dyDescent="0.35">
      <c r="X7320" s="40"/>
      <c r="Y7320" s="40"/>
    </row>
    <row r="7321" spans="24:25" x14ac:dyDescent="0.35">
      <c r="X7321" s="40"/>
      <c r="Y7321" s="40"/>
    </row>
    <row r="7322" spans="24:25" x14ac:dyDescent="0.35">
      <c r="X7322" s="40"/>
      <c r="Y7322" s="40"/>
    </row>
    <row r="7323" spans="24:25" x14ac:dyDescent="0.35">
      <c r="X7323" s="40"/>
      <c r="Y7323" s="40"/>
    </row>
    <row r="7324" spans="24:25" x14ac:dyDescent="0.35">
      <c r="X7324" s="40"/>
      <c r="Y7324" s="40"/>
    </row>
    <row r="7325" spans="24:25" x14ac:dyDescent="0.35">
      <c r="X7325" s="40"/>
      <c r="Y7325" s="40"/>
    </row>
    <row r="7326" spans="24:25" x14ac:dyDescent="0.35">
      <c r="X7326" s="40"/>
      <c r="Y7326" s="40"/>
    </row>
    <row r="7327" spans="24:25" x14ac:dyDescent="0.35">
      <c r="X7327" s="40"/>
      <c r="Y7327" s="40"/>
    </row>
    <row r="7328" spans="24:25" x14ac:dyDescent="0.35">
      <c r="X7328" s="40"/>
      <c r="Y7328" s="40"/>
    </row>
    <row r="7329" spans="24:25" x14ac:dyDescent="0.35">
      <c r="X7329" s="40"/>
      <c r="Y7329" s="40"/>
    </row>
    <row r="7330" spans="24:25" x14ac:dyDescent="0.35">
      <c r="X7330" s="40"/>
      <c r="Y7330" s="40"/>
    </row>
    <row r="7331" spans="24:25" x14ac:dyDescent="0.35">
      <c r="X7331" s="40"/>
      <c r="Y7331" s="40"/>
    </row>
    <row r="7332" spans="24:25" x14ac:dyDescent="0.35">
      <c r="X7332" s="40"/>
      <c r="Y7332" s="40"/>
    </row>
    <row r="7333" spans="24:25" x14ac:dyDescent="0.35">
      <c r="X7333" s="40"/>
      <c r="Y7333" s="40"/>
    </row>
    <row r="7334" spans="24:25" x14ac:dyDescent="0.35">
      <c r="X7334" s="40"/>
      <c r="Y7334" s="40"/>
    </row>
    <row r="7335" spans="24:25" x14ac:dyDescent="0.35">
      <c r="X7335" s="40"/>
      <c r="Y7335" s="40"/>
    </row>
    <row r="7336" spans="24:25" x14ac:dyDescent="0.35">
      <c r="X7336" s="40"/>
      <c r="Y7336" s="40"/>
    </row>
    <row r="7337" spans="24:25" x14ac:dyDescent="0.35">
      <c r="X7337" s="40"/>
      <c r="Y7337" s="40"/>
    </row>
    <row r="7338" spans="24:25" x14ac:dyDescent="0.35">
      <c r="X7338" s="40"/>
      <c r="Y7338" s="40"/>
    </row>
    <row r="7339" spans="24:25" x14ac:dyDescent="0.35">
      <c r="X7339" s="40"/>
      <c r="Y7339" s="40"/>
    </row>
    <row r="7340" spans="24:25" x14ac:dyDescent="0.35">
      <c r="X7340" s="40"/>
      <c r="Y7340" s="40"/>
    </row>
    <row r="7341" spans="24:25" x14ac:dyDescent="0.35">
      <c r="X7341" s="40"/>
      <c r="Y7341" s="40"/>
    </row>
    <row r="7342" spans="24:25" x14ac:dyDescent="0.35">
      <c r="X7342" s="40"/>
      <c r="Y7342" s="40"/>
    </row>
    <row r="7343" spans="24:25" x14ac:dyDescent="0.35">
      <c r="X7343" s="40"/>
      <c r="Y7343" s="40"/>
    </row>
    <row r="7344" spans="24:25" x14ac:dyDescent="0.35">
      <c r="X7344" s="40"/>
      <c r="Y7344" s="40"/>
    </row>
    <row r="7345" spans="24:25" x14ac:dyDescent="0.35">
      <c r="X7345" s="40"/>
      <c r="Y7345" s="40"/>
    </row>
    <row r="7346" spans="24:25" x14ac:dyDescent="0.35">
      <c r="X7346" s="40"/>
      <c r="Y7346" s="40"/>
    </row>
    <row r="7347" spans="24:25" x14ac:dyDescent="0.35">
      <c r="X7347" s="40"/>
      <c r="Y7347" s="40"/>
    </row>
    <row r="7348" spans="24:25" x14ac:dyDescent="0.35">
      <c r="X7348" s="40"/>
      <c r="Y7348" s="40"/>
    </row>
    <row r="7349" spans="24:25" x14ac:dyDescent="0.35">
      <c r="X7349" s="40"/>
      <c r="Y7349" s="40"/>
    </row>
    <row r="7350" spans="24:25" x14ac:dyDescent="0.35">
      <c r="X7350" s="40"/>
      <c r="Y7350" s="40"/>
    </row>
    <row r="7351" spans="24:25" x14ac:dyDescent="0.35">
      <c r="X7351" s="40"/>
      <c r="Y7351" s="40"/>
    </row>
    <row r="7352" spans="24:25" x14ac:dyDescent="0.35">
      <c r="X7352" s="40"/>
      <c r="Y7352" s="40"/>
    </row>
    <row r="7353" spans="24:25" x14ac:dyDescent="0.35">
      <c r="X7353" s="40"/>
      <c r="Y7353" s="40"/>
    </row>
    <row r="7354" spans="24:25" x14ac:dyDescent="0.35">
      <c r="X7354" s="40"/>
      <c r="Y7354" s="40"/>
    </row>
    <row r="7355" spans="24:25" x14ac:dyDescent="0.35">
      <c r="X7355" s="40"/>
      <c r="Y7355" s="40"/>
    </row>
    <row r="7356" spans="24:25" x14ac:dyDescent="0.35">
      <c r="X7356" s="40"/>
      <c r="Y7356" s="40"/>
    </row>
    <row r="7357" spans="24:25" x14ac:dyDescent="0.35">
      <c r="X7357" s="40"/>
      <c r="Y7357" s="40"/>
    </row>
    <row r="7358" spans="24:25" x14ac:dyDescent="0.35">
      <c r="X7358" s="40"/>
      <c r="Y7358" s="40"/>
    </row>
    <row r="7359" spans="24:25" x14ac:dyDescent="0.35">
      <c r="X7359" s="40"/>
      <c r="Y7359" s="40"/>
    </row>
    <row r="7360" spans="24:25" x14ac:dyDescent="0.35">
      <c r="X7360" s="40"/>
      <c r="Y7360" s="40"/>
    </row>
    <row r="7361" spans="24:25" x14ac:dyDescent="0.35">
      <c r="X7361" s="40"/>
      <c r="Y7361" s="40"/>
    </row>
    <row r="7362" spans="24:25" x14ac:dyDescent="0.35">
      <c r="X7362" s="40"/>
      <c r="Y7362" s="40"/>
    </row>
    <row r="7363" spans="24:25" x14ac:dyDescent="0.35">
      <c r="X7363" s="40"/>
      <c r="Y7363" s="40"/>
    </row>
    <row r="7364" spans="24:25" x14ac:dyDescent="0.35">
      <c r="X7364" s="40"/>
      <c r="Y7364" s="40"/>
    </row>
    <row r="7365" spans="24:25" x14ac:dyDescent="0.35">
      <c r="X7365" s="40"/>
      <c r="Y7365" s="40"/>
    </row>
    <row r="7366" spans="24:25" x14ac:dyDescent="0.35">
      <c r="X7366" s="40"/>
      <c r="Y7366" s="40"/>
    </row>
    <row r="7367" spans="24:25" x14ac:dyDescent="0.35">
      <c r="X7367" s="40"/>
      <c r="Y7367" s="40"/>
    </row>
    <row r="7368" spans="24:25" x14ac:dyDescent="0.35">
      <c r="X7368" s="40"/>
      <c r="Y7368" s="40"/>
    </row>
    <row r="7369" spans="24:25" x14ac:dyDescent="0.35">
      <c r="X7369" s="40"/>
      <c r="Y7369" s="40"/>
    </row>
    <row r="7370" spans="24:25" x14ac:dyDescent="0.35">
      <c r="X7370" s="40"/>
      <c r="Y7370" s="40"/>
    </row>
    <row r="7371" spans="24:25" x14ac:dyDescent="0.35">
      <c r="X7371" s="40"/>
      <c r="Y7371" s="40"/>
    </row>
    <row r="7372" spans="24:25" x14ac:dyDescent="0.35">
      <c r="X7372" s="40"/>
      <c r="Y7372" s="40"/>
    </row>
    <row r="7373" spans="24:25" x14ac:dyDescent="0.35">
      <c r="X7373" s="40"/>
      <c r="Y7373" s="40"/>
    </row>
    <row r="7374" spans="24:25" x14ac:dyDescent="0.35">
      <c r="X7374" s="40"/>
      <c r="Y7374" s="40"/>
    </row>
    <row r="7375" spans="24:25" x14ac:dyDescent="0.35">
      <c r="X7375" s="40"/>
      <c r="Y7375" s="40"/>
    </row>
    <row r="7376" spans="24:25" x14ac:dyDescent="0.35">
      <c r="X7376" s="40"/>
      <c r="Y7376" s="40"/>
    </row>
    <row r="7377" spans="24:25" x14ac:dyDescent="0.35">
      <c r="X7377" s="40"/>
      <c r="Y7377" s="40"/>
    </row>
    <row r="7378" spans="24:25" x14ac:dyDescent="0.35">
      <c r="X7378" s="40"/>
      <c r="Y7378" s="40"/>
    </row>
    <row r="7379" spans="24:25" x14ac:dyDescent="0.35">
      <c r="X7379" s="40"/>
      <c r="Y7379" s="40"/>
    </row>
    <row r="7380" spans="24:25" x14ac:dyDescent="0.35">
      <c r="X7380" s="40"/>
      <c r="Y7380" s="40"/>
    </row>
    <row r="7381" spans="24:25" x14ac:dyDescent="0.35">
      <c r="X7381" s="40"/>
      <c r="Y7381" s="40"/>
    </row>
    <row r="7382" spans="24:25" x14ac:dyDescent="0.35">
      <c r="X7382" s="40"/>
      <c r="Y7382" s="40"/>
    </row>
    <row r="7383" spans="24:25" x14ac:dyDescent="0.35">
      <c r="X7383" s="40"/>
      <c r="Y7383" s="40"/>
    </row>
    <row r="7384" spans="24:25" x14ac:dyDescent="0.35">
      <c r="X7384" s="40"/>
      <c r="Y7384" s="40"/>
    </row>
    <row r="7385" spans="24:25" x14ac:dyDescent="0.35">
      <c r="X7385" s="40"/>
      <c r="Y7385" s="40"/>
    </row>
    <row r="7386" spans="24:25" x14ac:dyDescent="0.35">
      <c r="X7386" s="40"/>
      <c r="Y7386" s="40"/>
    </row>
    <row r="7387" spans="24:25" x14ac:dyDescent="0.35">
      <c r="X7387" s="40"/>
      <c r="Y7387" s="40"/>
    </row>
    <row r="7388" spans="24:25" x14ac:dyDescent="0.35">
      <c r="X7388" s="40"/>
      <c r="Y7388" s="40"/>
    </row>
    <row r="7389" spans="24:25" x14ac:dyDescent="0.35">
      <c r="X7389" s="40"/>
      <c r="Y7389" s="40"/>
    </row>
    <row r="7390" spans="24:25" x14ac:dyDescent="0.35">
      <c r="X7390" s="40"/>
      <c r="Y7390" s="40"/>
    </row>
    <row r="7391" spans="24:25" x14ac:dyDescent="0.35">
      <c r="X7391" s="40"/>
      <c r="Y7391" s="40"/>
    </row>
    <row r="7392" spans="24:25" x14ac:dyDescent="0.35">
      <c r="X7392" s="40"/>
      <c r="Y7392" s="40"/>
    </row>
    <row r="7393" spans="24:25" x14ac:dyDescent="0.35">
      <c r="X7393" s="40"/>
      <c r="Y7393" s="40"/>
    </row>
    <row r="7394" spans="24:25" x14ac:dyDescent="0.35">
      <c r="X7394" s="40"/>
      <c r="Y7394" s="40"/>
    </row>
    <row r="7395" spans="24:25" x14ac:dyDescent="0.35">
      <c r="X7395" s="40"/>
      <c r="Y7395" s="40"/>
    </row>
    <row r="7396" spans="24:25" x14ac:dyDescent="0.35">
      <c r="X7396" s="40"/>
      <c r="Y7396" s="40"/>
    </row>
    <row r="7397" spans="24:25" x14ac:dyDescent="0.35">
      <c r="X7397" s="40"/>
      <c r="Y7397" s="40"/>
    </row>
    <row r="7398" spans="24:25" x14ac:dyDescent="0.35">
      <c r="X7398" s="40"/>
      <c r="Y7398" s="40"/>
    </row>
    <row r="7399" spans="24:25" x14ac:dyDescent="0.35">
      <c r="X7399" s="40"/>
      <c r="Y7399" s="40"/>
    </row>
    <row r="7400" spans="24:25" x14ac:dyDescent="0.35">
      <c r="X7400" s="40"/>
      <c r="Y7400" s="40"/>
    </row>
    <row r="7401" spans="24:25" x14ac:dyDescent="0.35">
      <c r="X7401" s="40"/>
      <c r="Y7401" s="40"/>
    </row>
    <row r="7402" spans="24:25" x14ac:dyDescent="0.35">
      <c r="X7402" s="40"/>
      <c r="Y7402" s="40"/>
    </row>
    <row r="7403" spans="24:25" x14ac:dyDescent="0.35">
      <c r="X7403" s="40"/>
      <c r="Y7403" s="40"/>
    </row>
    <row r="7404" spans="24:25" x14ac:dyDescent="0.35">
      <c r="X7404" s="40"/>
      <c r="Y7404" s="40"/>
    </row>
    <row r="7405" spans="24:25" x14ac:dyDescent="0.35">
      <c r="X7405" s="40"/>
      <c r="Y7405" s="40"/>
    </row>
    <row r="7406" spans="24:25" x14ac:dyDescent="0.35">
      <c r="X7406" s="40"/>
      <c r="Y7406" s="40"/>
    </row>
    <row r="7407" spans="24:25" x14ac:dyDescent="0.35">
      <c r="X7407" s="40"/>
      <c r="Y7407" s="40"/>
    </row>
    <row r="7408" spans="24:25" x14ac:dyDescent="0.35">
      <c r="X7408" s="40"/>
      <c r="Y7408" s="40"/>
    </row>
    <row r="7409" spans="24:25" x14ac:dyDescent="0.35">
      <c r="X7409" s="40"/>
      <c r="Y7409" s="40"/>
    </row>
    <row r="7410" spans="24:25" x14ac:dyDescent="0.35">
      <c r="X7410" s="40"/>
      <c r="Y7410" s="40"/>
    </row>
    <row r="7411" spans="24:25" x14ac:dyDescent="0.35">
      <c r="X7411" s="40"/>
      <c r="Y7411" s="40"/>
    </row>
    <row r="7412" spans="24:25" x14ac:dyDescent="0.35">
      <c r="X7412" s="40"/>
      <c r="Y7412" s="40"/>
    </row>
    <row r="7413" spans="24:25" x14ac:dyDescent="0.35">
      <c r="X7413" s="40"/>
      <c r="Y7413" s="40"/>
    </row>
    <row r="7414" spans="24:25" x14ac:dyDescent="0.35">
      <c r="X7414" s="40"/>
      <c r="Y7414" s="40"/>
    </row>
    <row r="7415" spans="24:25" x14ac:dyDescent="0.35">
      <c r="X7415" s="40"/>
      <c r="Y7415" s="40"/>
    </row>
    <row r="7416" spans="24:25" x14ac:dyDescent="0.35">
      <c r="X7416" s="40"/>
      <c r="Y7416" s="40"/>
    </row>
    <row r="7417" spans="24:25" x14ac:dyDescent="0.35">
      <c r="X7417" s="40"/>
      <c r="Y7417" s="40"/>
    </row>
    <row r="7418" spans="24:25" x14ac:dyDescent="0.35">
      <c r="X7418" s="40"/>
      <c r="Y7418" s="40"/>
    </row>
    <row r="7419" spans="24:25" x14ac:dyDescent="0.35">
      <c r="X7419" s="40"/>
      <c r="Y7419" s="40"/>
    </row>
    <row r="7420" spans="24:25" x14ac:dyDescent="0.35">
      <c r="X7420" s="40"/>
      <c r="Y7420" s="40"/>
    </row>
    <row r="7421" spans="24:25" x14ac:dyDescent="0.35">
      <c r="X7421" s="40"/>
      <c r="Y7421" s="40"/>
    </row>
    <row r="7422" spans="24:25" x14ac:dyDescent="0.35">
      <c r="X7422" s="40"/>
      <c r="Y7422" s="40"/>
    </row>
    <row r="7423" spans="24:25" x14ac:dyDescent="0.35">
      <c r="X7423" s="40"/>
      <c r="Y7423" s="40"/>
    </row>
    <row r="7424" spans="24:25" x14ac:dyDescent="0.35">
      <c r="X7424" s="40"/>
      <c r="Y7424" s="40"/>
    </row>
    <row r="7425" spans="24:25" x14ac:dyDescent="0.35">
      <c r="X7425" s="40"/>
      <c r="Y7425" s="40"/>
    </row>
    <row r="7426" spans="24:25" x14ac:dyDescent="0.35">
      <c r="X7426" s="40"/>
      <c r="Y7426" s="40"/>
    </row>
    <row r="7427" spans="24:25" x14ac:dyDescent="0.35">
      <c r="X7427" s="40"/>
      <c r="Y7427" s="40"/>
    </row>
    <row r="7428" spans="24:25" x14ac:dyDescent="0.35">
      <c r="X7428" s="40"/>
      <c r="Y7428" s="40"/>
    </row>
    <row r="7429" spans="24:25" x14ac:dyDescent="0.35">
      <c r="X7429" s="40"/>
      <c r="Y7429" s="40"/>
    </row>
    <row r="7430" spans="24:25" x14ac:dyDescent="0.35">
      <c r="X7430" s="40"/>
      <c r="Y7430" s="40"/>
    </row>
    <row r="7431" spans="24:25" x14ac:dyDescent="0.35">
      <c r="X7431" s="40"/>
      <c r="Y7431" s="40"/>
    </row>
    <row r="7432" spans="24:25" x14ac:dyDescent="0.35">
      <c r="X7432" s="40"/>
      <c r="Y7432" s="40"/>
    </row>
    <row r="7433" spans="24:25" x14ac:dyDescent="0.35">
      <c r="X7433" s="40"/>
      <c r="Y7433" s="40"/>
    </row>
    <row r="7434" spans="24:25" x14ac:dyDescent="0.35">
      <c r="X7434" s="40"/>
      <c r="Y7434" s="40"/>
    </row>
    <row r="7435" spans="24:25" x14ac:dyDescent="0.35">
      <c r="X7435" s="40"/>
      <c r="Y7435" s="40"/>
    </row>
    <row r="7436" spans="24:25" x14ac:dyDescent="0.35">
      <c r="X7436" s="40"/>
      <c r="Y7436" s="40"/>
    </row>
    <row r="7437" spans="24:25" x14ac:dyDescent="0.35">
      <c r="X7437" s="40"/>
      <c r="Y7437" s="40"/>
    </row>
    <row r="7438" spans="24:25" x14ac:dyDescent="0.35">
      <c r="X7438" s="40"/>
      <c r="Y7438" s="40"/>
    </row>
    <row r="7439" spans="24:25" x14ac:dyDescent="0.35">
      <c r="X7439" s="40"/>
      <c r="Y7439" s="40"/>
    </row>
    <row r="7440" spans="24:25" x14ac:dyDescent="0.35">
      <c r="X7440" s="40"/>
      <c r="Y7440" s="40"/>
    </row>
    <row r="7441" spans="24:25" x14ac:dyDescent="0.35">
      <c r="X7441" s="40"/>
      <c r="Y7441" s="40"/>
    </row>
    <row r="7442" spans="24:25" x14ac:dyDescent="0.35">
      <c r="X7442" s="40"/>
      <c r="Y7442" s="40"/>
    </row>
    <row r="7443" spans="24:25" x14ac:dyDescent="0.35">
      <c r="X7443" s="40"/>
      <c r="Y7443" s="40"/>
    </row>
    <row r="7444" spans="24:25" x14ac:dyDescent="0.35">
      <c r="X7444" s="40"/>
      <c r="Y7444" s="40"/>
    </row>
    <row r="7445" spans="24:25" x14ac:dyDescent="0.35">
      <c r="X7445" s="40"/>
      <c r="Y7445" s="40"/>
    </row>
    <row r="7446" spans="24:25" x14ac:dyDescent="0.35">
      <c r="X7446" s="40"/>
      <c r="Y7446" s="40"/>
    </row>
    <row r="7447" spans="24:25" x14ac:dyDescent="0.35">
      <c r="X7447" s="40"/>
      <c r="Y7447" s="40"/>
    </row>
    <row r="7448" spans="24:25" x14ac:dyDescent="0.35">
      <c r="X7448" s="40"/>
      <c r="Y7448" s="40"/>
    </row>
    <row r="7449" spans="24:25" x14ac:dyDescent="0.35">
      <c r="X7449" s="40"/>
      <c r="Y7449" s="40"/>
    </row>
    <row r="7450" spans="24:25" x14ac:dyDescent="0.35">
      <c r="X7450" s="40"/>
      <c r="Y7450" s="40"/>
    </row>
    <row r="7451" spans="24:25" x14ac:dyDescent="0.35">
      <c r="X7451" s="40"/>
      <c r="Y7451" s="40"/>
    </row>
    <row r="7452" spans="24:25" x14ac:dyDescent="0.35">
      <c r="X7452" s="40"/>
      <c r="Y7452" s="40"/>
    </row>
    <row r="7453" spans="24:25" x14ac:dyDescent="0.35">
      <c r="X7453" s="40"/>
      <c r="Y7453" s="40"/>
    </row>
    <row r="7454" spans="24:25" x14ac:dyDescent="0.35">
      <c r="X7454" s="40"/>
      <c r="Y7454" s="40"/>
    </row>
    <row r="7455" spans="24:25" x14ac:dyDescent="0.35">
      <c r="X7455" s="40"/>
      <c r="Y7455" s="40"/>
    </row>
    <row r="7456" spans="24:25" x14ac:dyDescent="0.35">
      <c r="X7456" s="40"/>
      <c r="Y7456" s="40"/>
    </row>
    <row r="7457" spans="24:25" x14ac:dyDescent="0.35">
      <c r="X7457" s="40"/>
      <c r="Y7457" s="40"/>
    </row>
    <row r="7458" spans="24:25" x14ac:dyDescent="0.35">
      <c r="X7458" s="40"/>
      <c r="Y7458" s="40"/>
    </row>
    <row r="7459" spans="24:25" x14ac:dyDescent="0.35">
      <c r="X7459" s="40"/>
      <c r="Y7459" s="40"/>
    </row>
    <row r="7460" spans="24:25" x14ac:dyDescent="0.35">
      <c r="X7460" s="40"/>
      <c r="Y7460" s="40"/>
    </row>
    <row r="7461" spans="24:25" x14ac:dyDescent="0.35">
      <c r="X7461" s="40"/>
      <c r="Y7461" s="40"/>
    </row>
    <row r="7462" spans="24:25" x14ac:dyDescent="0.35">
      <c r="X7462" s="40"/>
      <c r="Y7462" s="40"/>
    </row>
    <row r="7463" spans="24:25" x14ac:dyDescent="0.35">
      <c r="X7463" s="40"/>
      <c r="Y7463" s="40"/>
    </row>
    <row r="7464" spans="24:25" x14ac:dyDescent="0.35">
      <c r="X7464" s="40"/>
      <c r="Y7464" s="40"/>
    </row>
    <row r="7465" spans="24:25" x14ac:dyDescent="0.35">
      <c r="X7465" s="40"/>
      <c r="Y7465" s="40"/>
    </row>
    <row r="7466" spans="24:25" x14ac:dyDescent="0.35">
      <c r="X7466" s="40"/>
      <c r="Y7466" s="40"/>
    </row>
    <row r="7467" spans="24:25" x14ac:dyDescent="0.35">
      <c r="X7467" s="40"/>
      <c r="Y7467" s="40"/>
    </row>
    <row r="7468" spans="24:25" x14ac:dyDescent="0.35">
      <c r="X7468" s="40"/>
      <c r="Y7468" s="40"/>
    </row>
    <row r="7469" spans="24:25" x14ac:dyDescent="0.35">
      <c r="X7469" s="40"/>
      <c r="Y7469" s="40"/>
    </row>
    <row r="7470" spans="24:25" x14ac:dyDescent="0.35">
      <c r="X7470" s="40"/>
      <c r="Y7470" s="40"/>
    </row>
    <row r="7471" spans="24:25" x14ac:dyDescent="0.35">
      <c r="X7471" s="40"/>
      <c r="Y7471" s="40"/>
    </row>
    <row r="7472" spans="24:25" x14ac:dyDescent="0.35">
      <c r="X7472" s="40"/>
      <c r="Y7472" s="40"/>
    </row>
    <row r="7473" spans="24:25" x14ac:dyDescent="0.35">
      <c r="X7473" s="40"/>
      <c r="Y7473" s="40"/>
    </row>
    <row r="7474" spans="24:25" x14ac:dyDescent="0.35">
      <c r="X7474" s="40"/>
      <c r="Y7474" s="40"/>
    </row>
    <row r="7475" spans="24:25" x14ac:dyDescent="0.35">
      <c r="X7475" s="40"/>
      <c r="Y7475" s="40"/>
    </row>
    <row r="7476" spans="24:25" x14ac:dyDescent="0.35">
      <c r="X7476" s="40"/>
      <c r="Y7476" s="40"/>
    </row>
    <row r="7477" spans="24:25" x14ac:dyDescent="0.35">
      <c r="X7477" s="40"/>
      <c r="Y7477" s="40"/>
    </row>
    <row r="7478" spans="24:25" x14ac:dyDescent="0.35">
      <c r="X7478" s="40"/>
      <c r="Y7478" s="40"/>
    </row>
    <row r="7479" spans="24:25" x14ac:dyDescent="0.35">
      <c r="X7479" s="40"/>
      <c r="Y7479" s="40"/>
    </row>
    <row r="7480" spans="24:25" x14ac:dyDescent="0.35">
      <c r="X7480" s="40"/>
      <c r="Y7480" s="40"/>
    </row>
    <row r="7481" spans="24:25" x14ac:dyDescent="0.35">
      <c r="X7481" s="40"/>
      <c r="Y7481" s="40"/>
    </row>
    <row r="7482" spans="24:25" x14ac:dyDescent="0.35">
      <c r="X7482" s="40"/>
      <c r="Y7482" s="40"/>
    </row>
    <row r="7483" spans="24:25" x14ac:dyDescent="0.35">
      <c r="X7483" s="40"/>
      <c r="Y7483" s="40"/>
    </row>
    <row r="7484" spans="24:25" x14ac:dyDescent="0.35">
      <c r="X7484" s="40"/>
      <c r="Y7484" s="40"/>
    </row>
    <row r="7485" spans="24:25" x14ac:dyDescent="0.35">
      <c r="X7485" s="40"/>
      <c r="Y7485" s="40"/>
    </row>
    <row r="7486" spans="24:25" x14ac:dyDescent="0.35">
      <c r="X7486" s="40"/>
      <c r="Y7486" s="40"/>
    </row>
    <row r="7487" spans="24:25" x14ac:dyDescent="0.35">
      <c r="X7487" s="40"/>
      <c r="Y7487" s="40"/>
    </row>
    <row r="7488" spans="24:25" x14ac:dyDescent="0.35">
      <c r="X7488" s="40"/>
      <c r="Y7488" s="40"/>
    </row>
    <row r="7489" spans="24:25" x14ac:dyDescent="0.35">
      <c r="X7489" s="40"/>
      <c r="Y7489" s="40"/>
    </row>
    <row r="7490" spans="24:25" x14ac:dyDescent="0.35">
      <c r="X7490" s="40"/>
      <c r="Y7490" s="40"/>
    </row>
    <row r="7491" spans="24:25" x14ac:dyDescent="0.35">
      <c r="X7491" s="40"/>
      <c r="Y7491" s="40"/>
    </row>
    <row r="7492" spans="24:25" x14ac:dyDescent="0.35">
      <c r="X7492" s="40"/>
      <c r="Y7492" s="40"/>
    </row>
    <row r="7493" spans="24:25" x14ac:dyDescent="0.35">
      <c r="X7493" s="40"/>
      <c r="Y7493" s="40"/>
    </row>
    <row r="7494" spans="24:25" x14ac:dyDescent="0.35">
      <c r="X7494" s="40"/>
      <c r="Y7494" s="40"/>
    </row>
    <row r="7495" spans="24:25" x14ac:dyDescent="0.35">
      <c r="X7495" s="40"/>
      <c r="Y7495" s="40"/>
    </row>
    <row r="7496" spans="24:25" x14ac:dyDescent="0.35">
      <c r="X7496" s="40"/>
      <c r="Y7496" s="40"/>
    </row>
    <row r="7497" spans="24:25" x14ac:dyDescent="0.35">
      <c r="X7497" s="40"/>
      <c r="Y7497" s="40"/>
    </row>
    <row r="7498" spans="24:25" x14ac:dyDescent="0.35">
      <c r="X7498" s="40"/>
      <c r="Y7498" s="40"/>
    </row>
    <row r="7499" spans="24:25" x14ac:dyDescent="0.35">
      <c r="X7499" s="40"/>
      <c r="Y7499" s="40"/>
    </row>
    <row r="7500" spans="24:25" x14ac:dyDescent="0.35">
      <c r="X7500" s="40"/>
      <c r="Y7500" s="40"/>
    </row>
    <row r="7501" spans="24:25" x14ac:dyDescent="0.35">
      <c r="X7501" s="40"/>
      <c r="Y7501" s="40"/>
    </row>
    <row r="7502" spans="24:25" x14ac:dyDescent="0.35">
      <c r="X7502" s="40"/>
      <c r="Y7502" s="40"/>
    </row>
    <row r="7503" spans="24:25" x14ac:dyDescent="0.35">
      <c r="X7503" s="40"/>
      <c r="Y7503" s="40"/>
    </row>
    <row r="7504" spans="24:25" x14ac:dyDescent="0.35">
      <c r="X7504" s="40"/>
      <c r="Y7504" s="40"/>
    </row>
    <row r="7505" spans="24:25" x14ac:dyDescent="0.35">
      <c r="X7505" s="40"/>
      <c r="Y7505" s="40"/>
    </row>
    <row r="7506" spans="24:25" x14ac:dyDescent="0.35">
      <c r="X7506" s="40"/>
      <c r="Y7506" s="40"/>
    </row>
    <row r="7507" spans="24:25" x14ac:dyDescent="0.35">
      <c r="X7507" s="40"/>
      <c r="Y7507" s="40"/>
    </row>
    <row r="7508" spans="24:25" x14ac:dyDescent="0.35">
      <c r="X7508" s="40"/>
      <c r="Y7508" s="40"/>
    </row>
    <row r="7509" spans="24:25" x14ac:dyDescent="0.35">
      <c r="X7509" s="40"/>
      <c r="Y7509" s="40"/>
    </row>
    <row r="7510" spans="24:25" x14ac:dyDescent="0.35">
      <c r="X7510" s="40"/>
      <c r="Y7510" s="40"/>
    </row>
    <row r="7511" spans="24:25" x14ac:dyDescent="0.35">
      <c r="X7511" s="40"/>
      <c r="Y7511" s="40"/>
    </row>
    <row r="7512" spans="24:25" x14ac:dyDescent="0.35">
      <c r="X7512" s="40"/>
      <c r="Y7512" s="40"/>
    </row>
    <row r="7513" spans="24:25" x14ac:dyDescent="0.35">
      <c r="X7513" s="40"/>
      <c r="Y7513" s="40"/>
    </row>
    <row r="7514" spans="24:25" x14ac:dyDescent="0.35">
      <c r="X7514" s="40"/>
      <c r="Y7514" s="40"/>
    </row>
    <row r="7515" spans="24:25" x14ac:dyDescent="0.35">
      <c r="X7515" s="40"/>
      <c r="Y7515" s="40"/>
    </row>
    <row r="7516" spans="24:25" x14ac:dyDescent="0.35">
      <c r="X7516" s="40"/>
      <c r="Y7516" s="40"/>
    </row>
    <row r="7517" spans="24:25" x14ac:dyDescent="0.35">
      <c r="X7517" s="40"/>
      <c r="Y7517" s="40"/>
    </row>
    <row r="7518" spans="24:25" x14ac:dyDescent="0.35">
      <c r="X7518" s="40"/>
      <c r="Y7518" s="40"/>
    </row>
    <row r="7519" spans="24:25" x14ac:dyDescent="0.35">
      <c r="X7519" s="40"/>
      <c r="Y7519" s="40"/>
    </row>
    <row r="7520" spans="24:25" x14ac:dyDescent="0.35">
      <c r="X7520" s="40"/>
      <c r="Y7520" s="40"/>
    </row>
    <row r="7521" spans="24:25" x14ac:dyDescent="0.35">
      <c r="X7521" s="40"/>
      <c r="Y7521" s="40"/>
    </row>
    <row r="7522" spans="24:25" x14ac:dyDescent="0.35">
      <c r="X7522" s="40"/>
      <c r="Y7522" s="40"/>
    </row>
    <row r="7523" spans="24:25" x14ac:dyDescent="0.35">
      <c r="X7523" s="40"/>
      <c r="Y7523" s="40"/>
    </row>
    <row r="7524" spans="24:25" x14ac:dyDescent="0.35">
      <c r="X7524" s="40"/>
      <c r="Y7524" s="40"/>
    </row>
    <row r="7525" spans="24:25" x14ac:dyDescent="0.35">
      <c r="X7525" s="40"/>
      <c r="Y7525" s="40"/>
    </row>
    <row r="7526" spans="24:25" x14ac:dyDescent="0.35">
      <c r="X7526" s="40"/>
      <c r="Y7526" s="40"/>
    </row>
    <row r="7527" spans="24:25" x14ac:dyDescent="0.35">
      <c r="X7527" s="40"/>
      <c r="Y7527" s="40"/>
    </row>
    <row r="7528" spans="24:25" x14ac:dyDescent="0.35">
      <c r="X7528" s="40"/>
      <c r="Y7528" s="40"/>
    </row>
    <row r="7529" spans="24:25" x14ac:dyDescent="0.35">
      <c r="X7529" s="40"/>
      <c r="Y7529" s="40"/>
    </row>
    <row r="7530" spans="24:25" x14ac:dyDescent="0.35">
      <c r="X7530" s="40"/>
      <c r="Y7530" s="40"/>
    </row>
    <row r="7531" spans="24:25" x14ac:dyDescent="0.35">
      <c r="X7531" s="40"/>
      <c r="Y7531" s="40"/>
    </row>
    <row r="7532" spans="24:25" x14ac:dyDescent="0.35">
      <c r="X7532" s="40"/>
      <c r="Y7532" s="40"/>
    </row>
    <row r="7533" spans="24:25" x14ac:dyDescent="0.35">
      <c r="X7533" s="40"/>
      <c r="Y7533" s="40"/>
    </row>
    <row r="7534" spans="24:25" x14ac:dyDescent="0.35">
      <c r="X7534" s="40"/>
      <c r="Y7534" s="40"/>
    </row>
    <row r="7535" spans="24:25" x14ac:dyDescent="0.35">
      <c r="X7535" s="40"/>
      <c r="Y7535" s="40"/>
    </row>
    <row r="7536" spans="24:25" x14ac:dyDescent="0.35">
      <c r="X7536" s="40"/>
      <c r="Y7536" s="40"/>
    </row>
    <row r="7537" spans="24:25" x14ac:dyDescent="0.35">
      <c r="X7537" s="40"/>
      <c r="Y7537" s="40"/>
    </row>
    <row r="7538" spans="24:25" x14ac:dyDescent="0.35">
      <c r="X7538" s="40"/>
      <c r="Y7538" s="40"/>
    </row>
    <row r="7539" spans="24:25" x14ac:dyDescent="0.35">
      <c r="X7539" s="40"/>
      <c r="Y7539" s="40"/>
    </row>
    <row r="7540" spans="24:25" x14ac:dyDescent="0.35">
      <c r="X7540" s="40"/>
      <c r="Y7540" s="40"/>
    </row>
    <row r="7541" spans="24:25" x14ac:dyDescent="0.35">
      <c r="X7541" s="40"/>
      <c r="Y7541" s="40"/>
    </row>
    <row r="7542" spans="24:25" x14ac:dyDescent="0.35">
      <c r="X7542" s="40"/>
      <c r="Y7542" s="40"/>
    </row>
    <row r="7543" spans="24:25" x14ac:dyDescent="0.35">
      <c r="X7543" s="40"/>
      <c r="Y7543" s="40"/>
    </row>
    <row r="7544" spans="24:25" x14ac:dyDescent="0.35">
      <c r="X7544" s="40"/>
      <c r="Y7544" s="40"/>
    </row>
    <row r="7545" spans="24:25" x14ac:dyDescent="0.35">
      <c r="X7545" s="40"/>
      <c r="Y7545" s="40"/>
    </row>
    <row r="7546" spans="24:25" x14ac:dyDescent="0.35">
      <c r="X7546" s="40"/>
      <c r="Y7546" s="40"/>
    </row>
    <row r="7547" spans="24:25" x14ac:dyDescent="0.35">
      <c r="X7547" s="40"/>
      <c r="Y7547" s="40"/>
    </row>
    <row r="7548" spans="24:25" x14ac:dyDescent="0.35">
      <c r="X7548" s="40"/>
      <c r="Y7548" s="40"/>
    </row>
    <row r="7549" spans="24:25" x14ac:dyDescent="0.35">
      <c r="X7549" s="40"/>
      <c r="Y7549" s="40"/>
    </row>
    <row r="7550" spans="24:25" x14ac:dyDescent="0.35">
      <c r="X7550" s="40"/>
      <c r="Y7550" s="40"/>
    </row>
    <row r="7551" spans="24:25" x14ac:dyDescent="0.35">
      <c r="X7551" s="40"/>
      <c r="Y7551" s="40"/>
    </row>
    <row r="7552" spans="24:25" x14ac:dyDescent="0.35">
      <c r="X7552" s="40"/>
      <c r="Y7552" s="40"/>
    </row>
    <row r="7553" spans="24:25" x14ac:dyDescent="0.35">
      <c r="X7553" s="40"/>
      <c r="Y7553" s="40"/>
    </row>
    <row r="7554" spans="24:25" x14ac:dyDescent="0.35">
      <c r="X7554" s="40"/>
      <c r="Y7554" s="40"/>
    </row>
    <row r="7555" spans="24:25" x14ac:dyDescent="0.35">
      <c r="X7555" s="40"/>
      <c r="Y7555" s="40"/>
    </row>
    <row r="7556" spans="24:25" x14ac:dyDescent="0.35">
      <c r="X7556" s="40"/>
      <c r="Y7556" s="40"/>
    </row>
    <row r="7557" spans="24:25" x14ac:dyDescent="0.35">
      <c r="X7557" s="40"/>
      <c r="Y7557" s="40"/>
    </row>
    <row r="7558" spans="24:25" x14ac:dyDescent="0.35">
      <c r="X7558" s="40"/>
      <c r="Y7558" s="40"/>
    </row>
    <row r="7559" spans="24:25" x14ac:dyDescent="0.35">
      <c r="X7559" s="40"/>
      <c r="Y7559" s="40"/>
    </row>
    <row r="7560" spans="24:25" x14ac:dyDescent="0.35">
      <c r="X7560" s="40"/>
      <c r="Y7560" s="40"/>
    </row>
    <row r="7561" spans="24:25" x14ac:dyDescent="0.35">
      <c r="X7561" s="40"/>
      <c r="Y7561" s="40"/>
    </row>
    <row r="7562" spans="24:25" x14ac:dyDescent="0.35">
      <c r="X7562" s="40"/>
      <c r="Y7562" s="40"/>
    </row>
    <row r="7563" spans="24:25" x14ac:dyDescent="0.35">
      <c r="X7563" s="40"/>
      <c r="Y7563" s="40"/>
    </row>
    <row r="7564" spans="24:25" x14ac:dyDescent="0.35">
      <c r="X7564" s="40"/>
      <c r="Y7564" s="40"/>
    </row>
    <row r="7565" spans="24:25" x14ac:dyDescent="0.35">
      <c r="X7565" s="40"/>
      <c r="Y7565" s="40"/>
    </row>
    <row r="7566" spans="24:25" x14ac:dyDescent="0.35">
      <c r="X7566" s="40"/>
      <c r="Y7566" s="40"/>
    </row>
    <row r="7567" spans="24:25" x14ac:dyDescent="0.35">
      <c r="X7567" s="40"/>
      <c r="Y7567" s="40"/>
    </row>
    <row r="7568" spans="24:25" x14ac:dyDescent="0.35">
      <c r="X7568" s="40"/>
      <c r="Y7568" s="40"/>
    </row>
    <row r="7569" spans="24:25" x14ac:dyDescent="0.35">
      <c r="X7569" s="40"/>
      <c r="Y7569" s="40"/>
    </row>
    <row r="7570" spans="24:25" x14ac:dyDescent="0.35">
      <c r="X7570" s="40"/>
      <c r="Y7570" s="40"/>
    </row>
    <row r="7571" spans="24:25" x14ac:dyDescent="0.35">
      <c r="X7571" s="40"/>
      <c r="Y7571" s="40"/>
    </row>
    <row r="7572" spans="24:25" x14ac:dyDescent="0.35">
      <c r="X7572" s="40"/>
      <c r="Y7572" s="40"/>
    </row>
    <row r="7573" spans="24:25" x14ac:dyDescent="0.35">
      <c r="X7573" s="40"/>
      <c r="Y7573" s="40"/>
    </row>
    <row r="7574" spans="24:25" x14ac:dyDescent="0.35">
      <c r="X7574" s="40"/>
      <c r="Y7574" s="40"/>
    </row>
    <row r="7575" spans="24:25" x14ac:dyDescent="0.35">
      <c r="X7575" s="40"/>
      <c r="Y7575" s="40"/>
    </row>
    <row r="7576" spans="24:25" x14ac:dyDescent="0.35">
      <c r="X7576" s="40"/>
      <c r="Y7576" s="40"/>
    </row>
    <row r="7577" spans="24:25" x14ac:dyDescent="0.35">
      <c r="X7577" s="40"/>
      <c r="Y7577" s="40"/>
    </row>
    <row r="7578" spans="24:25" x14ac:dyDescent="0.35">
      <c r="X7578" s="40"/>
      <c r="Y7578" s="40"/>
    </row>
    <row r="7579" spans="24:25" x14ac:dyDescent="0.35">
      <c r="X7579" s="40"/>
      <c r="Y7579" s="40"/>
    </row>
    <row r="7580" spans="24:25" x14ac:dyDescent="0.35">
      <c r="X7580" s="40"/>
      <c r="Y7580" s="40"/>
    </row>
    <row r="7581" spans="24:25" x14ac:dyDescent="0.35">
      <c r="X7581" s="40"/>
      <c r="Y7581" s="40"/>
    </row>
    <row r="7582" spans="24:25" x14ac:dyDescent="0.35">
      <c r="X7582" s="40"/>
      <c r="Y7582" s="40"/>
    </row>
    <row r="7583" spans="24:25" x14ac:dyDescent="0.35">
      <c r="X7583" s="40"/>
      <c r="Y7583" s="40"/>
    </row>
    <row r="7584" spans="24:25" x14ac:dyDescent="0.35">
      <c r="X7584" s="40"/>
      <c r="Y7584" s="40"/>
    </row>
    <row r="7585" spans="24:25" x14ac:dyDescent="0.35">
      <c r="X7585" s="40"/>
      <c r="Y7585" s="40"/>
    </row>
    <row r="7586" spans="24:25" x14ac:dyDescent="0.35">
      <c r="X7586" s="40"/>
      <c r="Y7586" s="40"/>
    </row>
    <row r="7587" spans="24:25" x14ac:dyDescent="0.35">
      <c r="X7587" s="40"/>
      <c r="Y7587" s="40"/>
    </row>
    <row r="7588" spans="24:25" x14ac:dyDescent="0.35">
      <c r="X7588" s="40"/>
      <c r="Y7588" s="40"/>
    </row>
    <row r="7589" spans="24:25" x14ac:dyDescent="0.35">
      <c r="X7589" s="40"/>
      <c r="Y7589" s="40"/>
    </row>
    <row r="7590" spans="24:25" x14ac:dyDescent="0.35">
      <c r="X7590" s="40"/>
      <c r="Y7590" s="40"/>
    </row>
    <row r="7591" spans="24:25" x14ac:dyDescent="0.35">
      <c r="X7591" s="40"/>
      <c r="Y7591" s="40"/>
    </row>
    <row r="7592" spans="24:25" x14ac:dyDescent="0.35">
      <c r="X7592" s="40"/>
      <c r="Y7592" s="40"/>
    </row>
    <row r="7593" spans="24:25" x14ac:dyDescent="0.35">
      <c r="X7593" s="40"/>
      <c r="Y7593" s="40"/>
    </row>
    <row r="7594" spans="24:25" x14ac:dyDescent="0.35">
      <c r="X7594" s="40"/>
      <c r="Y7594" s="40"/>
    </row>
    <row r="7595" spans="24:25" x14ac:dyDescent="0.35">
      <c r="X7595" s="40"/>
      <c r="Y7595" s="40"/>
    </row>
    <row r="7596" spans="24:25" x14ac:dyDescent="0.35">
      <c r="X7596" s="40"/>
      <c r="Y7596" s="40"/>
    </row>
    <row r="7597" spans="24:25" x14ac:dyDescent="0.35">
      <c r="X7597" s="40"/>
      <c r="Y7597" s="40"/>
    </row>
    <row r="7598" spans="24:25" x14ac:dyDescent="0.35">
      <c r="X7598" s="40"/>
      <c r="Y7598" s="40"/>
    </row>
    <row r="7599" spans="24:25" x14ac:dyDescent="0.35">
      <c r="X7599" s="40"/>
      <c r="Y7599" s="40"/>
    </row>
    <row r="7600" spans="24:25" x14ac:dyDescent="0.35">
      <c r="X7600" s="40"/>
      <c r="Y7600" s="40"/>
    </row>
    <row r="7601" spans="24:25" x14ac:dyDescent="0.35">
      <c r="X7601" s="40"/>
      <c r="Y7601" s="40"/>
    </row>
    <row r="7602" spans="24:25" x14ac:dyDescent="0.35">
      <c r="X7602" s="40"/>
      <c r="Y7602" s="40"/>
    </row>
    <row r="7603" spans="24:25" x14ac:dyDescent="0.35">
      <c r="X7603" s="40"/>
      <c r="Y7603" s="40"/>
    </row>
    <row r="7604" spans="24:25" x14ac:dyDescent="0.35">
      <c r="X7604" s="40"/>
      <c r="Y7604" s="40"/>
    </row>
    <row r="7605" spans="24:25" x14ac:dyDescent="0.35">
      <c r="X7605" s="40"/>
      <c r="Y7605" s="40"/>
    </row>
    <row r="7606" spans="24:25" x14ac:dyDescent="0.35">
      <c r="X7606" s="40"/>
      <c r="Y7606" s="40"/>
    </row>
    <row r="7607" spans="24:25" x14ac:dyDescent="0.35">
      <c r="X7607" s="40"/>
      <c r="Y7607" s="40"/>
    </row>
    <row r="7608" spans="24:25" x14ac:dyDescent="0.35">
      <c r="X7608" s="40"/>
      <c r="Y7608" s="40"/>
    </row>
    <row r="7609" spans="24:25" x14ac:dyDescent="0.35">
      <c r="X7609" s="40"/>
      <c r="Y7609" s="40"/>
    </row>
    <row r="7610" spans="24:25" x14ac:dyDescent="0.35">
      <c r="X7610" s="40"/>
      <c r="Y7610" s="40"/>
    </row>
    <row r="7611" spans="24:25" x14ac:dyDescent="0.35">
      <c r="X7611" s="40"/>
      <c r="Y7611" s="40"/>
    </row>
    <row r="7612" spans="24:25" x14ac:dyDescent="0.35">
      <c r="X7612" s="40"/>
      <c r="Y7612" s="40"/>
    </row>
    <row r="7613" spans="24:25" x14ac:dyDescent="0.35">
      <c r="X7613" s="40"/>
      <c r="Y7613" s="40"/>
    </row>
    <row r="7614" spans="24:25" x14ac:dyDescent="0.35">
      <c r="X7614" s="40"/>
      <c r="Y7614" s="40"/>
    </row>
    <row r="7615" spans="24:25" x14ac:dyDescent="0.35">
      <c r="X7615" s="40"/>
      <c r="Y7615" s="40"/>
    </row>
    <row r="7616" spans="24:25" x14ac:dyDescent="0.35">
      <c r="X7616" s="40"/>
      <c r="Y7616" s="40"/>
    </row>
    <row r="7617" spans="24:25" x14ac:dyDescent="0.35">
      <c r="X7617" s="40"/>
      <c r="Y7617" s="40"/>
    </row>
    <row r="7618" spans="24:25" x14ac:dyDescent="0.35">
      <c r="X7618" s="40"/>
      <c r="Y7618" s="40"/>
    </row>
    <row r="7619" spans="24:25" x14ac:dyDescent="0.35">
      <c r="X7619" s="40"/>
      <c r="Y7619" s="40"/>
    </row>
    <row r="7620" spans="24:25" x14ac:dyDescent="0.35">
      <c r="X7620" s="40"/>
      <c r="Y7620" s="40"/>
    </row>
    <row r="7621" spans="24:25" x14ac:dyDescent="0.35">
      <c r="X7621" s="40"/>
      <c r="Y7621" s="40"/>
    </row>
    <row r="7622" spans="24:25" x14ac:dyDescent="0.35">
      <c r="X7622" s="40"/>
      <c r="Y7622" s="40"/>
    </row>
    <row r="7623" spans="24:25" x14ac:dyDescent="0.35">
      <c r="X7623" s="40"/>
      <c r="Y7623" s="40"/>
    </row>
    <row r="7624" spans="24:25" x14ac:dyDescent="0.35">
      <c r="X7624" s="40"/>
      <c r="Y7624" s="40"/>
    </row>
    <row r="7625" spans="24:25" x14ac:dyDescent="0.35">
      <c r="X7625" s="40"/>
      <c r="Y7625" s="40"/>
    </row>
    <row r="7626" spans="24:25" x14ac:dyDescent="0.35">
      <c r="X7626" s="40"/>
      <c r="Y7626" s="40"/>
    </row>
    <row r="7627" spans="24:25" x14ac:dyDescent="0.35">
      <c r="X7627" s="40"/>
      <c r="Y7627" s="40"/>
    </row>
    <row r="7628" spans="24:25" x14ac:dyDescent="0.35">
      <c r="X7628" s="40"/>
      <c r="Y7628" s="40"/>
    </row>
    <row r="7629" spans="24:25" x14ac:dyDescent="0.35">
      <c r="X7629" s="40"/>
      <c r="Y7629" s="40"/>
    </row>
    <row r="7630" spans="24:25" x14ac:dyDescent="0.35">
      <c r="X7630" s="40"/>
      <c r="Y7630" s="40"/>
    </row>
    <row r="7631" spans="24:25" x14ac:dyDescent="0.35">
      <c r="X7631" s="40"/>
      <c r="Y7631" s="40"/>
    </row>
    <row r="7632" spans="24:25" x14ac:dyDescent="0.35">
      <c r="X7632" s="40"/>
      <c r="Y7632" s="40"/>
    </row>
    <row r="7633" spans="24:25" x14ac:dyDescent="0.35">
      <c r="X7633" s="40"/>
      <c r="Y7633" s="40"/>
    </row>
    <row r="7634" spans="24:25" x14ac:dyDescent="0.35">
      <c r="X7634" s="40"/>
      <c r="Y7634" s="40"/>
    </row>
    <row r="7635" spans="24:25" x14ac:dyDescent="0.35">
      <c r="X7635" s="40"/>
      <c r="Y7635" s="40"/>
    </row>
    <row r="7636" spans="24:25" x14ac:dyDescent="0.35">
      <c r="X7636" s="40"/>
      <c r="Y7636" s="40"/>
    </row>
    <row r="7637" spans="24:25" x14ac:dyDescent="0.35">
      <c r="X7637" s="40"/>
      <c r="Y7637" s="40"/>
    </row>
    <row r="7638" spans="24:25" x14ac:dyDescent="0.35">
      <c r="X7638" s="40"/>
      <c r="Y7638" s="40"/>
    </row>
    <row r="7639" spans="24:25" x14ac:dyDescent="0.35">
      <c r="X7639" s="40"/>
      <c r="Y7639" s="40"/>
    </row>
    <row r="7640" spans="24:25" x14ac:dyDescent="0.35">
      <c r="X7640" s="40"/>
      <c r="Y7640" s="40"/>
    </row>
    <row r="7641" spans="24:25" x14ac:dyDescent="0.35">
      <c r="X7641" s="40"/>
      <c r="Y7641" s="40"/>
    </row>
    <row r="7642" spans="24:25" x14ac:dyDescent="0.35">
      <c r="X7642" s="40"/>
      <c r="Y7642" s="40"/>
    </row>
    <row r="7643" spans="24:25" x14ac:dyDescent="0.35">
      <c r="X7643" s="40"/>
      <c r="Y7643" s="40"/>
    </row>
    <row r="7644" spans="24:25" x14ac:dyDescent="0.35">
      <c r="X7644" s="40"/>
      <c r="Y7644" s="40"/>
    </row>
    <row r="7645" spans="24:25" x14ac:dyDescent="0.35">
      <c r="X7645" s="40"/>
      <c r="Y7645" s="40"/>
    </row>
    <row r="7646" spans="24:25" x14ac:dyDescent="0.35">
      <c r="X7646" s="40"/>
      <c r="Y7646" s="40"/>
    </row>
    <row r="7647" spans="24:25" x14ac:dyDescent="0.35">
      <c r="X7647" s="40"/>
      <c r="Y7647" s="40"/>
    </row>
    <row r="7648" spans="24:25" x14ac:dyDescent="0.35">
      <c r="X7648" s="40"/>
      <c r="Y7648" s="40"/>
    </row>
    <row r="7649" spans="24:25" x14ac:dyDescent="0.35">
      <c r="X7649" s="40"/>
      <c r="Y7649" s="40"/>
    </row>
    <row r="7650" spans="24:25" x14ac:dyDescent="0.35">
      <c r="X7650" s="40"/>
      <c r="Y7650" s="40"/>
    </row>
    <row r="7651" spans="24:25" x14ac:dyDescent="0.35">
      <c r="X7651" s="40"/>
      <c r="Y7651" s="40"/>
    </row>
    <row r="7652" spans="24:25" x14ac:dyDescent="0.35">
      <c r="X7652" s="40"/>
      <c r="Y7652" s="40"/>
    </row>
    <row r="7653" spans="24:25" x14ac:dyDescent="0.35">
      <c r="X7653" s="40"/>
      <c r="Y7653" s="40"/>
    </row>
    <row r="7654" spans="24:25" x14ac:dyDescent="0.35">
      <c r="X7654" s="40"/>
      <c r="Y7654" s="40"/>
    </row>
    <row r="7655" spans="24:25" x14ac:dyDescent="0.35">
      <c r="X7655" s="40"/>
      <c r="Y7655" s="40"/>
    </row>
    <row r="7656" spans="24:25" x14ac:dyDescent="0.35">
      <c r="X7656" s="40"/>
      <c r="Y7656" s="40"/>
    </row>
    <row r="7657" spans="24:25" x14ac:dyDescent="0.35">
      <c r="X7657" s="40"/>
      <c r="Y7657" s="40"/>
    </row>
    <row r="7658" spans="24:25" x14ac:dyDescent="0.35">
      <c r="X7658" s="40"/>
      <c r="Y7658" s="40"/>
    </row>
    <row r="7659" spans="24:25" x14ac:dyDescent="0.35">
      <c r="X7659" s="40"/>
      <c r="Y7659" s="40"/>
    </row>
    <row r="7660" spans="24:25" x14ac:dyDescent="0.35">
      <c r="X7660" s="40"/>
      <c r="Y7660" s="40"/>
    </row>
    <row r="7661" spans="24:25" x14ac:dyDescent="0.35">
      <c r="X7661" s="40"/>
      <c r="Y7661" s="40"/>
    </row>
    <row r="7662" spans="24:25" x14ac:dyDescent="0.35">
      <c r="X7662" s="40"/>
      <c r="Y7662" s="40"/>
    </row>
    <row r="7663" spans="24:25" x14ac:dyDescent="0.35">
      <c r="X7663" s="40"/>
      <c r="Y7663" s="40"/>
    </row>
    <row r="7664" spans="24:25" x14ac:dyDescent="0.35">
      <c r="X7664" s="40"/>
      <c r="Y7664" s="40"/>
    </row>
    <row r="7665" spans="24:25" x14ac:dyDescent="0.35">
      <c r="X7665" s="40"/>
      <c r="Y7665" s="40"/>
    </row>
    <row r="7666" spans="24:25" x14ac:dyDescent="0.35">
      <c r="X7666" s="40"/>
      <c r="Y7666" s="40"/>
    </row>
    <row r="7667" spans="24:25" x14ac:dyDescent="0.35">
      <c r="X7667" s="40"/>
      <c r="Y7667" s="40"/>
    </row>
    <row r="7668" spans="24:25" x14ac:dyDescent="0.35">
      <c r="X7668" s="40"/>
      <c r="Y7668" s="40"/>
    </row>
    <row r="7669" spans="24:25" x14ac:dyDescent="0.35">
      <c r="X7669" s="40"/>
      <c r="Y7669" s="40"/>
    </row>
    <row r="7670" spans="24:25" x14ac:dyDescent="0.35">
      <c r="X7670" s="40"/>
      <c r="Y7670" s="40"/>
    </row>
    <row r="7671" spans="24:25" x14ac:dyDescent="0.35">
      <c r="X7671" s="40"/>
      <c r="Y7671" s="40"/>
    </row>
    <row r="7672" spans="24:25" x14ac:dyDescent="0.35">
      <c r="X7672" s="40"/>
      <c r="Y7672" s="40"/>
    </row>
    <row r="7673" spans="24:25" x14ac:dyDescent="0.35">
      <c r="X7673" s="40"/>
      <c r="Y7673" s="40"/>
    </row>
    <row r="7674" spans="24:25" x14ac:dyDescent="0.35">
      <c r="X7674" s="40"/>
      <c r="Y7674" s="40"/>
    </row>
    <row r="7675" spans="24:25" x14ac:dyDescent="0.35">
      <c r="X7675" s="40"/>
      <c r="Y7675" s="40"/>
    </row>
    <row r="7676" spans="24:25" x14ac:dyDescent="0.35">
      <c r="X7676" s="40"/>
      <c r="Y7676" s="40"/>
    </row>
    <row r="7677" spans="24:25" x14ac:dyDescent="0.35">
      <c r="X7677" s="40"/>
      <c r="Y7677" s="40"/>
    </row>
    <row r="7678" spans="24:25" x14ac:dyDescent="0.35">
      <c r="X7678" s="40"/>
      <c r="Y7678" s="40"/>
    </row>
    <row r="7679" spans="24:25" x14ac:dyDescent="0.35">
      <c r="X7679" s="40"/>
      <c r="Y7679" s="40"/>
    </row>
    <row r="7680" spans="24:25" x14ac:dyDescent="0.35">
      <c r="X7680" s="40"/>
      <c r="Y7680" s="40"/>
    </row>
    <row r="7681" spans="24:25" x14ac:dyDescent="0.35">
      <c r="X7681" s="40"/>
      <c r="Y7681" s="40"/>
    </row>
    <row r="7682" spans="24:25" x14ac:dyDescent="0.35">
      <c r="X7682" s="40"/>
      <c r="Y7682" s="40"/>
    </row>
    <row r="7683" spans="24:25" x14ac:dyDescent="0.35">
      <c r="X7683" s="40"/>
      <c r="Y7683" s="40"/>
    </row>
    <row r="7684" spans="24:25" x14ac:dyDescent="0.35">
      <c r="X7684" s="40"/>
      <c r="Y7684" s="40"/>
    </row>
    <row r="7685" spans="24:25" x14ac:dyDescent="0.35">
      <c r="X7685" s="40"/>
      <c r="Y7685" s="40"/>
    </row>
    <row r="7686" spans="24:25" x14ac:dyDescent="0.35">
      <c r="X7686" s="40"/>
      <c r="Y7686" s="40"/>
    </row>
    <row r="7687" spans="24:25" x14ac:dyDescent="0.35">
      <c r="X7687" s="40"/>
      <c r="Y7687" s="40"/>
    </row>
    <row r="7688" spans="24:25" x14ac:dyDescent="0.35">
      <c r="X7688" s="40"/>
      <c r="Y7688" s="40"/>
    </row>
    <row r="7689" spans="24:25" x14ac:dyDescent="0.35">
      <c r="X7689" s="40"/>
      <c r="Y7689" s="40"/>
    </row>
    <row r="7690" spans="24:25" x14ac:dyDescent="0.35">
      <c r="X7690" s="40"/>
      <c r="Y7690" s="40"/>
    </row>
    <row r="7691" spans="24:25" x14ac:dyDescent="0.35">
      <c r="X7691" s="40"/>
      <c r="Y7691" s="40"/>
    </row>
    <row r="7692" spans="24:25" x14ac:dyDescent="0.35">
      <c r="X7692" s="40"/>
      <c r="Y7692" s="40"/>
    </row>
    <row r="7693" spans="24:25" x14ac:dyDescent="0.35">
      <c r="X7693" s="40"/>
      <c r="Y7693" s="40"/>
    </row>
    <row r="7694" spans="24:25" x14ac:dyDescent="0.35">
      <c r="X7694" s="40"/>
      <c r="Y7694" s="40"/>
    </row>
    <row r="7695" spans="24:25" x14ac:dyDescent="0.35">
      <c r="X7695" s="40"/>
      <c r="Y7695" s="40"/>
    </row>
    <row r="7696" spans="24:25" x14ac:dyDescent="0.35">
      <c r="X7696" s="40"/>
      <c r="Y7696" s="40"/>
    </row>
    <row r="7697" spans="24:25" x14ac:dyDescent="0.35">
      <c r="X7697" s="40"/>
      <c r="Y7697" s="40"/>
    </row>
    <row r="7698" spans="24:25" x14ac:dyDescent="0.35">
      <c r="X7698" s="40"/>
      <c r="Y7698" s="40"/>
    </row>
    <row r="7699" spans="24:25" x14ac:dyDescent="0.35">
      <c r="X7699" s="40"/>
      <c r="Y7699" s="40"/>
    </row>
    <row r="7700" spans="24:25" x14ac:dyDescent="0.35">
      <c r="X7700" s="40"/>
      <c r="Y7700" s="40"/>
    </row>
    <row r="7701" spans="24:25" x14ac:dyDescent="0.35">
      <c r="X7701" s="40"/>
      <c r="Y7701" s="40"/>
    </row>
    <row r="7702" spans="24:25" x14ac:dyDescent="0.35">
      <c r="X7702" s="40"/>
      <c r="Y7702" s="40"/>
    </row>
    <row r="7703" spans="24:25" x14ac:dyDescent="0.35">
      <c r="X7703" s="40"/>
      <c r="Y7703" s="40"/>
    </row>
    <row r="7704" spans="24:25" x14ac:dyDescent="0.35">
      <c r="X7704" s="40"/>
      <c r="Y7704" s="40"/>
    </row>
    <row r="7705" spans="24:25" x14ac:dyDescent="0.35">
      <c r="X7705" s="40"/>
      <c r="Y7705" s="40"/>
    </row>
    <row r="7706" spans="24:25" x14ac:dyDescent="0.35">
      <c r="X7706" s="40"/>
      <c r="Y7706" s="40"/>
    </row>
    <row r="7707" spans="24:25" x14ac:dyDescent="0.35">
      <c r="X7707" s="40"/>
      <c r="Y7707" s="40"/>
    </row>
    <row r="7708" spans="24:25" x14ac:dyDescent="0.35">
      <c r="X7708" s="40"/>
      <c r="Y7708" s="40"/>
    </row>
    <row r="7709" spans="24:25" x14ac:dyDescent="0.35">
      <c r="X7709" s="40"/>
      <c r="Y7709" s="40"/>
    </row>
    <row r="7710" spans="24:25" x14ac:dyDescent="0.35">
      <c r="X7710" s="40"/>
      <c r="Y7710" s="40"/>
    </row>
    <row r="7711" spans="24:25" x14ac:dyDescent="0.35">
      <c r="X7711" s="40"/>
      <c r="Y7711" s="40"/>
    </row>
    <row r="7712" spans="24:25" x14ac:dyDescent="0.35">
      <c r="X7712" s="40"/>
      <c r="Y7712" s="40"/>
    </row>
    <row r="7713" spans="24:25" x14ac:dyDescent="0.35">
      <c r="X7713" s="40"/>
      <c r="Y7713" s="40"/>
    </row>
    <row r="7714" spans="24:25" x14ac:dyDescent="0.35">
      <c r="X7714" s="40"/>
      <c r="Y7714" s="40"/>
    </row>
    <row r="7715" spans="24:25" x14ac:dyDescent="0.35">
      <c r="X7715" s="40"/>
      <c r="Y7715" s="40"/>
    </row>
    <row r="7716" spans="24:25" x14ac:dyDescent="0.35">
      <c r="X7716" s="40"/>
      <c r="Y7716" s="40"/>
    </row>
    <row r="7717" spans="24:25" x14ac:dyDescent="0.35">
      <c r="X7717" s="40"/>
      <c r="Y7717" s="40"/>
    </row>
    <row r="7718" spans="24:25" x14ac:dyDescent="0.35">
      <c r="X7718" s="40"/>
      <c r="Y7718" s="40"/>
    </row>
    <row r="7719" spans="24:25" x14ac:dyDescent="0.35">
      <c r="X7719" s="40"/>
      <c r="Y7719" s="40"/>
    </row>
    <row r="7720" spans="24:25" x14ac:dyDescent="0.35">
      <c r="X7720" s="40"/>
      <c r="Y7720" s="40"/>
    </row>
    <row r="7721" spans="24:25" x14ac:dyDescent="0.35">
      <c r="X7721" s="40"/>
      <c r="Y7721" s="40"/>
    </row>
    <row r="7722" spans="24:25" x14ac:dyDescent="0.35">
      <c r="X7722" s="40"/>
      <c r="Y7722" s="40"/>
    </row>
    <row r="7723" spans="24:25" x14ac:dyDescent="0.35">
      <c r="X7723" s="40"/>
      <c r="Y7723" s="40"/>
    </row>
    <row r="7724" spans="24:25" x14ac:dyDescent="0.35">
      <c r="X7724" s="40"/>
      <c r="Y7724" s="40"/>
    </row>
    <row r="7725" spans="24:25" x14ac:dyDescent="0.35">
      <c r="X7725" s="40"/>
      <c r="Y7725" s="40"/>
    </row>
    <row r="7726" spans="24:25" x14ac:dyDescent="0.35">
      <c r="X7726" s="40"/>
      <c r="Y7726" s="40"/>
    </row>
    <row r="7727" spans="24:25" x14ac:dyDescent="0.35">
      <c r="X7727" s="40"/>
      <c r="Y7727" s="40"/>
    </row>
    <row r="7728" spans="24:25" x14ac:dyDescent="0.35">
      <c r="X7728" s="40"/>
      <c r="Y7728" s="40"/>
    </row>
    <row r="7729" spans="24:25" x14ac:dyDescent="0.35">
      <c r="X7729" s="40"/>
      <c r="Y7729" s="40"/>
    </row>
    <row r="7730" spans="24:25" x14ac:dyDescent="0.35">
      <c r="X7730" s="40"/>
      <c r="Y7730" s="40"/>
    </row>
    <row r="7731" spans="24:25" x14ac:dyDescent="0.35">
      <c r="X7731" s="40"/>
      <c r="Y7731" s="40"/>
    </row>
    <row r="7732" spans="24:25" x14ac:dyDescent="0.35">
      <c r="X7732" s="40"/>
      <c r="Y7732" s="40"/>
    </row>
    <row r="7733" spans="24:25" x14ac:dyDescent="0.35">
      <c r="X7733" s="40"/>
      <c r="Y7733" s="40"/>
    </row>
    <row r="7734" spans="24:25" x14ac:dyDescent="0.35">
      <c r="X7734" s="40"/>
      <c r="Y7734" s="40"/>
    </row>
    <row r="7735" spans="24:25" x14ac:dyDescent="0.35">
      <c r="X7735" s="40"/>
      <c r="Y7735" s="40"/>
    </row>
    <row r="7736" spans="24:25" x14ac:dyDescent="0.35">
      <c r="X7736" s="40"/>
      <c r="Y7736" s="40"/>
    </row>
    <row r="7737" spans="24:25" x14ac:dyDescent="0.35">
      <c r="X7737" s="40"/>
      <c r="Y7737" s="40"/>
    </row>
    <row r="7738" spans="24:25" x14ac:dyDescent="0.35">
      <c r="X7738" s="40"/>
      <c r="Y7738" s="40"/>
    </row>
    <row r="7739" spans="24:25" x14ac:dyDescent="0.35">
      <c r="X7739" s="40"/>
      <c r="Y7739" s="40"/>
    </row>
    <row r="7740" spans="24:25" x14ac:dyDescent="0.35">
      <c r="X7740" s="40"/>
      <c r="Y7740" s="40"/>
    </row>
    <row r="7741" spans="24:25" x14ac:dyDescent="0.35">
      <c r="X7741" s="40"/>
      <c r="Y7741" s="40"/>
    </row>
    <row r="7742" spans="24:25" x14ac:dyDescent="0.35">
      <c r="X7742" s="40"/>
      <c r="Y7742" s="40"/>
    </row>
    <row r="7743" spans="24:25" x14ac:dyDescent="0.35">
      <c r="X7743" s="40"/>
      <c r="Y7743" s="40"/>
    </row>
    <row r="7744" spans="24:25" x14ac:dyDescent="0.35">
      <c r="X7744" s="40"/>
      <c r="Y7744" s="40"/>
    </row>
    <row r="7745" spans="24:25" x14ac:dyDescent="0.35">
      <c r="X7745" s="40"/>
      <c r="Y7745" s="40"/>
    </row>
    <row r="7746" spans="24:25" x14ac:dyDescent="0.35">
      <c r="X7746" s="40"/>
      <c r="Y7746" s="40"/>
    </row>
    <row r="7747" spans="24:25" x14ac:dyDescent="0.35">
      <c r="X7747" s="40"/>
      <c r="Y7747" s="40"/>
    </row>
    <row r="7748" spans="24:25" x14ac:dyDescent="0.35">
      <c r="X7748" s="40"/>
      <c r="Y7748" s="40"/>
    </row>
    <row r="7749" spans="24:25" x14ac:dyDescent="0.35">
      <c r="X7749" s="40"/>
      <c r="Y7749" s="40"/>
    </row>
    <row r="7750" spans="24:25" x14ac:dyDescent="0.35">
      <c r="X7750" s="40"/>
      <c r="Y7750" s="40"/>
    </row>
    <row r="7751" spans="24:25" x14ac:dyDescent="0.35">
      <c r="X7751" s="40"/>
      <c r="Y7751" s="40"/>
    </row>
    <row r="7752" spans="24:25" x14ac:dyDescent="0.35">
      <c r="X7752" s="40"/>
      <c r="Y7752" s="40"/>
    </row>
    <row r="7753" spans="24:25" x14ac:dyDescent="0.35">
      <c r="X7753" s="40"/>
      <c r="Y7753" s="40"/>
    </row>
    <row r="7754" spans="24:25" x14ac:dyDescent="0.35">
      <c r="X7754" s="40"/>
      <c r="Y7754" s="40"/>
    </row>
    <row r="7755" spans="24:25" x14ac:dyDescent="0.35">
      <c r="X7755" s="40"/>
      <c r="Y7755" s="40"/>
    </row>
    <row r="7756" spans="24:25" x14ac:dyDescent="0.35">
      <c r="X7756" s="40"/>
      <c r="Y7756" s="40"/>
    </row>
    <row r="7757" spans="24:25" x14ac:dyDescent="0.35">
      <c r="X7757" s="40"/>
      <c r="Y7757" s="40"/>
    </row>
    <row r="7758" spans="24:25" x14ac:dyDescent="0.35">
      <c r="X7758" s="40"/>
      <c r="Y7758" s="40"/>
    </row>
    <row r="7759" spans="24:25" x14ac:dyDescent="0.35">
      <c r="X7759" s="40"/>
      <c r="Y7759" s="40"/>
    </row>
    <row r="7760" spans="24:25" x14ac:dyDescent="0.35">
      <c r="X7760" s="40"/>
      <c r="Y7760" s="40"/>
    </row>
    <row r="7761" spans="24:25" x14ac:dyDescent="0.35">
      <c r="X7761" s="40"/>
      <c r="Y7761" s="40"/>
    </row>
    <row r="7762" spans="24:25" x14ac:dyDescent="0.35">
      <c r="X7762" s="40"/>
      <c r="Y7762" s="40"/>
    </row>
    <row r="7763" spans="24:25" x14ac:dyDescent="0.35">
      <c r="X7763" s="40"/>
      <c r="Y7763" s="40"/>
    </row>
    <row r="7764" spans="24:25" x14ac:dyDescent="0.35">
      <c r="X7764" s="40"/>
      <c r="Y7764" s="40"/>
    </row>
    <row r="7765" spans="24:25" x14ac:dyDescent="0.35">
      <c r="X7765" s="40"/>
      <c r="Y7765" s="40"/>
    </row>
    <row r="7766" spans="24:25" x14ac:dyDescent="0.35">
      <c r="X7766" s="40"/>
      <c r="Y7766" s="40"/>
    </row>
    <row r="7767" spans="24:25" x14ac:dyDescent="0.35">
      <c r="X7767" s="40"/>
      <c r="Y7767" s="40"/>
    </row>
    <row r="7768" spans="24:25" x14ac:dyDescent="0.35">
      <c r="X7768" s="40"/>
      <c r="Y7768" s="40"/>
    </row>
    <row r="7769" spans="24:25" x14ac:dyDescent="0.35">
      <c r="X7769" s="40"/>
      <c r="Y7769" s="40"/>
    </row>
    <row r="7770" spans="24:25" x14ac:dyDescent="0.35">
      <c r="X7770" s="40"/>
      <c r="Y7770" s="40"/>
    </row>
    <row r="7771" spans="24:25" x14ac:dyDescent="0.35">
      <c r="X7771" s="40"/>
      <c r="Y7771" s="40"/>
    </row>
    <row r="7772" spans="24:25" x14ac:dyDescent="0.35">
      <c r="X7772" s="40"/>
      <c r="Y7772" s="40"/>
    </row>
    <row r="7773" spans="24:25" x14ac:dyDescent="0.35">
      <c r="X7773" s="40"/>
      <c r="Y7773" s="40"/>
    </row>
    <row r="7774" spans="24:25" x14ac:dyDescent="0.35">
      <c r="X7774" s="40"/>
      <c r="Y7774" s="40"/>
    </row>
    <row r="7775" spans="24:25" x14ac:dyDescent="0.35">
      <c r="X7775" s="40"/>
      <c r="Y7775" s="40"/>
    </row>
    <row r="7776" spans="24:25" x14ac:dyDescent="0.35">
      <c r="X7776" s="40"/>
      <c r="Y7776" s="40"/>
    </row>
    <row r="7777" spans="24:25" x14ac:dyDescent="0.35">
      <c r="X7777" s="40"/>
      <c r="Y7777" s="40"/>
    </row>
    <row r="7778" spans="24:25" x14ac:dyDescent="0.35">
      <c r="X7778" s="40"/>
      <c r="Y7778" s="40"/>
    </row>
    <row r="7779" spans="24:25" x14ac:dyDescent="0.35">
      <c r="X7779" s="40"/>
      <c r="Y7779" s="40"/>
    </row>
    <row r="7780" spans="24:25" x14ac:dyDescent="0.35">
      <c r="X7780" s="40"/>
      <c r="Y7780" s="40"/>
    </row>
    <row r="7781" spans="24:25" x14ac:dyDescent="0.35">
      <c r="X7781" s="40"/>
      <c r="Y7781" s="40"/>
    </row>
    <row r="7782" spans="24:25" x14ac:dyDescent="0.35">
      <c r="X7782" s="40"/>
      <c r="Y7782" s="40"/>
    </row>
    <row r="7783" spans="24:25" x14ac:dyDescent="0.35">
      <c r="X7783" s="40"/>
      <c r="Y7783" s="40"/>
    </row>
    <row r="7784" spans="24:25" x14ac:dyDescent="0.35">
      <c r="X7784" s="40"/>
      <c r="Y7784" s="40"/>
    </row>
    <row r="7785" spans="24:25" x14ac:dyDescent="0.35">
      <c r="X7785" s="40"/>
      <c r="Y7785" s="40"/>
    </row>
    <row r="7786" spans="24:25" x14ac:dyDescent="0.35">
      <c r="X7786" s="40"/>
      <c r="Y7786" s="40"/>
    </row>
    <row r="7787" spans="24:25" x14ac:dyDescent="0.35">
      <c r="X7787" s="40"/>
      <c r="Y7787" s="40"/>
    </row>
    <row r="7788" spans="24:25" x14ac:dyDescent="0.35">
      <c r="X7788" s="40"/>
      <c r="Y7788" s="40"/>
    </row>
    <row r="7789" spans="24:25" x14ac:dyDescent="0.35">
      <c r="X7789" s="40"/>
      <c r="Y7789" s="40"/>
    </row>
    <row r="7790" spans="24:25" x14ac:dyDescent="0.35">
      <c r="X7790" s="40"/>
      <c r="Y7790" s="40"/>
    </row>
    <row r="7791" spans="24:25" x14ac:dyDescent="0.35">
      <c r="X7791" s="40"/>
      <c r="Y7791" s="40"/>
    </row>
    <row r="7792" spans="24:25" x14ac:dyDescent="0.35">
      <c r="X7792" s="40"/>
      <c r="Y7792" s="40"/>
    </row>
    <row r="7793" spans="24:25" x14ac:dyDescent="0.35">
      <c r="X7793" s="40"/>
      <c r="Y7793" s="40"/>
    </row>
    <row r="7794" spans="24:25" x14ac:dyDescent="0.35">
      <c r="X7794" s="40"/>
      <c r="Y7794" s="40"/>
    </row>
    <row r="7795" spans="24:25" x14ac:dyDescent="0.35">
      <c r="X7795" s="40"/>
      <c r="Y7795" s="40"/>
    </row>
    <row r="7796" spans="24:25" x14ac:dyDescent="0.35">
      <c r="X7796" s="40"/>
      <c r="Y7796" s="40"/>
    </row>
    <row r="7797" spans="24:25" x14ac:dyDescent="0.35">
      <c r="X7797" s="40"/>
      <c r="Y7797" s="40"/>
    </row>
    <row r="7798" spans="24:25" x14ac:dyDescent="0.35">
      <c r="X7798" s="40"/>
      <c r="Y7798" s="40"/>
    </row>
    <row r="7799" spans="24:25" x14ac:dyDescent="0.35">
      <c r="X7799" s="40"/>
      <c r="Y7799" s="40"/>
    </row>
    <row r="7800" spans="24:25" x14ac:dyDescent="0.35">
      <c r="X7800" s="40"/>
      <c r="Y7800" s="40"/>
    </row>
    <row r="7801" spans="24:25" x14ac:dyDescent="0.35">
      <c r="X7801" s="40"/>
      <c r="Y7801" s="40"/>
    </row>
    <row r="7802" spans="24:25" x14ac:dyDescent="0.35">
      <c r="X7802" s="40"/>
      <c r="Y7802" s="40"/>
    </row>
    <row r="7803" spans="24:25" x14ac:dyDescent="0.35">
      <c r="X7803" s="40"/>
      <c r="Y7803" s="40"/>
    </row>
    <row r="7804" spans="24:25" x14ac:dyDescent="0.35">
      <c r="X7804" s="40"/>
      <c r="Y7804" s="40"/>
    </row>
    <row r="7805" spans="24:25" x14ac:dyDescent="0.35">
      <c r="X7805" s="40"/>
      <c r="Y7805" s="40"/>
    </row>
    <row r="7806" spans="24:25" x14ac:dyDescent="0.35">
      <c r="X7806" s="40"/>
      <c r="Y7806" s="40"/>
    </row>
    <row r="7807" spans="24:25" x14ac:dyDescent="0.35">
      <c r="X7807" s="40"/>
      <c r="Y7807" s="40"/>
    </row>
    <row r="7808" spans="24:25" x14ac:dyDescent="0.35">
      <c r="X7808" s="40"/>
      <c r="Y7808" s="40"/>
    </row>
    <row r="7809" spans="24:25" x14ac:dyDescent="0.35">
      <c r="X7809" s="40"/>
      <c r="Y7809" s="40"/>
    </row>
    <row r="7810" spans="24:25" x14ac:dyDescent="0.35">
      <c r="X7810" s="40"/>
      <c r="Y7810" s="40"/>
    </row>
    <row r="7811" spans="24:25" x14ac:dyDescent="0.35">
      <c r="X7811" s="40"/>
      <c r="Y7811" s="40"/>
    </row>
    <row r="7812" spans="24:25" x14ac:dyDescent="0.35">
      <c r="X7812" s="40"/>
      <c r="Y7812" s="40"/>
    </row>
    <row r="7813" spans="24:25" x14ac:dyDescent="0.35">
      <c r="X7813" s="40"/>
      <c r="Y7813" s="40"/>
    </row>
    <row r="7814" spans="24:25" x14ac:dyDescent="0.35">
      <c r="X7814" s="40"/>
      <c r="Y7814" s="40"/>
    </row>
    <row r="7815" spans="24:25" x14ac:dyDescent="0.35">
      <c r="X7815" s="40"/>
      <c r="Y7815" s="40"/>
    </row>
    <row r="7816" spans="24:25" x14ac:dyDescent="0.35">
      <c r="X7816" s="40"/>
      <c r="Y7816" s="40"/>
    </row>
    <row r="7817" spans="24:25" x14ac:dyDescent="0.35">
      <c r="X7817" s="40"/>
      <c r="Y7817" s="40"/>
    </row>
    <row r="7818" spans="24:25" x14ac:dyDescent="0.35">
      <c r="X7818" s="40"/>
      <c r="Y7818" s="40"/>
    </row>
    <row r="7819" spans="24:25" x14ac:dyDescent="0.35">
      <c r="X7819" s="40"/>
      <c r="Y7819" s="40"/>
    </row>
    <row r="7820" spans="24:25" x14ac:dyDescent="0.35">
      <c r="X7820" s="40"/>
      <c r="Y7820" s="40"/>
    </row>
    <row r="7821" spans="24:25" x14ac:dyDescent="0.35">
      <c r="X7821" s="40"/>
      <c r="Y7821" s="40"/>
    </row>
    <row r="7822" spans="24:25" x14ac:dyDescent="0.35">
      <c r="X7822" s="40"/>
      <c r="Y7822" s="40"/>
    </row>
    <row r="7823" spans="24:25" x14ac:dyDescent="0.35">
      <c r="X7823" s="40"/>
      <c r="Y7823" s="40"/>
    </row>
    <row r="7824" spans="24:25" x14ac:dyDescent="0.35">
      <c r="X7824" s="40"/>
      <c r="Y7824" s="40"/>
    </row>
    <row r="7825" spans="24:25" x14ac:dyDescent="0.35">
      <c r="X7825" s="40"/>
      <c r="Y7825" s="40"/>
    </row>
    <row r="7826" spans="24:25" x14ac:dyDescent="0.35">
      <c r="X7826" s="40"/>
      <c r="Y7826" s="40"/>
    </row>
    <row r="7827" spans="24:25" x14ac:dyDescent="0.35">
      <c r="X7827" s="40"/>
      <c r="Y7827" s="40"/>
    </row>
    <row r="7828" spans="24:25" x14ac:dyDescent="0.35">
      <c r="X7828" s="40"/>
      <c r="Y7828" s="40"/>
    </row>
    <row r="7829" spans="24:25" x14ac:dyDescent="0.35">
      <c r="X7829" s="40"/>
      <c r="Y7829" s="40"/>
    </row>
    <row r="7830" spans="24:25" x14ac:dyDescent="0.35">
      <c r="X7830" s="40"/>
      <c r="Y7830" s="40"/>
    </row>
    <row r="7831" spans="24:25" x14ac:dyDescent="0.35">
      <c r="X7831" s="40"/>
      <c r="Y7831" s="40"/>
    </row>
    <row r="7832" spans="24:25" x14ac:dyDescent="0.35">
      <c r="X7832" s="40"/>
      <c r="Y7832" s="40"/>
    </row>
    <row r="7833" spans="24:25" x14ac:dyDescent="0.35">
      <c r="X7833" s="40"/>
      <c r="Y7833" s="40"/>
    </row>
    <row r="7834" spans="24:25" x14ac:dyDescent="0.35">
      <c r="X7834" s="40"/>
      <c r="Y7834" s="40"/>
    </row>
    <row r="7835" spans="24:25" x14ac:dyDescent="0.35">
      <c r="X7835" s="40"/>
      <c r="Y7835" s="40"/>
    </row>
    <row r="7836" spans="24:25" x14ac:dyDescent="0.35">
      <c r="X7836" s="40"/>
      <c r="Y7836" s="40"/>
    </row>
    <row r="7837" spans="24:25" x14ac:dyDescent="0.35">
      <c r="X7837" s="40"/>
      <c r="Y7837" s="40"/>
    </row>
    <row r="7838" spans="24:25" x14ac:dyDescent="0.35">
      <c r="X7838" s="40"/>
      <c r="Y7838" s="40"/>
    </row>
    <row r="7839" spans="24:25" x14ac:dyDescent="0.35">
      <c r="X7839" s="40"/>
      <c r="Y7839" s="40"/>
    </row>
    <row r="7840" spans="24:25" x14ac:dyDescent="0.35">
      <c r="X7840" s="40"/>
      <c r="Y7840" s="40"/>
    </row>
    <row r="7841" spans="24:25" x14ac:dyDescent="0.35">
      <c r="X7841" s="40"/>
      <c r="Y7841" s="40"/>
    </row>
    <row r="7842" spans="24:25" x14ac:dyDescent="0.35">
      <c r="X7842" s="40"/>
      <c r="Y7842" s="40"/>
    </row>
    <row r="7843" spans="24:25" x14ac:dyDescent="0.35">
      <c r="X7843" s="40"/>
      <c r="Y7843" s="40"/>
    </row>
    <row r="7844" spans="24:25" x14ac:dyDescent="0.35">
      <c r="X7844" s="40"/>
      <c r="Y7844" s="40"/>
    </row>
    <row r="7845" spans="24:25" x14ac:dyDescent="0.35">
      <c r="X7845" s="40"/>
      <c r="Y7845" s="40"/>
    </row>
    <row r="7846" spans="24:25" x14ac:dyDescent="0.35">
      <c r="X7846" s="40"/>
      <c r="Y7846" s="40"/>
    </row>
    <row r="7847" spans="24:25" x14ac:dyDescent="0.35">
      <c r="X7847" s="40"/>
      <c r="Y7847" s="40"/>
    </row>
    <row r="7848" spans="24:25" x14ac:dyDescent="0.35">
      <c r="X7848" s="40"/>
      <c r="Y7848" s="40"/>
    </row>
    <row r="7849" spans="24:25" x14ac:dyDescent="0.35">
      <c r="X7849" s="40"/>
      <c r="Y7849" s="40"/>
    </row>
    <row r="7850" spans="24:25" x14ac:dyDescent="0.35">
      <c r="X7850" s="40"/>
      <c r="Y7850" s="40"/>
    </row>
    <row r="7851" spans="24:25" x14ac:dyDescent="0.35">
      <c r="X7851" s="40"/>
      <c r="Y7851" s="40"/>
    </row>
    <row r="7852" spans="24:25" x14ac:dyDescent="0.35">
      <c r="X7852" s="40"/>
      <c r="Y7852" s="40"/>
    </row>
    <row r="7853" spans="24:25" x14ac:dyDescent="0.35">
      <c r="X7853" s="40"/>
      <c r="Y7853" s="40"/>
    </row>
    <row r="7854" spans="24:25" x14ac:dyDescent="0.35">
      <c r="X7854" s="40"/>
      <c r="Y7854" s="40"/>
    </row>
    <row r="7855" spans="24:25" x14ac:dyDescent="0.35">
      <c r="X7855" s="40"/>
      <c r="Y7855" s="40"/>
    </row>
    <row r="7856" spans="24:25" x14ac:dyDescent="0.35">
      <c r="X7856" s="40"/>
      <c r="Y7856" s="40"/>
    </row>
    <row r="7857" spans="24:25" x14ac:dyDescent="0.35">
      <c r="X7857" s="40"/>
      <c r="Y7857" s="40"/>
    </row>
    <row r="7858" spans="24:25" x14ac:dyDescent="0.35">
      <c r="X7858" s="40"/>
      <c r="Y7858" s="40"/>
    </row>
    <row r="7859" spans="24:25" x14ac:dyDescent="0.35">
      <c r="X7859" s="40"/>
      <c r="Y7859" s="40"/>
    </row>
    <row r="7860" spans="24:25" x14ac:dyDescent="0.35">
      <c r="X7860" s="40"/>
      <c r="Y7860" s="40"/>
    </row>
    <row r="7861" spans="24:25" x14ac:dyDescent="0.35">
      <c r="X7861" s="40"/>
      <c r="Y7861" s="40"/>
    </row>
    <row r="7862" spans="24:25" x14ac:dyDescent="0.35">
      <c r="X7862" s="40"/>
      <c r="Y7862" s="40"/>
    </row>
    <row r="7863" spans="24:25" x14ac:dyDescent="0.35">
      <c r="X7863" s="40"/>
      <c r="Y7863" s="40"/>
    </row>
    <row r="7864" spans="24:25" x14ac:dyDescent="0.35">
      <c r="X7864" s="40"/>
      <c r="Y7864" s="40"/>
    </row>
    <row r="7865" spans="24:25" x14ac:dyDescent="0.35">
      <c r="X7865" s="40"/>
      <c r="Y7865" s="40"/>
    </row>
    <row r="7866" spans="24:25" x14ac:dyDescent="0.35">
      <c r="X7866" s="40"/>
      <c r="Y7866" s="40"/>
    </row>
    <row r="7867" spans="24:25" x14ac:dyDescent="0.35">
      <c r="X7867" s="40"/>
      <c r="Y7867" s="40"/>
    </row>
    <row r="7868" spans="24:25" x14ac:dyDescent="0.35">
      <c r="X7868" s="40"/>
      <c r="Y7868" s="40"/>
    </row>
    <row r="7869" spans="24:25" x14ac:dyDescent="0.35">
      <c r="X7869" s="40"/>
      <c r="Y7869" s="40"/>
    </row>
    <row r="7870" spans="24:25" x14ac:dyDescent="0.35">
      <c r="X7870" s="40"/>
      <c r="Y7870" s="40"/>
    </row>
    <row r="7871" spans="24:25" x14ac:dyDescent="0.35">
      <c r="X7871" s="40"/>
      <c r="Y7871" s="40"/>
    </row>
    <row r="7872" spans="24:25" x14ac:dyDescent="0.35">
      <c r="X7872" s="40"/>
      <c r="Y7872" s="40"/>
    </row>
    <row r="7873" spans="24:25" x14ac:dyDescent="0.35">
      <c r="X7873" s="40"/>
      <c r="Y7873" s="40"/>
    </row>
    <row r="7874" spans="24:25" x14ac:dyDescent="0.35">
      <c r="X7874" s="40"/>
      <c r="Y7874" s="40"/>
    </row>
    <row r="7875" spans="24:25" x14ac:dyDescent="0.35">
      <c r="X7875" s="40"/>
      <c r="Y7875" s="40"/>
    </row>
    <row r="7876" spans="24:25" x14ac:dyDescent="0.35">
      <c r="X7876" s="40"/>
      <c r="Y7876" s="40"/>
    </row>
    <row r="7877" spans="24:25" x14ac:dyDescent="0.35">
      <c r="X7877" s="40"/>
      <c r="Y7877" s="40"/>
    </row>
    <row r="7878" spans="24:25" x14ac:dyDescent="0.35">
      <c r="X7878" s="40"/>
      <c r="Y7878" s="40"/>
    </row>
    <row r="7879" spans="24:25" x14ac:dyDescent="0.35">
      <c r="X7879" s="40"/>
      <c r="Y7879" s="40"/>
    </row>
    <row r="7880" spans="24:25" x14ac:dyDescent="0.35">
      <c r="X7880" s="40"/>
      <c r="Y7880" s="40"/>
    </row>
    <row r="7881" spans="24:25" x14ac:dyDescent="0.35">
      <c r="X7881" s="40"/>
      <c r="Y7881" s="40"/>
    </row>
    <row r="7882" spans="24:25" x14ac:dyDescent="0.35">
      <c r="X7882" s="40"/>
      <c r="Y7882" s="40"/>
    </row>
    <row r="7883" spans="24:25" x14ac:dyDescent="0.35">
      <c r="X7883" s="40"/>
      <c r="Y7883" s="40"/>
    </row>
    <row r="7884" spans="24:25" x14ac:dyDescent="0.35">
      <c r="X7884" s="40"/>
      <c r="Y7884" s="40"/>
    </row>
    <row r="7885" spans="24:25" x14ac:dyDescent="0.35">
      <c r="X7885" s="40"/>
      <c r="Y7885" s="40"/>
    </row>
    <row r="7886" spans="24:25" x14ac:dyDescent="0.35">
      <c r="X7886" s="40"/>
      <c r="Y7886" s="40"/>
    </row>
    <row r="7887" spans="24:25" x14ac:dyDescent="0.35">
      <c r="X7887" s="40"/>
      <c r="Y7887" s="40"/>
    </row>
    <row r="7888" spans="24:25" x14ac:dyDescent="0.35">
      <c r="X7888" s="40"/>
      <c r="Y7888" s="40"/>
    </row>
    <row r="7889" spans="24:25" x14ac:dyDescent="0.35">
      <c r="X7889" s="40"/>
      <c r="Y7889" s="40"/>
    </row>
    <row r="7890" spans="24:25" x14ac:dyDescent="0.35">
      <c r="X7890" s="40"/>
      <c r="Y7890" s="40"/>
    </row>
    <row r="7891" spans="24:25" x14ac:dyDescent="0.35">
      <c r="X7891" s="40"/>
      <c r="Y7891" s="40"/>
    </row>
    <row r="7892" spans="24:25" x14ac:dyDescent="0.35">
      <c r="X7892" s="40"/>
      <c r="Y7892" s="40"/>
    </row>
    <row r="7893" spans="24:25" x14ac:dyDescent="0.35">
      <c r="X7893" s="40"/>
      <c r="Y7893" s="40"/>
    </row>
    <row r="7894" spans="24:25" x14ac:dyDescent="0.35">
      <c r="X7894" s="40"/>
      <c r="Y7894" s="40"/>
    </row>
    <row r="7895" spans="24:25" x14ac:dyDescent="0.35">
      <c r="X7895" s="40"/>
      <c r="Y7895" s="40"/>
    </row>
    <row r="7896" spans="24:25" x14ac:dyDescent="0.35">
      <c r="X7896" s="40"/>
      <c r="Y7896" s="40"/>
    </row>
    <row r="7897" spans="24:25" x14ac:dyDescent="0.35">
      <c r="X7897" s="40"/>
      <c r="Y7897" s="40"/>
    </row>
    <row r="7898" spans="24:25" x14ac:dyDescent="0.35">
      <c r="X7898" s="40"/>
      <c r="Y7898" s="40"/>
    </row>
    <row r="7899" spans="24:25" x14ac:dyDescent="0.35">
      <c r="X7899" s="40"/>
      <c r="Y7899" s="40"/>
    </row>
    <row r="7900" spans="24:25" x14ac:dyDescent="0.35">
      <c r="X7900" s="40"/>
      <c r="Y7900" s="40"/>
    </row>
    <row r="7901" spans="24:25" x14ac:dyDescent="0.35">
      <c r="X7901" s="40"/>
      <c r="Y7901" s="40"/>
    </row>
    <row r="7902" spans="24:25" x14ac:dyDescent="0.35">
      <c r="X7902" s="40"/>
      <c r="Y7902" s="40"/>
    </row>
    <row r="7903" spans="24:25" x14ac:dyDescent="0.35">
      <c r="X7903" s="40"/>
      <c r="Y7903" s="40"/>
    </row>
    <row r="7904" spans="24:25" x14ac:dyDescent="0.35">
      <c r="X7904" s="40"/>
      <c r="Y7904" s="40"/>
    </row>
    <row r="7905" spans="24:25" x14ac:dyDescent="0.35">
      <c r="X7905" s="40"/>
      <c r="Y7905" s="40"/>
    </row>
    <row r="7906" spans="24:25" x14ac:dyDescent="0.35">
      <c r="X7906" s="40"/>
      <c r="Y7906" s="40"/>
    </row>
    <row r="7907" spans="24:25" x14ac:dyDescent="0.35">
      <c r="X7907" s="40"/>
      <c r="Y7907" s="40"/>
    </row>
    <row r="7908" spans="24:25" x14ac:dyDescent="0.35">
      <c r="X7908" s="40"/>
      <c r="Y7908" s="40"/>
    </row>
    <row r="7909" spans="24:25" x14ac:dyDescent="0.35">
      <c r="X7909" s="40"/>
      <c r="Y7909" s="40"/>
    </row>
    <row r="7910" spans="24:25" x14ac:dyDescent="0.35">
      <c r="X7910" s="40"/>
      <c r="Y7910" s="40"/>
    </row>
    <row r="7911" spans="24:25" x14ac:dyDescent="0.35">
      <c r="X7911" s="40"/>
      <c r="Y7911" s="40"/>
    </row>
    <row r="7912" spans="24:25" x14ac:dyDescent="0.35">
      <c r="X7912" s="40"/>
      <c r="Y7912" s="40"/>
    </row>
    <row r="7913" spans="24:25" x14ac:dyDescent="0.35">
      <c r="X7913" s="40"/>
      <c r="Y7913" s="40"/>
    </row>
    <row r="7914" spans="24:25" x14ac:dyDescent="0.35">
      <c r="X7914" s="40"/>
      <c r="Y7914" s="40"/>
    </row>
    <row r="7915" spans="24:25" x14ac:dyDescent="0.35">
      <c r="X7915" s="40"/>
      <c r="Y7915" s="40"/>
    </row>
    <row r="7916" spans="24:25" x14ac:dyDescent="0.35">
      <c r="X7916" s="40"/>
      <c r="Y7916" s="40"/>
    </row>
    <row r="7917" spans="24:25" x14ac:dyDescent="0.35">
      <c r="X7917" s="40"/>
      <c r="Y7917" s="40"/>
    </row>
    <row r="7918" spans="24:25" x14ac:dyDescent="0.35">
      <c r="X7918" s="40"/>
      <c r="Y7918" s="40"/>
    </row>
    <row r="7919" spans="24:25" x14ac:dyDescent="0.35">
      <c r="X7919" s="40"/>
      <c r="Y7919" s="40"/>
    </row>
    <row r="7920" spans="24:25" x14ac:dyDescent="0.35">
      <c r="X7920" s="40"/>
      <c r="Y7920" s="40"/>
    </row>
    <row r="7921" spans="24:25" x14ac:dyDescent="0.35">
      <c r="X7921" s="40"/>
      <c r="Y7921" s="40"/>
    </row>
    <row r="7922" spans="24:25" x14ac:dyDescent="0.35">
      <c r="X7922" s="40"/>
      <c r="Y7922" s="40"/>
    </row>
    <row r="7923" spans="24:25" x14ac:dyDescent="0.35">
      <c r="X7923" s="40"/>
      <c r="Y7923" s="40"/>
    </row>
    <row r="7924" spans="24:25" x14ac:dyDescent="0.35">
      <c r="X7924" s="40"/>
      <c r="Y7924" s="40"/>
    </row>
    <row r="7925" spans="24:25" x14ac:dyDescent="0.35">
      <c r="X7925" s="40"/>
      <c r="Y7925" s="40"/>
    </row>
    <row r="7926" spans="24:25" x14ac:dyDescent="0.35">
      <c r="X7926" s="40"/>
      <c r="Y7926" s="40"/>
    </row>
    <row r="7927" spans="24:25" x14ac:dyDescent="0.35">
      <c r="X7927" s="40"/>
      <c r="Y7927" s="40"/>
    </row>
    <row r="7928" spans="24:25" x14ac:dyDescent="0.35">
      <c r="X7928" s="40"/>
      <c r="Y7928" s="40"/>
    </row>
    <row r="7929" spans="24:25" x14ac:dyDescent="0.35">
      <c r="X7929" s="40"/>
      <c r="Y7929" s="40"/>
    </row>
    <row r="7930" spans="24:25" x14ac:dyDescent="0.35">
      <c r="X7930" s="40"/>
      <c r="Y7930" s="40"/>
    </row>
    <row r="7931" spans="24:25" x14ac:dyDescent="0.35">
      <c r="X7931" s="40"/>
      <c r="Y7931" s="40"/>
    </row>
    <row r="7932" spans="24:25" x14ac:dyDescent="0.35">
      <c r="X7932" s="40"/>
      <c r="Y7932" s="40"/>
    </row>
    <row r="7933" spans="24:25" x14ac:dyDescent="0.35">
      <c r="X7933" s="40"/>
      <c r="Y7933" s="40"/>
    </row>
    <row r="7934" spans="24:25" x14ac:dyDescent="0.35">
      <c r="X7934" s="40"/>
      <c r="Y7934" s="40"/>
    </row>
    <row r="7935" spans="24:25" x14ac:dyDescent="0.35">
      <c r="X7935" s="40"/>
      <c r="Y7935" s="40"/>
    </row>
    <row r="7936" spans="24:25" x14ac:dyDescent="0.35">
      <c r="X7936" s="40"/>
      <c r="Y7936" s="40"/>
    </row>
    <row r="7937" spans="24:25" x14ac:dyDescent="0.35">
      <c r="X7937" s="40"/>
      <c r="Y7937" s="40"/>
    </row>
    <row r="7938" spans="24:25" x14ac:dyDescent="0.35">
      <c r="X7938" s="40"/>
      <c r="Y7938" s="40"/>
    </row>
    <row r="7939" spans="24:25" x14ac:dyDescent="0.35">
      <c r="X7939" s="40"/>
      <c r="Y7939" s="40"/>
    </row>
    <row r="7940" spans="24:25" x14ac:dyDescent="0.35">
      <c r="X7940" s="40"/>
      <c r="Y7940" s="40"/>
    </row>
    <row r="7941" spans="24:25" x14ac:dyDescent="0.35">
      <c r="X7941" s="40"/>
      <c r="Y7941" s="40"/>
    </row>
    <row r="7942" spans="24:25" x14ac:dyDescent="0.35">
      <c r="X7942" s="40"/>
      <c r="Y7942" s="40"/>
    </row>
    <row r="7943" spans="24:25" x14ac:dyDescent="0.35">
      <c r="X7943" s="40"/>
      <c r="Y7943" s="40"/>
    </row>
    <row r="7944" spans="24:25" x14ac:dyDescent="0.35">
      <c r="X7944" s="40"/>
      <c r="Y7944" s="40"/>
    </row>
    <row r="7945" spans="24:25" x14ac:dyDescent="0.35">
      <c r="X7945" s="40"/>
      <c r="Y7945" s="40"/>
    </row>
    <row r="7946" spans="24:25" x14ac:dyDescent="0.35">
      <c r="X7946" s="40"/>
      <c r="Y7946" s="40"/>
    </row>
    <row r="7947" spans="24:25" x14ac:dyDescent="0.35">
      <c r="X7947" s="40"/>
      <c r="Y7947" s="40"/>
    </row>
    <row r="7948" spans="24:25" x14ac:dyDescent="0.35">
      <c r="X7948" s="40"/>
      <c r="Y7948" s="40"/>
    </row>
    <row r="7949" spans="24:25" x14ac:dyDescent="0.35">
      <c r="X7949" s="40"/>
      <c r="Y7949" s="40"/>
    </row>
    <row r="7950" spans="24:25" x14ac:dyDescent="0.35">
      <c r="X7950" s="40"/>
      <c r="Y7950" s="40"/>
    </row>
    <row r="7951" spans="24:25" x14ac:dyDescent="0.35">
      <c r="X7951" s="40"/>
      <c r="Y7951" s="40"/>
    </row>
    <row r="7952" spans="24:25" x14ac:dyDescent="0.35">
      <c r="X7952" s="40"/>
      <c r="Y7952" s="40"/>
    </row>
    <row r="7953" spans="24:25" x14ac:dyDescent="0.35">
      <c r="X7953" s="40"/>
      <c r="Y7953" s="40"/>
    </row>
    <row r="7954" spans="24:25" x14ac:dyDescent="0.35">
      <c r="X7954" s="40"/>
      <c r="Y7954" s="40"/>
    </row>
    <row r="7955" spans="24:25" x14ac:dyDescent="0.35">
      <c r="X7955" s="40"/>
      <c r="Y7955" s="40"/>
    </row>
    <row r="7956" spans="24:25" x14ac:dyDescent="0.35">
      <c r="X7956" s="40"/>
      <c r="Y7956" s="40"/>
    </row>
    <row r="7957" spans="24:25" x14ac:dyDescent="0.35">
      <c r="X7957" s="40"/>
      <c r="Y7957" s="40"/>
    </row>
    <row r="7958" spans="24:25" x14ac:dyDescent="0.35">
      <c r="X7958" s="40"/>
      <c r="Y7958" s="40"/>
    </row>
    <row r="7959" spans="24:25" x14ac:dyDescent="0.35">
      <c r="X7959" s="40"/>
      <c r="Y7959" s="40"/>
    </row>
    <row r="7960" spans="24:25" x14ac:dyDescent="0.35">
      <c r="X7960" s="40"/>
      <c r="Y7960" s="40"/>
    </row>
    <row r="7961" spans="24:25" x14ac:dyDescent="0.35">
      <c r="X7961" s="40"/>
      <c r="Y7961" s="40"/>
    </row>
    <row r="7962" spans="24:25" x14ac:dyDescent="0.35">
      <c r="X7962" s="40"/>
      <c r="Y7962" s="40"/>
    </row>
    <row r="7963" spans="24:25" x14ac:dyDescent="0.35">
      <c r="X7963" s="40"/>
      <c r="Y7963" s="40"/>
    </row>
    <row r="7964" spans="24:25" x14ac:dyDescent="0.35">
      <c r="X7964" s="40"/>
      <c r="Y7964" s="40"/>
    </row>
    <row r="7965" spans="24:25" x14ac:dyDescent="0.35">
      <c r="X7965" s="40"/>
      <c r="Y7965" s="40"/>
    </row>
    <row r="7966" spans="24:25" x14ac:dyDescent="0.35">
      <c r="X7966" s="40"/>
      <c r="Y7966" s="40"/>
    </row>
    <row r="7967" spans="24:25" x14ac:dyDescent="0.35">
      <c r="X7967" s="40"/>
      <c r="Y7967" s="40"/>
    </row>
    <row r="7968" spans="24:25" x14ac:dyDescent="0.35">
      <c r="X7968" s="40"/>
      <c r="Y7968" s="40"/>
    </row>
    <row r="7969" spans="24:25" x14ac:dyDescent="0.35">
      <c r="X7969" s="40"/>
      <c r="Y7969" s="40"/>
    </row>
    <row r="7970" spans="24:25" x14ac:dyDescent="0.35">
      <c r="X7970" s="40"/>
      <c r="Y7970" s="40"/>
    </row>
    <row r="7971" spans="24:25" x14ac:dyDescent="0.35">
      <c r="X7971" s="40"/>
      <c r="Y7971" s="40"/>
    </row>
    <row r="7972" spans="24:25" x14ac:dyDescent="0.35">
      <c r="X7972" s="40"/>
      <c r="Y7972" s="40"/>
    </row>
    <row r="7973" spans="24:25" x14ac:dyDescent="0.35">
      <c r="X7973" s="40"/>
      <c r="Y7973" s="40"/>
    </row>
    <row r="7974" spans="24:25" x14ac:dyDescent="0.35">
      <c r="X7974" s="40"/>
      <c r="Y7974" s="40"/>
    </row>
    <row r="7975" spans="24:25" x14ac:dyDescent="0.35">
      <c r="X7975" s="40"/>
      <c r="Y7975" s="40"/>
    </row>
    <row r="7976" spans="24:25" x14ac:dyDescent="0.35">
      <c r="X7976" s="40"/>
      <c r="Y7976" s="40"/>
    </row>
    <row r="7977" spans="24:25" x14ac:dyDescent="0.35">
      <c r="X7977" s="40"/>
      <c r="Y7977" s="40"/>
    </row>
    <row r="7978" spans="24:25" x14ac:dyDescent="0.35">
      <c r="X7978" s="40"/>
      <c r="Y7978" s="40"/>
    </row>
    <row r="7979" spans="24:25" x14ac:dyDescent="0.35">
      <c r="X7979" s="40"/>
      <c r="Y7979" s="40"/>
    </row>
    <row r="7980" spans="24:25" x14ac:dyDescent="0.35">
      <c r="X7980" s="40"/>
      <c r="Y7980" s="40"/>
    </row>
    <row r="7981" spans="24:25" x14ac:dyDescent="0.35">
      <c r="X7981" s="40"/>
      <c r="Y7981" s="40"/>
    </row>
    <row r="7982" spans="24:25" x14ac:dyDescent="0.35">
      <c r="X7982" s="40"/>
      <c r="Y7982" s="40"/>
    </row>
    <row r="7983" spans="24:25" x14ac:dyDescent="0.35">
      <c r="X7983" s="40"/>
      <c r="Y7983" s="40"/>
    </row>
    <row r="7984" spans="24:25" x14ac:dyDescent="0.35">
      <c r="X7984" s="40"/>
      <c r="Y7984" s="40"/>
    </row>
    <row r="7985" spans="24:25" x14ac:dyDescent="0.35">
      <c r="X7985" s="40"/>
      <c r="Y7985" s="40"/>
    </row>
    <row r="7986" spans="24:25" x14ac:dyDescent="0.35">
      <c r="X7986" s="40"/>
      <c r="Y7986" s="40"/>
    </row>
    <row r="7987" spans="24:25" x14ac:dyDescent="0.35">
      <c r="X7987" s="40"/>
      <c r="Y7987" s="40"/>
    </row>
    <row r="7988" spans="24:25" x14ac:dyDescent="0.35">
      <c r="X7988" s="40"/>
      <c r="Y7988" s="40"/>
    </row>
    <row r="7989" spans="24:25" x14ac:dyDescent="0.35">
      <c r="X7989" s="40"/>
      <c r="Y7989" s="40"/>
    </row>
    <row r="7990" spans="24:25" x14ac:dyDescent="0.35">
      <c r="X7990" s="40"/>
      <c r="Y7990" s="40"/>
    </row>
    <row r="7991" spans="24:25" x14ac:dyDescent="0.35">
      <c r="X7991" s="40"/>
      <c r="Y7991" s="40"/>
    </row>
    <row r="7992" spans="24:25" x14ac:dyDescent="0.35">
      <c r="X7992" s="40"/>
      <c r="Y7992" s="40"/>
    </row>
    <row r="7993" spans="24:25" x14ac:dyDescent="0.35">
      <c r="X7993" s="40"/>
      <c r="Y7993" s="40"/>
    </row>
    <row r="7994" spans="24:25" x14ac:dyDescent="0.35">
      <c r="X7994" s="40"/>
      <c r="Y7994" s="40"/>
    </row>
    <row r="7995" spans="24:25" x14ac:dyDescent="0.35">
      <c r="X7995" s="40"/>
      <c r="Y7995" s="40"/>
    </row>
    <row r="7996" spans="24:25" x14ac:dyDescent="0.35">
      <c r="X7996" s="40"/>
      <c r="Y7996" s="40"/>
    </row>
    <row r="7997" spans="24:25" x14ac:dyDescent="0.35">
      <c r="X7997" s="40"/>
      <c r="Y7997" s="40"/>
    </row>
    <row r="7998" spans="24:25" x14ac:dyDescent="0.35">
      <c r="X7998" s="40"/>
      <c r="Y7998" s="40"/>
    </row>
    <row r="7999" spans="24:25" x14ac:dyDescent="0.35">
      <c r="X7999" s="40"/>
      <c r="Y7999" s="40"/>
    </row>
    <row r="8000" spans="24:25" x14ac:dyDescent="0.35">
      <c r="X8000" s="40"/>
      <c r="Y8000" s="40"/>
    </row>
    <row r="8001" spans="24:25" x14ac:dyDescent="0.35">
      <c r="X8001" s="40"/>
      <c r="Y8001" s="40"/>
    </row>
    <row r="8002" spans="24:25" x14ac:dyDescent="0.35">
      <c r="X8002" s="40"/>
      <c r="Y8002" s="40"/>
    </row>
    <row r="8003" spans="24:25" x14ac:dyDescent="0.35">
      <c r="X8003" s="40"/>
      <c r="Y8003" s="40"/>
    </row>
    <row r="8004" spans="24:25" x14ac:dyDescent="0.35">
      <c r="X8004" s="40"/>
      <c r="Y8004" s="40"/>
    </row>
    <row r="8005" spans="24:25" x14ac:dyDescent="0.35">
      <c r="X8005" s="40"/>
      <c r="Y8005" s="40"/>
    </row>
    <row r="8006" spans="24:25" x14ac:dyDescent="0.35">
      <c r="X8006" s="40"/>
      <c r="Y8006" s="40"/>
    </row>
    <row r="8007" spans="24:25" x14ac:dyDescent="0.35">
      <c r="X8007" s="40"/>
      <c r="Y8007" s="40"/>
    </row>
    <row r="8008" spans="24:25" x14ac:dyDescent="0.35">
      <c r="X8008" s="40"/>
      <c r="Y8008" s="40"/>
    </row>
    <row r="8009" spans="24:25" x14ac:dyDescent="0.35">
      <c r="X8009" s="40"/>
      <c r="Y8009" s="40"/>
    </row>
    <row r="8010" spans="24:25" x14ac:dyDescent="0.35">
      <c r="X8010" s="40"/>
      <c r="Y8010" s="40"/>
    </row>
    <row r="8011" spans="24:25" x14ac:dyDescent="0.35">
      <c r="X8011" s="40"/>
      <c r="Y8011" s="40"/>
    </row>
    <row r="8012" spans="24:25" x14ac:dyDescent="0.35">
      <c r="X8012" s="40"/>
      <c r="Y8012" s="40"/>
    </row>
    <row r="8013" spans="24:25" x14ac:dyDescent="0.35">
      <c r="X8013" s="40"/>
      <c r="Y8013" s="40"/>
    </row>
    <row r="8014" spans="24:25" x14ac:dyDescent="0.35">
      <c r="X8014" s="40"/>
      <c r="Y8014" s="40"/>
    </row>
    <row r="8015" spans="24:25" x14ac:dyDescent="0.35">
      <c r="X8015" s="40"/>
      <c r="Y8015" s="40"/>
    </row>
    <row r="8016" spans="24:25" x14ac:dyDescent="0.35">
      <c r="X8016" s="40"/>
      <c r="Y8016" s="40"/>
    </row>
    <row r="8017" spans="24:25" x14ac:dyDescent="0.35">
      <c r="X8017" s="40"/>
      <c r="Y8017" s="40"/>
    </row>
    <row r="8018" spans="24:25" x14ac:dyDescent="0.35">
      <c r="X8018" s="40"/>
      <c r="Y8018" s="40"/>
    </row>
    <row r="8019" spans="24:25" x14ac:dyDescent="0.35">
      <c r="X8019" s="40"/>
      <c r="Y8019" s="40"/>
    </row>
    <row r="8020" spans="24:25" x14ac:dyDescent="0.35">
      <c r="X8020" s="40"/>
      <c r="Y8020" s="40"/>
    </row>
    <row r="8021" spans="24:25" x14ac:dyDescent="0.35">
      <c r="X8021" s="40"/>
      <c r="Y8021" s="40"/>
    </row>
    <row r="8022" spans="24:25" x14ac:dyDescent="0.35">
      <c r="X8022" s="40"/>
      <c r="Y8022" s="40"/>
    </row>
    <row r="8023" spans="24:25" x14ac:dyDescent="0.35">
      <c r="X8023" s="40"/>
      <c r="Y8023" s="40"/>
    </row>
    <row r="8024" spans="24:25" x14ac:dyDescent="0.35">
      <c r="X8024" s="40"/>
      <c r="Y8024" s="40"/>
    </row>
    <row r="8025" spans="24:25" x14ac:dyDescent="0.35">
      <c r="X8025" s="40"/>
      <c r="Y8025" s="40"/>
    </row>
    <row r="8026" spans="24:25" x14ac:dyDescent="0.35">
      <c r="X8026" s="40"/>
      <c r="Y8026" s="40"/>
    </row>
    <row r="8027" spans="24:25" x14ac:dyDescent="0.35">
      <c r="X8027" s="40"/>
      <c r="Y8027" s="40"/>
    </row>
    <row r="8028" spans="24:25" x14ac:dyDescent="0.35">
      <c r="X8028" s="40"/>
      <c r="Y8028" s="40"/>
    </row>
    <row r="8029" spans="24:25" x14ac:dyDescent="0.35">
      <c r="X8029" s="40"/>
      <c r="Y8029" s="40"/>
    </row>
    <row r="8030" spans="24:25" x14ac:dyDescent="0.35">
      <c r="X8030" s="40"/>
      <c r="Y8030" s="40"/>
    </row>
    <row r="8031" spans="24:25" x14ac:dyDescent="0.35">
      <c r="X8031" s="40"/>
      <c r="Y8031" s="40"/>
    </row>
    <row r="8032" spans="24:25" x14ac:dyDescent="0.35">
      <c r="X8032" s="40"/>
      <c r="Y8032" s="40"/>
    </row>
    <row r="8033" spans="24:25" x14ac:dyDescent="0.35">
      <c r="X8033" s="40"/>
      <c r="Y8033" s="40"/>
    </row>
    <row r="8034" spans="24:25" x14ac:dyDescent="0.35">
      <c r="X8034" s="40"/>
      <c r="Y8034" s="40"/>
    </row>
    <row r="8035" spans="24:25" x14ac:dyDescent="0.35">
      <c r="X8035" s="40"/>
      <c r="Y8035" s="40"/>
    </row>
    <row r="8036" spans="24:25" x14ac:dyDescent="0.35">
      <c r="X8036" s="40"/>
      <c r="Y8036" s="40"/>
    </row>
    <row r="8037" spans="24:25" x14ac:dyDescent="0.35">
      <c r="X8037" s="40"/>
      <c r="Y8037" s="40"/>
    </row>
    <row r="8038" spans="24:25" x14ac:dyDescent="0.35">
      <c r="X8038" s="40"/>
      <c r="Y8038" s="40"/>
    </row>
    <row r="8039" spans="24:25" x14ac:dyDescent="0.35">
      <c r="X8039" s="40"/>
      <c r="Y8039" s="40"/>
    </row>
    <row r="8040" spans="24:25" x14ac:dyDescent="0.35">
      <c r="X8040" s="40"/>
      <c r="Y8040" s="40"/>
    </row>
    <row r="8041" spans="24:25" x14ac:dyDescent="0.35">
      <c r="X8041" s="40"/>
      <c r="Y8041" s="40"/>
    </row>
    <row r="8042" spans="24:25" x14ac:dyDescent="0.35">
      <c r="X8042" s="40"/>
      <c r="Y8042" s="40"/>
    </row>
    <row r="8043" spans="24:25" x14ac:dyDescent="0.35">
      <c r="X8043" s="40"/>
      <c r="Y8043" s="40"/>
    </row>
    <row r="8044" spans="24:25" x14ac:dyDescent="0.35">
      <c r="X8044" s="40"/>
      <c r="Y8044" s="40"/>
    </row>
    <row r="8045" spans="24:25" x14ac:dyDescent="0.35">
      <c r="X8045" s="40"/>
      <c r="Y8045" s="40"/>
    </row>
    <row r="8046" spans="24:25" x14ac:dyDescent="0.35">
      <c r="X8046" s="40"/>
      <c r="Y8046" s="40"/>
    </row>
    <row r="8047" spans="24:25" x14ac:dyDescent="0.35">
      <c r="X8047" s="40"/>
      <c r="Y8047" s="40"/>
    </row>
    <row r="8048" spans="24:25" x14ac:dyDescent="0.35">
      <c r="X8048" s="40"/>
      <c r="Y8048" s="40"/>
    </row>
    <row r="8049" spans="24:25" x14ac:dyDescent="0.35">
      <c r="X8049" s="40"/>
      <c r="Y8049" s="40"/>
    </row>
    <row r="8050" spans="24:25" x14ac:dyDescent="0.35">
      <c r="X8050" s="40"/>
      <c r="Y8050" s="40"/>
    </row>
    <row r="8051" spans="24:25" x14ac:dyDescent="0.35">
      <c r="X8051" s="40"/>
      <c r="Y8051" s="40"/>
    </row>
    <row r="8052" spans="24:25" x14ac:dyDescent="0.35">
      <c r="X8052" s="40"/>
      <c r="Y8052" s="40"/>
    </row>
    <row r="8053" spans="24:25" x14ac:dyDescent="0.35">
      <c r="X8053" s="40"/>
      <c r="Y8053" s="40"/>
    </row>
    <row r="8054" spans="24:25" x14ac:dyDescent="0.35">
      <c r="X8054" s="40"/>
      <c r="Y8054" s="40"/>
    </row>
    <row r="8055" spans="24:25" x14ac:dyDescent="0.35">
      <c r="X8055" s="40"/>
      <c r="Y8055" s="40"/>
    </row>
    <row r="8056" spans="24:25" x14ac:dyDescent="0.35">
      <c r="X8056" s="40"/>
      <c r="Y8056" s="40"/>
    </row>
    <row r="8057" spans="24:25" x14ac:dyDescent="0.35">
      <c r="X8057" s="40"/>
      <c r="Y8057" s="40"/>
    </row>
    <row r="8058" spans="24:25" x14ac:dyDescent="0.35">
      <c r="X8058" s="40"/>
      <c r="Y8058" s="40"/>
    </row>
    <row r="8059" spans="24:25" x14ac:dyDescent="0.35">
      <c r="X8059" s="40"/>
      <c r="Y8059" s="40"/>
    </row>
    <row r="8060" spans="24:25" x14ac:dyDescent="0.35">
      <c r="X8060" s="40"/>
      <c r="Y8060" s="40"/>
    </row>
    <row r="8061" spans="24:25" x14ac:dyDescent="0.35">
      <c r="X8061" s="40"/>
      <c r="Y8061" s="40"/>
    </row>
    <row r="8062" spans="24:25" x14ac:dyDescent="0.35">
      <c r="X8062" s="40"/>
      <c r="Y8062" s="40"/>
    </row>
    <row r="8063" spans="24:25" x14ac:dyDescent="0.35">
      <c r="X8063" s="40"/>
      <c r="Y8063" s="40"/>
    </row>
    <row r="8064" spans="24:25" x14ac:dyDescent="0.35">
      <c r="X8064" s="40"/>
      <c r="Y8064" s="40"/>
    </row>
    <row r="8065" spans="24:25" x14ac:dyDescent="0.35">
      <c r="X8065" s="40"/>
      <c r="Y8065" s="40"/>
    </row>
    <row r="8066" spans="24:25" x14ac:dyDescent="0.35">
      <c r="X8066" s="40"/>
      <c r="Y8066" s="40"/>
    </row>
    <row r="8067" spans="24:25" x14ac:dyDescent="0.35">
      <c r="X8067" s="40"/>
      <c r="Y8067" s="40"/>
    </row>
    <row r="8068" spans="24:25" x14ac:dyDescent="0.35">
      <c r="X8068" s="40"/>
      <c r="Y8068" s="40"/>
    </row>
    <row r="8069" spans="24:25" x14ac:dyDescent="0.35">
      <c r="X8069" s="40"/>
      <c r="Y8069" s="40"/>
    </row>
    <row r="8070" spans="24:25" x14ac:dyDescent="0.35">
      <c r="X8070" s="40"/>
      <c r="Y8070" s="40"/>
    </row>
    <row r="8071" spans="24:25" x14ac:dyDescent="0.35">
      <c r="X8071" s="40"/>
      <c r="Y8071" s="40"/>
    </row>
    <row r="8072" spans="24:25" x14ac:dyDescent="0.35">
      <c r="X8072" s="40"/>
      <c r="Y8072" s="40"/>
    </row>
    <row r="8073" spans="24:25" x14ac:dyDescent="0.35">
      <c r="X8073" s="40"/>
      <c r="Y8073" s="40"/>
    </row>
    <row r="8074" spans="24:25" x14ac:dyDescent="0.35">
      <c r="X8074" s="40"/>
      <c r="Y8074" s="40"/>
    </row>
    <row r="8075" spans="24:25" x14ac:dyDescent="0.35">
      <c r="X8075" s="40"/>
      <c r="Y8075" s="40"/>
    </row>
    <row r="8076" spans="24:25" x14ac:dyDescent="0.35">
      <c r="X8076" s="40"/>
      <c r="Y8076" s="40"/>
    </row>
    <row r="8077" spans="24:25" x14ac:dyDescent="0.35">
      <c r="X8077" s="40"/>
      <c r="Y8077" s="40"/>
    </row>
    <row r="8078" spans="24:25" x14ac:dyDescent="0.35">
      <c r="X8078" s="40"/>
      <c r="Y8078" s="40"/>
    </row>
    <row r="8079" spans="24:25" x14ac:dyDescent="0.35">
      <c r="X8079" s="40"/>
      <c r="Y8079" s="40"/>
    </row>
    <row r="8080" spans="24:25" x14ac:dyDescent="0.35">
      <c r="X8080" s="40"/>
      <c r="Y8080" s="40"/>
    </row>
    <row r="8081" spans="24:25" x14ac:dyDescent="0.35">
      <c r="X8081" s="40"/>
      <c r="Y8081" s="40"/>
    </row>
    <row r="8082" spans="24:25" x14ac:dyDescent="0.35">
      <c r="X8082" s="40"/>
      <c r="Y8082" s="40"/>
    </row>
    <row r="8083" spans="24:25" x14ac:dyDescent="0.35">
      <c r="X8083" s="40"/>
      <c r="Y8083" s="40"/>
    </row>
    <row r="8084" spans="24:25" x14ac:dyDescent="0.35">
      <c r="X8084" s="40"/>
      <c r="Y8084" s="40"/>
    </row>
    <row r="8085" spans="24:25" x14ac:dyDescent="0.35">
      <c r="X8085" s="40"/>
      <c r="Y8085" s="40"/>
    </row>
    <row r="8086" spans="24:25" x14ac:dyDescent="0.35">
      <c r="X8086" s="40"/>
      <c r="Y8086" s="40"/>
    </row>
    <row r="8087" spans="24:25" x14ac:dyDescent="0.35">
      <c r="X8087" s="40"/>
      <c r="Y8087" s="40"/>
    </row>
    <row r="8088" spans="24:25" x14ac:dyDescent="0.35">
      <c r="X8088" s="40"/>
      <c r="Y8088" s="40"/>
    </row>
    <row r="8089" spans="24:25" x14ac:dyDescent="0.35">
      <c r="X8089" s="40"/>
      <c r="Y8089" s="40"/>
    </row>
    <row r="8090" spans="24:25" x14ac:dyDescent="0.35">
      <c r="X8090" s="40"/>
      <c r="Y8090" s="40"/>
    </row>
    <row r="8091" spans="24:25" x14ac:dyDescent="0.35">
      <c r="X8091" s="40"/>
      <c r="Y8091" s="40"/>
    </row>
    <row r="8092" spans="24:25" x14ac:dyDescent="0.35">
      <c r="X8092" s="40"/>
      <c r="Y8092" s="40"/>
    </row>
    <row r="8093" spans="24:25" x14ac:dyDescent="0.35">
      <c r="X8093" s="40"/>
      <c r="Y8093" s="40"/>
    </row>
    <row r="8094" spans="24:25" x14ac:dyDescent="0.35">
      <c r="X8094" s="40"/>
      <c r="Y8094" s="40"/>
    </row>
    <row r="8095" spans="24:25" x14ac:dyDescent="0.35">
      <c r="X8095" s="40"/>
      <c r="Y8095" s="40"/>
    </row>
    <row r="8096" spans="24:25" x14ac:dyDescent="0.35">
      <c r="X8096" s="40"/>
      <c r="Y8096" s="40"/>
    </row>
    <row r="8097" spans="24:25" x14ac:dyDescent="0.35">
      <c r="X8097" s="40"/>
      <c r="Y8097" s="40"/>
    </row>
    <row r="8098" spans="24:25" x14ac:dyDescent="0.35">
      <c r="X8098" s="40"/>
      <c r="Y8098" s="40"/>
    </row>
    <row r="8099" spans="24:25" x14ac:dyDescent="0.35">
      <c r="X8099" s="40"/>
      <c r="Y8099" s="40"/>
    </row>
    <row r="8100" spans="24:25" x14ac:dyDescent="0.35">
      <c r="X8100" s="40"/>
      <c r="Y8100" s="40"/>
    </row>
    <row r="8101" spans="24:25" x14ac:dyDescent="0.35">
      <c r="X8101" s="40"/>
      <c r="Y8101" s="40"/>
    </row>
    <row r="8102" spans="24:25" x14ac:dyDescent="0.35">
      <c r="X8102" s="40"/>
      <c r="Y8102" s="40"/>
    </row>
    <row r="8103" spans="24:25" x14ac:dyDescent="0.35">
      <c r="X8103" s="40"/>
      <c r="Y8103" s="40"/>
    </row>
    <row r="8104" spans="24:25" x14ac:dyDescent="0.35">
      <c r="X8104" s="40"/>
      <c r="Y8104" s="40"/>
    </row>
    <row r="8105" spans="24:25" x14ac:dyDescent="0.35">
      <c r="X8105" s="40"/>
      <c r="Y8105" s="40"/>
    </row>
    <row r="8106" spans="24:25" x14ac:dyDescent="0.35">
      <c r="X8106" s="40"/>
      <c r="Y8106" s="40"/>
    </row>
    <row r="8107" spans="24:25" x14ac:dyDescent="0.35">
      <c r="X8107" s="40"/>
      <c r="Y8107" s="40"/>
    </row>
    <row r="8108" spans="24:25" x14ac:dyDescent="0.35">
      <c r="X8108" s="40"/>
      <c r="Y8108" s="40"/>
    </row>
    <row r="8109" spans="24:25" x14ac:dyDescent="0.35">
      <c r="X8109" s="40"/>
      <c r="Y8109" s="40"/>
    </row>
    <row r="8110" spans="24:25" x14ac:dyDescent="0.35">
      <c r="X8110" s="40"/>
      <c r="Y8110" s="40"/>
    </row>
    <row r="8111" spans="24:25" x14ac:dyDescent="0.35">
      <c r="X8111" s="40"/>
      <c r="Y8111" s="40"/>
    </row>
    <row r="8112" spans="24:25" x14ac:dyDescent="0.35">
      <c r="X8112" s="40"/>
      <c r="Y8112" s="40"/>
    </row>
    <row r="8113" spans="24:25" x14ac:dyDescent="0.35">
      <c r="X8113" s="40"/>
      <c r="Y8113" s="40"/>
    </row>
    <row r="8114" spans="24:25" x14ac:dyDescent="0.35">
      <c r="X8114" s="40"/>
      <c r="Y8114" s="40"/>
    </row>
    <row r="8115" spans="24:25" x14ac:dyDescent="0.35">
      <c r="X8115" s="40"/>
      <c r="Y8115" s="40"/>
    </row>
    <row r="8116" spans="24:25" x14ac:dyDescent="0.35">
      <c r="X8116" s="40"/>
      <c r="Y8116" s="40"/>
    </row>
    <row r="8117" spans="24:25" x14ac:dyDescent="0.35">
      <c r="X8117" s="40"/>
      <c r="Y8117" s="40"/>
    </row>
    <row r="8118" spans="24:25" x14ac:dyDescent="0.35">
      <c r="X8118" s="40"/>
      <c r="Y8118" s="40"/>
    </row>
    <row r="8119" spans="24:25" x14ac:dyDescent="0.35">
      <c r="X8119" s="40"/>
      <c r="Y8119" s="40"/>
    </row>
    <row r="8120" spans="24:25" x14ac:dyDescent="0.35">
      <c r="X8120" s="40"/>
      <c r="Y8120" s="40"/>
    </row>
    <row r="8121" spans="24:25" x14ac:dyDescent="0.35">
      <c r="X8121" s="40"/>
      <c r="Y8121" s="40"/>
    </row>
    <row r="8122" spans="24:25" x14ac:dyDescent="0.35">
      <c r="X8122" s="40"/>
      <c r="Y8122" s="40"/>
    </row>
    <row r="8123" spans="24:25" x14ac:dyDescent="0.35">
      <c r="X8123" s="40"/>
      <c r="Y8123" s="40"/>
    </row>
    <row r="8124" spans="24:25" x14ac:dyDescent="0.35">
      <c r="X8124" s="40"/>
      <c r="Y8124" s="40"/>
    </row>
    <row r="8125" spans="24:25" x14ac:dyDescent="0.35">
      <c r="X8125" s="40"/>
      <c r="Y8125" s="40"/>
    </row>
    <row r="8126" spans="24:25" x14ac:dyDescent="0.35">
      <c r="X8126" s="40"/>
      <c r="Y8126" s="40"/>
    </row>
    <row r="8127" spans="24:25" x14ac:dyDescent="0.35">
      <c r="X8127" s="40"/>
      <c r="Y8127" s="40"/>
    </row>
    <row r="8128" spans="24:25" x14ac:dyDescent="0.35">
      <c r="X8128" s="40"/>
      <c r="Y8128" s="40"/>
    </row>
    <row r="8129" spans="24:25" x14ac:dyDescent="0.35">
      <c r="X8129" s="40"/>
      <c r="Y8129" s="40"/>
    </row>
    <row r="8130" spans="24:25" x14ac:dyDescent="0.35">
      <c r="X8130" s="40"/>
      <c r="Y8130" s="40"/>
    </row>
    <row r="8131" spans="24:25" x14ac:dyDescent="0.35">
      <c r="X8131" s="40"/>
      <c r="Y8131" s="40"/>
    </row>
    <row r="8132" spans="24:25" x14ac:dyDescent="0.35">
      <c r="X8132" s="40"/>
      <c r="Y8132" s="40"/>
    </row>
    <row r="8133" spans="24:25" x14ac:dyDescent="0.35">
      <c r="X8133" s="40"/>
      <c r="Y8133" s="40"/>
    </row>
    <row r="8134" spans="24:25" x14ac:dyDescent="0.35">
      <c r="X8134" s="40"/>
      <c r="Y8134" s="40"/>
    </row>
    <row r="8135" spans="24:25" x14ac:dyDescent="0.35">
      <c r="X8135" s="40"/>
      <c r="Y8135" s="40"/>
    </row>
    <row r="8136" spans="24:25" x14ac:dyDescent="0.35">
      <c r="X8136" s="40"/>
      <c r="Y8136" s="40"/>
    </row>
    <row r="8137" spans="24:25" x14ac:dyDescent="0.35">
      <c r="X8137" s="40"/>
      <c r="Y8137" s="40"/>
    </row>
    <row r="8138" spans="24:25" x14ac:dyDescent="0.35">
      <c r="X8138" s="40"/>
      <c r="Y8138" s="40"/>
    </row>
    <row r="8139" spans="24:25" x14ac:dyDescent="0.35">
      <c r="X8139" s="40"/>
      <c r="Y8139" s="40"/>
    </row>
    <row r="8140" spans="24:25" x14ac:dyDescent="0.35">
      <c r="X8140" s="40"/>
      <c r="Y8140" s="40"/>
    </row>
    <row r="8141" spans="24:25" x14ac:dyDescent="0.35">
      <c r="X8141" s="40"/>
      <c r="Y8141" s="40"/>
    </row>
    <row r="8142" spans="24:25" x14ac:dyDescent="0.35">
      <c r="X8142" s="40"/>
      <c r="Y8142" s="40"/>
    </row>
    <row r="8143" spans="24:25" x14ac:dyDescent="0.35">
      <c r="X8143" s="40"/>
      <c r="Y8143" s="40"/>
    </row>
    <row r="8144" spans="24:25" x14ac:dyDescent="0.35">
      <c r="X8144" s="40"/>
      <c r="Y8144" s="40"/>
    </row>
    <row r="8145" spans="24:25" x14ac:dyDescent="0.35">
      <c r="X8145" s="40"/>
      <c r="Y8145" s="40"/>
    </row>
    <row r="8146" spans="24:25" x14ac:dyDescent="0.35">
      <c r="X8146" s="40"/>
      <c r="Y8146" s="40"/>
    </row>
    <row r="8147" spans="24:25" x14ac:dyDescent="0.35">
      <c r="X8147" s="40"/>
      <c r="Y8147" s="40"/>
    </row>
    <row r="8148" spans="24:25" x14ac:dyDescent="0.35">
      <c r="X8148" s="40"/>
      <c r="Y8148" s="40"/>
    </row>
    <row r="8149" spans="24:25" x14ac:dyDescent="0.35">
      <c r="X8149" s="40"/>
      <c r="Y8149" s="40"/>
    </row>
    <row r="8150" spans="24:25" x14ac:dyDescent="0.35">
      <c r="X8150" s="40"/>
      <c r="Y8150" s="40"/>
    </row>
    <row r="8151" spans="24:25" x14ac:dyDescent="0.35">
      <c r="X8151" s="40"/>
      <c r="Y8151" s="40"/>
    </row>
    <row r="8152" spans="24:25" x14ac:dyDescent="0.35">
      <c r="X8152" s="40"/>
      <c r="Y8152" s="40"/>
    </row>
    <row r="8153" spans="24:25" x14ac:dyDescent="0.35">
      <c r="X8153" s="40"/>
      <c r="Y8153" s="40"/>
    </row>
    <row r="8154" spans="24:25" x14ac:dyDescent="0.35">
      <c r="X8154" s="40"/>
      <c r="Y8154" s="40"/>
    </row>
    <row r="8155" spans="24:25" x14ac:dyDescent="0.35">
      <c r="X8155" s="40"/>
      <c r="Y8155" s="40"/>
    </row>
    <row r="8156" spans="24:25" x14ac:dyDescent="0.35">
      <c r="X8156" s="40"/>
      <c r="Y8156" s="40"/>
    </row>
    <row r="8157" spans="24:25" x14ac:dyDescent="0.35">
      <c r="X8157" s="40"/>
      <c r="Y8157" s="40"/>
    </row>
    <row r="8158" spans="24:25" x14ac:dyDescent="0.35">
      <c r="X8158" s="40"/>
      <c r="Y8158" s="40"/>
    </row>
    <row r="8159" spans="24:25" x14ac:dyDescent="0.35">
      <c r="X8159" s="40"/>
      <c r="Y8159" s="40"/>
    </row>
    <row r="8160" spans="24:25" x14ac:dyDescent="0.35">
      <c r="X8160" s="40"/>
      <c r="Y8160" s="40"/>
    </row>
    <row r="8161" spans="24:25" x14ac:dyDescent="0.35">
      <c r="X8161" s="40"/>
      <c r="Y8161" s="40"/>
    </row>
    <row r="8162" spans="24:25" x14ac:dyDescent="0.35">
      <c r="X8162" s="40"/>
      <c r="Y8162" s="40"/>
    </row>
    <row r="8163" spans="24:25" x14ac:dyDescent="0.35">
      <c r="X8163" s="40"/>
      <c r="Y8163" s="40"/>
    </row>
    <row r="8164" spans="24:25" x14ac:dyDescent="0.35">
      <c r="X8164" s="40"/>
      <c r="Y8164" s="40"/>
    </row>
    <row r="8165" spans="24:25" x14ac:dyDescent="0.35">
      <c r="X8165" s="40"/>
      <c r="Y8165" s="40"/>
    </row>
    <row r="8166" spans="24:25" x14ac:dyDescent="0.35">
      <c r="X8166" s="40"/>
      <c r="Y8166" s="40"/>
    </row>
    <row r="8167" spans="24:25" x14ac:dyDescent="0.35">
      <c r="X8167" s="40"/>
      <c r="Y8167" s="40"/>
    </row>
    <row r="8168" spans="24:25" x14ac:dyDescent="0.35">
      <c r="X8168" s="40"/>
      <c r="Y8168" s="40"/>
    </row>
    <row r="8169" spans="24:25" x14ac:dyDescent="0.35">
      <c r="X8169" s="40"/>
      <c r="Y8169" s="40"/>
    </row>
    <row r="8170" spans="24:25" x14ac:dyDescent="0.35">
      <c r="X8170" s="40"/>
      <c r="Y8170" s="40"/>
    </row>
    <row r="8171" spans="24:25" x14ac:dyDescent="0.35">
      <c r="X8171" s="40"/>
      <c r="Y8171" s="40"/>
    </row>
    <row r="8172" spans="24:25" x14ac:dyDescent="0.35">
      <c r="X8172" s="40"/>
      <c r="Y8172" s="40"/>
    </row>
    <row r="8173" spans="24:25" x14ac:dyDescent="0.35">
      <c r="X8173" s="40"/>
      <c r="Y8173" s="40"/>
    </row>
    <row r="8174" spans="24:25" x14ac:dyDescent="0.35">
      <c r="X8174" s="40"/>
      <c r="Y8174" s="40"/>
    </row>
    <row r="8175" spans="24:25" x14ac:dyDescent="0.35">
      <c r="X8175" s="40"/>
      <c r="Y8175" s="40"/>
    </row>
    <row r="8176" spans="24:25" x14ac:dyDescent="0.35">
      <c r="X8176" s="40"/>
      <c r="Y8176" s="40"/>
    </row>
    <row r="8177" spans="24:25" x14ac:dyDescent="0.35">
      <c r="X8177" s="40"/>
      <c r="Y8177" s="40"/>
    </row>
    <row r="8178" spans="24:25" x14ac:dyDescent="0.35">
      <c r="X8178" s="40"/>
      <c r="Y8178" s="40"/>
    </row>
    <row r="8179" spans="24:25" x14ac:dyDescent="0.35">
      <c r="X8179" s="40"/>
      <c r="Y8179" s="40"/>
    </row>
    <row r="8180" spans="24:25" x14ac:dyDescent="0.35">
      <c r="X8180" s="40"/>
      <c r="Y8180" s="40"/>
    </row>
    <row r="8181" spans="24:25" x14ac:dyDescent="0.35">
      <c r="X8181" s="40"/>
      <c r="Y8181" s="40"/>
    </row>
    <row r="8182" spans="24:25" x14ac:dyDescent="0.35">
      <c r="X8182" s="40"/>
      <c r="Y8182" s="40"/>
    </row>
    <row r="8183" spans="24:25" x14ac:dyDescent="0.35">
      <c r="X8183" s="40"/>
      <c r="Y8183" s="40"/>
    </row>
    <row r="8184" spans="24:25" x14ac:dyDescent="0.35">
      <c r="X8184" s="40"/>
      <c r="Y8184" s="40"/>
    </row>
    <row r="8185" spans="24:25" x14ac:dyDescent="0.35">
      <c r="X8185" s="40"/>
      <c r="Y8185" s="40"/>
    </row>
    <row r="8186" spans="24:25" x14ac:dyDescent="0.35">
      <c r="X8186" s="40"/>
      <c r="Y8186" s="40"/>
    </row>
    <row r="8187" spans="24:25" x14ac:dyDescent="0.35">
      <c r="X8187" s="40"/>
      <c r="Y8187" s="40"/>
    </row>
    <row r="8188" spans="24:25" x14ac:dyDescent="0.35">
      <c r="X8188" s="40"/>
      <c r="Y8188" s="40"/>
    </row>
    <row r="8189" spans="24:25" x14ac:dyDescent="0.35">
      <c r="X8189" s="40"/>
      <c r="Y8189" s="40"/>
    </row>
    <row r="8190" spans="24:25" x14ac:dyDescent="0.35">
      <c r="X8190" s="40"/>
      <c r="Y8190" s="40"/>
    </row>
    <row r="8191" spans="24:25" x14ac:dyDescent="0.35">
      <c r="X8191" s="40"/>
      <c r="Y8191" s="40"/>
    </row>
    <row r="8192" spans="24:25" x14ac:dyDescent="0.35">
      <c r="X8192" s="40"/>
      <c r="Y8192" s="40"/>
    </row>
    <row r="8193" spans="24:25" x14ac:dyDescent="0.35">
      <c r="X8193" s="40"/>
      <c r="Y8193" s="40"/>
    </row>
    <row r="8194" spans="24:25" x14ac:dyDescent="0.35">
      <c r="X8194" s="40"/>
      <c r="Y8194" s="40"/>
    </row>
    <row r="8195" spans="24:25" x14ac:dyDescent="0.35">
      <c r="X8195" s="40"/>
      <c r="Y8195" s="40"/>
    </row>
    <row r="8196" spans="24:25" x14ac:dyDescent="0.35">
      <c r="X8196" s="40"/>
      <c r="Y8196" s="40"/>
    </row>
    <row r="8197" spans="24:25" x14ac:dyDescent="0.35">
      <c r="X8197" s="40"/>
      <c r="Y8197" s="40"/>
    </row>
    <row r="8198" spans="24:25" x14ac:dyDescent="0.35">
      <c r="X8198" s="40"/>
      <c r="Y8198" s="40"/>
    </row>
    <row r="8199" spans="24:25" x14ac:dyDescent="0.35">
      <c r="X8199" s="40"/>
      <c r="Y8199" s="40"/>
    </row>
    <row r="8200" spans="24:25" x14ac:dyDescent="0.35">
      <c r="X8200" s="40"/>
      <c r="Y8200" s="40"/>
    </row>
    <row r="8201" spans="24:25" x14ac:dyDescent="0.35">
      <c r="X8201" s="40"/>
      <c r="Y8201" s="40"/>
    </row>
    <row r="8202" spans="24:25" x14ac:dyDescent="0.35">
      <c r="X8202" s="40"/>
      <c r="Y8202" s="40"/>
    </row>
    <row r="8203" spans="24:25" x14ac:dyDescent="0.35">
      <c r="X8203" s="40"/>
      <c r="Y8203" s="40"/>
    </row>
    <row r="8204" spans="24:25" x14ac:dyDescent="0.35">
      <c r="X8204" s="40"/>
      <c r="Y8204" s="40"/>
    </row>
    <row r="8205" spans="24:25" x14ac:dyDescent="0.35">
      <c r="X8205" s="40"/>
      <c r="Y8205" s="40"/>
    </row>
    <row r="8206" spans="24:25" x14ac:dyDescent="0.35">
      <c r="X8206" s="40"/>
      <c r="Y8206" s="40"/>
    </row>
    <row r="8207" spans="24:25" x14ac:dyDescent="0.35">
      <c r="X8207" s="40"/>
      <c r="Y8207" s="40"/>
    </row>
    <row r="8208" spans="24:25" x14ac:dyDescent="0.35">
      <c r="X8208" s="40"/>
      <c r="Y8208" s="40"/>
    </row>
    <row r="8209" spans="24:25" x14ac:dyDescent="0.35">
      <c r="X8209" s="40"/>
      <c r="Y8209" s="40"/>
    </row>
    <row r="8210" spans="24:25" x14ac:dyDescent="0.35">
      <c r="X8210" s="40"/>
      <c r="Y8210" s="40"/>
    </row>
    <row r="8211" spans="24:25" x14ac:dyDescent="0.35">
      <c r="X8211" s="40"/>
      <c r="Y8211" s="40"/>
    </row>
    <row r="8212" spans="24:25" x14ac:dyDescent="0.35">
      <c r="X8212" s="40"/>
      <c r="Y8212" s="40"/>
    </row>
    <row r="8213" spans="24:25" x14ac:dyDescent="0.35">
      <c r="X8213" s="40"/>
      <c r="Y8213" s="40"/>
    </row>
    <row r="8214" spans="24:25" x14ac:dyDescent="0.35">
      <c r="X8214" s="40"/>
      <c r="Y8214" s="40"/>
    </row>
    <row r="8215" spans="24:25" x14ac:dyDescent="0.35">
      <c r="X8215" s="40"/>
      <c r="Y8215" s="40"/>
    </row>
    <row r="8216" spans="24:25" x14ac:dyDescent="0.35">
      <c r="X8216" s="40"/>
      <c r="Y8216" s="40"/>
    </row>
    <row r="8217" spans="24:25" x14ac:dyDescent="0.35">
      <c r="X8217" s="40"/>
      <c r="Y8217" s="40"/>
    </row>
    <row r="8218" spans="24:25" x14ac:dyDescent="0.35">
      <c r="X8218" s="40"/>
      <c r="Y8218" s="40"/>
    </row>
    <row r="8219" spans="24:25" x14ac:dyDescent="0.35">
      <c r="X8219" s="40"/>
      <c r="Y8219" s="40"/>
    </row>
    <row r="8220" spans="24:25" x14ac:dyDescent="0.35">
      <c r="X8220" s="40"/>
      <c r="Y8220" s="40"/>
    </row>
    <row r="8221" spans="24:25" x14ac:dyDescent="0.35">
      <c r="X8221" s="40"/>
      <c r="Y8221" s="40"/>
    </row>
    <row r="8222" spans="24:25" x14ac:dyDescent="0.35">
      <c r="X8222" s="40"/>
      <c r="Y8222" s="40"/>
    </row>
    <row r="8223" spans="24:25" x14ac:dyDescent="0.35">
      <c r="X8223" s="40"/>
      <c r="Y8223" s="40"/>
    </row>
    <row r="8224" spans="24:25" x14ac:dyDescent="0.35">
      <c r="X8224" s="40"/>
      <c r="Y8224" s="40"/>
    </row>
    <row r="8225" spans="24:25" x14ac:dyDescent="0.35">
      <c r="X8225" s="40"/>
      <c r="Y8225" s="40"/>
    </row>
    <row r="8226" spans="24:25" x14ac:dyDescent="0.35">
      <c r="X8226" s="40"/>
      <c r="Y8226" s="40"/>
    </row>
    <row r="8227" spans="24:25" x14ac:dyDescent="0.35">
      <c r="X8227" s="40"/>
      <c r="Y8227" s="40"/>
    </row>
    <row r="8228" spans="24:25" x14ac:dyDescent="0.35">
      <c r="X8228" s="40"/>
      <c r="Y8228" s="40"/>
    </row>
    <row r="8229" spans="24:25" x14ac:dyDescent="0.35">
      <c r="X8229" s="40"/>
      <c r="Y8229" s="40"/>
    </row>
    <row r="8230" spans="24:25" x14ac:dyDescent="0.35">
      <c r="X8230" s="40"/>
      <c r="Y8230" s="40"/>
    </row>
    <row r="8231" spans="24:25" x14ac:dyDescent="0.35">
      <c r="X8231" s="40"/>
      <c r="Y8231" s="40"/>
    </row>
    <row r="8232" spans="24:25" x14ac:dyDescent="0.35">
      <c r="X8232" s="40"/>
      <c r="Y8232" s="40"/>
    </row>
    <row r="8233" spans="24:25" x14ac:dyDescent="0.35">
      <c r="X8233" s="40"/>
      <c r="Y8233" s="40"/>
    </row>
    <row r="8234" spans="24:25" x14ac:dyDescent="0.35">
      <c r="X8234" s="40"/>
      <c r="Y8234" s="40"/>
    </row>
    <row r="8235" spans="24:25" x14ac:dyDescent="0.35">
      <c r="X8235" s="40"/>
      <c r="Y8235" s="40"/>
    </row>
    <row r="8236" spans="24:25" x14ac:dyDescent="0.35">
      <c r="X8236" s="40"/>
      <c r="Y8236" s="40"/>
    </row>
    <row r="8237" spans="24:25" x14ac:dyDescent="0.35">
      <c r="X8237" s="40"/>
      <c r="Y8237" s="40"/>
    </row>
    <row r="8238" spans="24:25" x14ac:dyDescent="0.35">
      <c r="X8238" s="40"/>
      <c r="Y8238" s="40"/>
    </row>
    <row r="8239" spans="24:25" x14ac:dyDescent="0.35">
      <c r="X8239" s="40"/>
      <c r="Y8239" s="40"/>
    </row>
    <row r="8240" spans="24:25" x14ac:dyDescent="0.35">
      <c r="X8240" s="40"/>
      <c r="Y8240" s="40"/>
    </row>
    <row r="8241" spans="24:25" x14ac:dyDescent="0.35">
      <c r="X8241" s="40"/>
      <c r="Y8241" s="40"/>
    </row>
    <row r="8242" spans="24:25" x14ac:dyDescent="0.35">
      <c r="X8242" s="40"/>
      <c r="Y8242" s="40"/>
    </row>
    <row r="8243" spans="24:25" x14ac:dyDescent="0.35">
      <c r="X8243" s="40"/>
      <c r="Y8243" s="40"/>
    </row>
    <row r="8244" spans="24:25" x14ac:dyDescent="0.35">
      <c r="X8244" s="40"/>
      <c r="Y8244" s="40"/>
    </row>
    <row r="8245" spans="24:25" x14ac:dyDescent="0.35">
      <c r="X8245" s="40"/>
      <c r="Y8245" s="40"/>
    </row>
    <row r="8246" spans="24:25" x14ac:dyDescent="0.35">
      <c r="X8246" s="40"/>
      <c r="Y8246" s="40"/>
    </row>
    <row r="8247" spans="24:25" x14ac:dyDescent="0.35">
      <c r="X8247" s="40"/>
      <c r="Y8247" s="40"/>
    </row>
    <row r="8248" spans="24:25" x14ac:dyDescent="0.35">
      <c r="X8248" s="40"/>
      <c r="Y8248" s="40"/>
    </row>
    <row r="8249" spans="24:25" x14ac:dyDescent="0.35">
      <c r="X8249" s="40"/>
      <c r="Y8249" s="40"/>
    </row>
    <row r="8250" spans="24:25" x14ac:dyDescent="0.35">
      <c r="X8250" s="40"/>
      <c r="Y8250" s="40"/>
    </row>
    <row r="8251" spans="24:25" x14ac:dyDescent="0.35">
      <c r="X8251" s="40"/>
      <c r="Y8251" s="40"/>
    </row>
    <row r="8252" spans="24:25" x14ac:dyDescent="0.35">
      <c r="X8252" s="40"/>
      <c r="Y8252" s="40"/>
    </row>
    <row r="8253" spans="24:25" x14ac:dyDescent="0.35">
      <c r="X8253" s="40"/>
      <c r="Y8253" s="40"/>
    </row>
    <row r="8254" spans="24:25" x14ac:dyDescent="0.35">
      <c r="X8254" s="40"/>
      <c r="Y8254" s="40"/>
    </row>
    <row r="8255" spans="24:25" x14ac:dyDescent="0.35">
      <c r="X8255" s="40"/>
      <c r="Y8255" s="40"/>
    </row>
    <row r="8256" spans="24:25" x14ac:dyDescent="0.35">
      <c r="X8256" s="40"/>
      <c r="Y8256" s="40"/>
    </row>
    <row r="8257" spans="24:25" x14ac:dyDescent="0.35">
      <c r="X8257" s="40"/>
      <c r="Y8257" s="40"/>
    </row>
    <row r="8258" spans="24:25" x14ac:dyDescent="0.35">
      <c r="X8258" s="40"/>
      <c r="Y8258" s="40"/>
    </row>
    <row r="8259" spans="24:25" x14ac:dyDescent="0.35">
      <c r="X8259" s="40"/>
      <c r="Y8259" s="40"/>
    </row>
    <row r="8260" spans="24:25" x14ac:dyDescent="0.35">
      <c r="X8260" s="40"/>
      <c r="Y8260" s="40"/>
    </row>
    <row r="8261" spans="24:25" x14ac:dyDescent="0.35">
      <c r="X8261" s="40"/>
      <c r="Y8261" s="40"/>
    </row>
    <row r="8262" spans="24:25" x14ac:dyDescent="0.35">
      <c r="X8262" s="40"/>
      <c r="Y8262" s="40"/>
    </row>
    <row r="8263" spans="24:25" x14ac:dyDescent="0.35">
      <c r="X8263" s="40"/>
      <c r="Y8263" s="40"/>
    </row>
    <row r="8264" spans="24:25" x14ac:dyDescent="0.35">
      <c r="X8264" s="40"/>
      <c r="Y8264" s="40"/>
    </row>
    <row r="8265" spans="24:25" x14ac:dyDescent="0.35">
      <c r="X8265" s="40"/>
      <c r="Y8265" s="40"/>
    </row>
    <row r="8266" spans="24:25" x14ac:dyDescent="0.35">
      <c r="X8266" s="40"/>
      <c r="Y8266" s="40"/>
    </row>
    <row r="8267" spans="24:25" x14ac:dyDescent="0.35">
      <c r="X8267" s="40"/>
      <c r="Y8267" s="40"/>
    </row>
    <row r="8268" spans="24:25" x14ac:dyDescent="0.35">
      <c r="X8268" s="40"/>
      <c r="Y8268" s="40"/>
    </row>
    <row r="8269" spans="24:25" x14ac:dyDescent="0.35">
      <c r="X8269" s="40"/>
      <c r="Y8269" s="40"/>
    </row>
    <row r="8270" spans="24:25" x14ac:dyDescent="0.35">
      <c r="X8270" s="40"/>
      <c r="Y8270" s="40"/>
    </row>
    <row r="8271" spans="24:25" x14ac:dyDescent="0.35">
      <c r="X8271" s="40"/>
      <c r="Y8271" s="40"/>
    </row>
    <row r="8272" spans="24:25" x14ac:dyDescent="0.35">
      <c r="X8272" s="40"/>
      <c r="Y8272" s="40"/>
    </row>
    <row r="8273" spans="24:25" x14ac:dyDescent="0.35">
      <c r="X8273" s="40"/>
      <c r="Y8273" s="40"/>
    </row>
    <row r="8274" spans="24:25" x14ac:dyDescent="0.35">
      <c r="X8274" s="40"/>
      <c r="Y8274" s="40"/>
    </row>
    <row r="8275" spans="24:25" x14ac:dyDescent="0.35">
      <c r="X8275" s="40"/>
      <c r="Y8275" s="40"/>
    </row>
    <row r="8276" spans="24:25" x14ac:dyDescent="0.35">
      <c r="X8276" s="40"/>
      <c r="Y8276" s="40"/>
    </row>
    <row r="8277" spans="24:25" x14ac:dyDescent="0.35">
      <c r="X8277" s="40"/>
      <c r="Y8277" s="40"/>
    </row>
    <row r="8278" spans="24:25" x14ac:dyDescent="0.35">
      <c r="X8278" s="40"/>
      <c r="Y8278" s="40"/>
    </row>
    <row r="8279" spans="24:25" x14ac:dyDescent="0.35">
      <c r="X8279" s="40"/>
      <c r="Y8279" s="40"/>
    </row>
    <row r="8280" spans="24:25" x14ac:dyDescent="0.35">
      <c r="X8280" s="40"/>
      <c r="Y8280" s="40"/>
    </row>
    <row r="8281" spans="24:25" x14ac:dyDescent="0.35">
      <c r="X8281" s="40"/>
      <c r="Y8281" s="40"/>
    </row>
    <row r="8282" spans="24:25" x14ac:dyDescent="0.35">
      <c r="X8282" s="40"/>
      <c r="Y8282" s="40"/>
    </row>
    <row r="8283" spans="24:25" x14ac:dyDescent="0.35">
      <c r="X8283" s="40"/>
      <c r="Y8283" s="40"/>
    </row>
    <row r="8284" spans="24:25" x14ac:dyDescent="0.35">
      <c r="X8284" s="40"/>
      <c r="Y8284" s="40"/>
    </row>
    <row r="8285" spans="24:25" x14ac:dyDescent="0.35">
      <c r="X8285" s="40"/>
      <c r="Y8285" s="40"/>
    </row>
    <row r="8286" spans="24:25" x14ac:dyDescent="0.35">
      <c r="X8286" s="40"/>
      <c r="Y8286" s="40"/>
    </row>
    <row r="8287" spans="24:25" x14ac:dyDescent="0.35">
      <c r="X8287" s="40"/>
      <c r="Y8287" s="40"/>
    </row>
    <row r="8288" spans="24:25" x14ac:dyDescent="0.35">
      <c r="X8288" s="40"/>
      <c r="Y8288" s="40"/>
    </row>
    <row r="8289" spans="24:25" x14ac:dyDescent="0.35">
      <c r="X8289" s="40"/>
      <c r="Y8289" s="40"/>
    </row>
    <row r="8290" spans="24:25" x14ac:dyDescent="0.35">
      <c r="X8290" s="40"/>
      <c r="Y8290" s="40"/>
    </row>
    <row r="8291" spans="24:25" x14ac:dyDescent="0.35">
      <c r="X8291" s="40"/>
      <c r="Y8291" s="40"/>
    </row>
    <row r="8292" spans="24:25" x14ac:dyDescent="0.35">
      <c r="X8292" s="40"/>
      <c r="Y8292" s="40"/>
    </row>
    <row r="8293" spans="24:25" x14ac:dyDescent="0.35">
      <c r="X8293" s="40"/>
      <c r="Y8293" s="40"/>
    </row>
    <row r="8294" spans="24:25" x14ac:dyDescent="0.35">
      <c r="X8294" s="40"/>
      <c r="Y8294" s="40"/>
    </row>
    <row r="8295" spans="24:25" x14ac:dyDescent="0.35">
      <c r="X8295" s="40"/>
      <c r="Y8295" s="40"/>
    </row>
    <row r="8296" spans="24:25" x14ac:dyDescent="0.35">
      <c r="X8296" s="40"/>
      <c r="Y8296" s="40"/>
    </row>
    <row r="8297" spans="24:25" x14ac:dyDescent="0.35">
      <c r="X8297" s="40"/>
      <c r="Y8297" s="40"/>
    </row>
    <row r="8298" spans="24:25" x14ac:dyDescent="0.35">
      <c r="X8298" s="40"/>
      <c r="Y8298" s="40"/>
    </row>
    <row r="8299" spans="24:25" x14ac:dyDescent="0.35">
      <c r="X8299" s="40"/>
      <c r="Y8299" s="40"/>
    </row>
    <row r="8300" spans="24:25" x14ac:dyDescent="0.35">
      <c r="X8300" s="40"/>
      <c r="Y8300" s="40"/>
    </row>
    <row r="8301" spans="24:25" x14ac:dyDescent="0.35">
      <c r="X8301" s="40"/>
      <c r="Y8301" s="40"/>
    </row>
    <row r="8302" spans="24:25" x14ac:dyDescent="0.35">
      <c r="X8302" s="40"/>
      <c r="Y8302" s="40"/>
    </row>
    <row r="8303" spans="24:25" x14ac:dyDescent="0.35">
      <c r="X8303" s="40"/>
      <c r="Y8303" s="40"/>
    </row>
    <row r="8304" spans="24:25" x14ac:dyDescent="0.35">
      <c r="X8304" s="40"/>
      <c r="Y8304" s="40"/>
    </row>
    <row r="8305" spans="24:25" x14ac:dyDescent="0.35">
      <c r="X8305" s="40"/>
      <c r="Y8305" s="40"/>
    </row>
    <row r="8306" spans="24:25" x14ac:dyDescent="0.35">
      <c r="X8306" s="40"/>
      <c r="Y8306" s="40"/>
    </row>
    <row r="8307" spans="24:25" x14ac:dyDescent="0.35">
      <c r="X8307" s="40"/>
      <c r="Y8307" s="40"/>
    </row>
    <row r="8308" spans="24:25" x14ac:dyDescent="0.35">
      <c r="X8308" s="40"/>
      <c r="Y8308" s="40"/>
    </row>
    <row r="8309" spans="24:25" x14ac:dyDescent="0.35">
      <c r="X8309" s="40"/>
      <c r="Y8309" s="40"/>
    </row>
    <row r="8310" spans="24:25" x14ac:dyDescent="0.35">
      <c r="X8310" s="40"/>
      <c r="Y8310" s="40"/>
    </row>
    <row r="8311" spans="24:25" x14ac:dyDescent="0.35">
      <c r="X8311" s="40"/>
      <c r="Y8311" s="40"/>
    </row>
    <row r="8312" spans="24:25" x14ac:dyDescent="0.35">
      <c r="X8312" s="40"/>
      <c r="Y8312" s="40"/>
    </row>
    <row r="8313" spans="24:25" x14ac:dyDescent="0.35">
      <c r="X8313" s="40"/>
      <c r="Y8313" s="40"/>
    </row>
    <row r="8314" spans="24:25" x14ac:dyDescent="0.35">
      <c r="X8314" s="40"/>
      <c r="Y8314" s="40"/>
    </row>
    <row r="8315" spans="24:25" x14ac:dyDescent="0.35">
      <c r="X8315" s="40"/>
      <c r="Y8315" s="40"/>
    </row>
    <row r="8316" spans="24:25" x14ac:dyDescent="0.35">
      <c r="X8316" s="40"/>
      <c r="Y8316" s="40"/>
    </row>
    <row r="8317" spans="24:25" x14ac:dyDescent="0.35">
      <c r="X8317" s="40"/>
      <c r="Y8317" s="40"/>
    </row>
    <row r="8318" spans="24:25" x14ac:dyDescent="0.35">
      <c r="X8318" s="40"/>
      <c r="Y8318" s="40"/>
    </row>
    <row r="8319" spans="24:25" x14ac:dyDescent="0.35">
      <c r="X8319" s="40"/>
      <c r="Y8319" s="40"/>
    </row>
    <row r="8320" spans="24:25" x14ac:dyDescent="0.35">
      <c r="X8320" s="40"/>
      <c r="Y8320" s="40"/>
    </row>
    <row r="8321" spans="24:25" x14ac:dyDescent="0.35">
      <c r="X8321" s="40"/>
      <c r="Y8321" s="40"/>
    </row>
    <row r="8322" spans="24:25" x14ac:dyDescent="0.35">
      <c r="X8322" s="40"/>
      <c r="Y8322" s="40"/>
    </row>
    <row r="8323" spans="24:25" x14ac:dyDescent="0.35">
      <c r="X8323" s="40"/>
      <c r="Y8323" s="40"/>
    </row>
    <row r="8324" spans="24:25" x14ac:dyDescent="0.35">
      <c r="X8324" s="40"/>
      <c r="Y8324" s="40"/>
    </row>
    <row r="8325" spans="24:25" x14ac:dyDescent="0.35">
      <c r="X8325" s="40"/>
      <c r="Y8325" s="40"/>
    </row>
    <row r="8326" spans="24:25" x14ac:dyDescent="0.35">
      <c r="X8326" s="40"/>
      <c r="Y8326" s="40"/>
    </row>
    <row r="8327" spans="24:25" x14ac:dyDescent="0.35">
      <c r="X8327" s="40"/>
      <c r="Y8327" s="40"/>
    </row>
    <row r="8328" spans="24:25" x14ac:dyDescent="0.35">
      <c r="X8328" s="40"/>
      <c r="Y8328" s="40"/>
    </row>
    <row r="8329" spans="24:25" x14ac:dyDescent="0.35">
      <c r="X8329" s="40"/>
      <c r="Y8329" s="40"/>
    </row>
    <row r="8330" spans="24:25" x14ac:dyDescent="0.35">
      <c r="X8330" s="40"/>
      <c r="Y8330" s="40"/>
    </row>
    <row r="8331" spans="24:25" x14ac:dyDescent="0.35">
      <c r="X8331" s="40"/>
      <c r="Y8331" s="40"/>
    </row>
    <row r="8332" spans="24:25" x14ac:dyDescent="0.35">
      <c r="X8332" s="40"/>
      <c r="Y8332" s="40"/>
    </row>
    <row r="8333" spans="24:25" x14ac:dyDescent="0.35">
      <c r="X8333" s="40"/>
      <c r="Y8333" s="40"/>
    </row>
    <row r="8334" spans="24:25" x14ac:dyDescent="0.35">
      <c r="X8334" s="40"/>
      <c r="Y8334" s="40"/>
    </row>
    <row r="8335" spans="24:25" x14ac:dyDescent="0.35">
      <c r="X8335" s="40"/>
      <c r="Y8335" s="40"/>
    </row>
    <row r="8336" spans="24:25" x14ac:dyDescent="0.35">
      <c r="X8336" s="40"/>
      <c r="Y8336" s="40"/>
    </row>
    <row r="8337" spans="24:25" x14ac:dyDescent="0.35">
      <c r="X8337" s="40"/>
      <c r="Y8337" s="40"/>
    </row>
    <row r="8338" spans="24:25" x14ac:dyDescent="0.35">
      <c r="X8338" s="40"/>
      <c r="Y8338" s="40"/>
    </row>
    <row r="8339" spans="24:25" x14ac:dyDescent="0.35">
      <c r="X8339" s="40"/>
      <c r="Y8339" s="40"/>
    </row>
    <row r="8340" spans="24:25" x14ac:dyDescent="0.35">
      <c r="X8340" s="40"/>
      <c r="Y8340" s="40"/>
    </row>
    <row r="8341" spans="24:25" x14ac:dyDescent="0.35">
      <c r="X8341" s="40"/>
      <c r="Y8341" s="40"/>
    </row>
    <row r="8342" spans="24:25" x14ac:dyDescent="0.35">
      <c r="X8342" s="40"/>
      <c r="Y8342" s="40"/>
    </row>
    <row r="8343" spans="24:25" x14ac:dyDescent="0.35">
      <c r="X8343" s="40"/>
      <c r="Y8343" s="40"/>
    </row>
    <row r="8344" spans="24:25" x14ac:dyDescent="0.35">
      <c r="X8344" s="40"/>
      <c r="Y8344" s="40"/>
    </row>
    <row r="8345" spans="24:25" x14ac:dyDescent="0.35">
      <c r="X8345" s="40"/>
      <c r="Y8345" s="40"/>
    </row>
    <row r="8346" spans="24:25" x14ac:dyDescent="0.35">
      <c r="X8346" s="40"/>
      <c r="Y8346" s="40"/>
    </row>
    <row r="8347" spans="24:25" x14ac:dyDescent="0.35">
      <c r="X8347" s="40"/>
      <c r="Y8347" s="40"/>
    </row>
    <row r="8348" spans="24:25" x14ac:dyDescent="0.35">
      <c r="X8348" s="40"/>
      <c r="Y8348" s="40"/>
    </row>
    <row r="8349" spans="24:25" x14ac:dyDescent="0.35">
      <c r="X8349" s="40"/>
      <c r="Y8349" s="40"/>
    </row>
    <row r="8350" spans="24:25" x14ac:dyDescent="0.35">
      <c r="X8350" s="40"/>
      <c r="Y8350" s="40"/>
    </row>
    <row r="8351" spans="24:25" x14ac:dyDescent="0.35">
      <c r="X8351" s="40"/>
      <c r="Y8351" s="40"/>
    </row>
    <row r="8352" spans="24:25" x14ac:dyDescent="0.35">
      <c r="X8352" s="40"/>
      <c r="Y8352" s="40"/>
    </row>
    <row r="8353" spans="24:25" x14ac:dyDescent="0.35">
      <c r="X8353" s="40"/>
      <c r="Y8353" s="40"/>
    </row>
    <row r="8354" spans="24:25" x14ac:dyDescent="0.35">
      <c r="X8354" s="40"/>
      <c r="Y8354" s="40"/>
    </row>
    <row r="8355" spans="24:25" x14ac:dyDescent="0.35">
      <c r="X8355" s="40"/>
      <c r="Y8355" s="40"/>
    </row>
    <row r="8356" spans="24:25" x14ac:dyDescent="0.35">
      <c r="X8356" s="40"/>
      <c r="Y8356" s="40"/>
    </row>
    <row r="8357" spans="24:25" x14ac:dyDescent="0.35">
      <c r="X8357" s="40"/>
      <c r="Y8357" s="40"/>
    </row>
    <row r="8358" spans="24:25" x14ac:dyDescent="0.35">
      <c r="X8358" s="40"/>
      <c r="Y8358" s="40"/>
    </row>
    <row r="8359" spans="24:25" x14ac:dyDescent="0.35">
      <c r="X8359" s="40"/>
      <c r="Y8359" s="40"/>
    </row>
    <row r="8360" spans="24:25" x14ac:dyDescent="0.35">
      <c r="X8360" s="40"/>
      <c r="Y8360" s="40"/>
    </row>
    <row r="8361" spans="24:25" x14ac:dyDescent="0.35">
      <c r="X8361" s="40"/>
      <c r="Y8361" s="40"/>
    </row>
    <row r="8362" spans="24:25" x14ac:dyDescent="0.35">
      <c r="X8362" s="40"/>
      <c r="Y8362" s="40"/>
    </row>
    <row r="8363" spans="24:25" x14ac:dyDescent="0.35">
      <c r="X8363" s="40"/>
      <c r="Y8363" s="40"/>
    </row>
    <row r="8364" spans="24:25" x14ac:dyDescent="0.35">
      <c r="X8364" s="40"/>
      <c r="Y8364" s="40"/>
    </row>
    <row r="8365" spans="24:25" x14ac:dyDescent="0.35">
      <c r="X8365" s="40"/>
      <c r="Y8365" s="40"/>
    </row>
    <row r="8366" spans="24:25" x14ac:dyDescent="0.35">
      <c r="X8366" s="40"/>
      <c r="Y8366" s="40"/>
    </row>
    <row r="8367" spans="24:25" x14ac:dyDescent="0.35">
      <c r="X8367" s="40"/>
      <c r="Y8367" s="40"/>
    </row>
    <row r="8368" spans="24:25" x14ac:dyDescent="0.35">
      <c r="X8368" s="40"/>
      <c r="Y8368" s="40"/>
    </row>
    <row r="8369" spans="24:25" x14ac:dyDescent="0.35">
      <c r="X8369" s="40"/>
      <c r="Y8369" s="40"/>
    </row>
    <row r="8370" spans="24:25" x14ac:dyDescent="0.35">
      <c r="X8370" s="40"/>
      <c r="Y8370" s="40"/>
    </row>
    <row r="8371" spans="24:25" x14ac:dyDescent="0.35">
      <c r="X8371" s="40"/>
      <c r="Y8371" s="40"/>
    </row>
    <row r="8372" spans="24:25" x14ac:dyDescent="0.35">
      <c r="X8372" s="40"/>
      <c r="Y8372" s="40"/>
    </row>
    <row r="8373" spans="24:25" x14ac:dyDescent="0.35">
      <c r="X8373" s="40"/>
      <c r="Y8373" s="40"/>
    </row>
    <row r="8374" spans="24:25" x14ac:dyDescent="0.35">
      <c r="X8374" s="40"/>
      <c r="Y8374" s="40"/>
    </row>
    <row r="8375" spans="24:25" x14ac:dyDescent="0.35">
      <c r="X8375" s="40"/>
      <c r="Y8375" s="40"/>
    </row>
    <row r="8376" spans="24:25" x14ac:dyDescent="0.35">
      <c r="X8376" s="40"/>
      <c r="Y8376" s="40"/>
    </row>
    <row r="8377" spans="24:25" x14ac:dyDescent="0.35">
      <c r="X8377" s="40"/>
      <c r="Y8377" s="40"/>
    </row>
    <row r="8378" spans="24:25" x14ac:dyDescent="0.35">
      <c r="X8378" s="40"/>
      <c r="Y8378" s="40"/>
    </row>
    <row r="8379" spans="24:25" x14ac:dyDescent="0.35">
      <c r="X8379" s="40"/>
      <c r="Y8379" s="40"/>
    </row>
    <row r="8380" spans="24:25" x14ac:dyDescent="0.35">
      <c r="X8380" s="40"/>
      <c r="Y8380" s="40"/>
    </row>
    <row r="8381" spans="24:25" x14ac:dyDescent="0.35">
      <c r="X8381" s="40"/>
      <c r="Y8381" s="40"/>
    </row>
    <row r="8382" spans="24:25" x14ac:dyDescent="0.35">
      <c r="X8382" s="40"/>
      <c r="Y8382" s="40"/>
    </row>
    <row r="8383" spans="24:25" x14ac:dyDescent="0.35">
      <c r="X8383" s="40"/>
      <c r="Y8383" s="40"/>
    </row>
    <row r="8384" spans="24:25" x14ac:dyDescent="0.35">
      <c r="X8384" s="40"/>
      <c r="Y8384" s="40"/>
    </row>
    <row r="8385" spans="24:25" x14ac:dyDescent="0.35">
      <c r="X8385" s="40"/>
      <c r="Y8385" s="40"/>
    </row>
    <row r="8386" spans="24:25" x14ac:dyDescent="0.35">
      <c r="X8386" s="40"/>
      <c r="Y8386" s="40"/>
    </row>
    <row r="8387" spans="24:25" x14ac:dyDescent="0.35">
      <c r="X8387" s="40"/>
      <c r="Y8387" s="40"/>
    </row>
    <row r="8388" spans="24:25" x14ac:dyDescent="0.35">
      <c r="X8388" s="40"/>
      <c r="Y8388" s="40"/>
    </row>
    <row r="8389" spans="24:25" x14ac:dyDescent="0.35">
      <c r="X8389" s="40"/>
      <c r="Y8389" s="40"/>
    </row>
    <row r="8390" spans="24:25" x14ac:dyDescent="0.35">
      <c r="X8390" s="40"/>
      <c r="Y8390" s="40"/>
    </row>
    <row r="8391" spans="24:25" x14ac:dyDescent="0.35">
      <c r="X8391" s="40"/>
      <c r="Y8391" s="40"/>
    </row>
    <row r="8392" spans="24:25" x14ac:dyDescent="0.35">
      <c r="X8392" s="40"/>
      <c r="Y8392" s="40"/>
    </row>
    <row r="8393" spans="24:25" x14ac:dyDescent="0.35">
      <c r="X8393" s="40"/>
      <c r="Y8393" s="40"/>
    </row>
    <row r="8394" spans="24:25" x14ac:dyDescent="0.35">
      <c r="X8394" s="40"/>
      <c r="Y8394" s="40"/>
    </row>
    <row r="8395" spans="24:25" x14ac:dyDescent="0.35">
      <c r="X8395" s="40"/>
      <c r="Y8395" s="40"/>
    </row>
    <row r="8396" spans="24:25" x14ac:dyDescent="0.35">
      <c r="X8396" s="40"/>
      <c r="Y8396" s="40"/>
    </row>
    <row r="8397" spans="24:25" x14ac:dyDescent="0.35">
      <c r="X8397" s="40"/>
      <c r="Y8397" s="40"/>
    </row>
    <row r="8398" spans="24:25" x14ac:dyDescent="0.35">
      <c r="X8398" s="40"/>
      <c r="Y8398" s="40"/>
    </row>
    <row r="8399" spans="24:25" x14ac:dyDescent="0.35">
      <c r="X8399" s="40"/>
      <c r="Y8399" s="40"/>
    </row>
    <row r="8400" spans="24:25" x14ac:dyDescent="0.35">
      <c r="X8400" s="40"/>
      <c r="Y8400" s="40"/>
    </row>
    <row r="8401" spans="24:25" x14ac:dyDescent="0.35">
      <c r="X8401" s="40"/>
      <c r="Y8401" s="40"/>
    </row>
    <row r="8402" spans="24:25" x14ac:dyDescent="0.35">
      <c r="X8402" s="40"/>
      <c r="Y8402" s="40"/>
    </row>
    <row r="8403" spans="24:25" x14ac:dyDescent="0.35">
      <c r="X8403" s="40"/>
      <c r="Y8403" s="40"/>
    </row>
    <row r="8404" spans="24:25" x14ac:dyDescent="0.35">
      <c r="X8404" s="40"/>
      <c r="Y8404" s="40"/>
    </row>
    <row r="8405" spans="24:25" x14ac:dyDescent="0.35">
      <c r="X8405" s="40"/>
      <c r="Y8405" s="40"/>
    </row>
    <row r="8406" spans="24:25" x14ac:dyDescent="0.35">
      <c r="X8406" s="40"/>
      <c r="Y8406" s="40"/>
    </row>
    <row r="8407" spans="24:25" x14ac:dyDescent="0.35">
      <c r="X8407" s="40"/>
      <c r="Y8407" s="40"/>
    </row>
    <row r="8408" spans="24:25" x14ac:dyDescent="0.35">
      <c r="X8408" s="40"/>
      <c r="Y8408" s="40"/>
    </row>
    <row r="8409" spans="24:25" x14ac:dyDescent="0.35">
      <c r="X8409" s="40"/>
      <c r="Y8409" s="40"/>
    </row>
    <row r="8410" spans="24:25" x14ac:dyDescent="0.35">
      <c r="X8410" s="40"/>
      <c r="Y8410" s="40"/>
    </row>
    <row r="8411" spans="24:25" x14ac:dyDescent="0.35">
      <c r="X8411" s="40"/>
      <c r="Y8411" s="40"/>
    </row>
    <row r="8412" spans="24:25" x14ac:dyDescent="0.35">
      <c r="X8412" s="40"/>
      <c r="Y8412" s="40"/>
    </row>
    <row r="8413" spans="24:25" x14ac:dyDescent="0.35">
      <c r="X8413" s="40"/>
      <c r="Y8413" s="40"/>
    </row>
    <row r="8414" spans="24:25" x14ac:dyDescent="0.35">
      <c r="X8414" s="40"/>
      <c r="Y8414" s="40"/>
    </row>
    <row r="8415" spans="24:25" x14ac:dyDescent="0.35">
      <c r="X8415" s="40"/>
      <c r="Y8415" s="40"/>
    </row>
    <row r="8416" spans="24:25" x14ac:dyDescent="0.35">
      <c r="X8416" s="40"/>
      <c r="Y8416" s="40"/>
    </row>
    <row r="8417" spans="24:25" x14ac:dyDescent="0.35">
      <c r="X8417" s="40"/>
      <c r="Y8417" s="40"/>
    </row>
    <row r="8418" spans="24:25" x14ac:dyDescent="0.35">
      <c r="X8418" s="40"/>
      <c r="Y8418" s="40"/>
    </row>
    <row r="8419" spans="24:25" x14ac:dyDescent="0.35">
      <c r="X8419" s="40"/>
      <c r="Y8419" s="40"/>
    </row>
    <row r="8420" spans="24:25" x14ac:dyDescent="0.35">
      <c r="X8420" s="40"/>
      <c r="Y8420" s="40"/>
    </row>
    <row r="8421" spans="24:25" x14ac:dyDescent="0.35">
      <c r="X8421" s="40"/>
      <c r="Y8421" s="40"/>
    </row>
    <row r="8422" spans="24:25" x14ac:dyDescent="0.35">
      <c r="X8422" s="40"/>
      <c r="Y8422" s="40"/>
    </row>
    <row r="8423" spans="24:25" x14ac:dyDescent="0.35">
      <c r="X8423" s="40"/>
      <c r="Y8423" s="40"/>
    </row>
    <row r="8424" spans="24:25" x14ac:dyDescent="0.35">
      <c r="X8424" s="40"/>
      <c r="Y8424" s="40"/>
    </row>
    <row r="8425" spans="24:25" x14ac:dyDescent="0.35">
      <c r="X8425" s="40"/>
      <c r="Y8425" s="40"/>
    </row>
    <row r="8426" spans="24:25" x14ac:dyDescent="0.35">
      <c r="X8426" s="40"/>
      <c r="Y8426" s="40"/>
    </row>
    <row r="8427" spans="24:25" x14ac:dyDescent="0.35">
      <c r="X8427" s="40"/>
      <c r="Y8427" s="40"/>
    </row>
    <row r="8428" spans="24:25" x14ac:dyDescent="0.35">
      <c r="X8428" s="40"/>
      <c r="Y8428" s="40"/>
    </row>
    <row r="8429" spans="24:25" x14ac:dyDescent="0.35">
      <c r="X8429" s="40"/>
      <c r="Y8429" s="40"/>
    </row>
    <row r="8430" spans="24:25" x14ac:dyDescent="0.35">
      <c r="X8430" s="40"/>
      <c r="Y8430" s="40"/>
    </row>
    <row r="8431" spans="24:25" x14ac:dyDescent="0.35">
      <c r="X8431" s="40"/>
      <c r="Y8431" s="40"/>
    </row>
    <row r="8432" spans="24:25" x14ac:dyDescent="0.35">
      <c r="X8432" s="40"/>
      <c r="Y8432" s="40"/>
    </row>
    <row r="8433" spans="24:25" x14ac:dyDescent="0.35">
      <c r="X8433" s="40"/>
      <c r="Y8433" s="40"/>
    </row>
    <row r="8434" spans="24:25" x14ac:dyDescent="0.35">
      <c r="X8434" s="40"/>
      <c r="Y8434" s="40"/>
    </row>
    <row r="8435" spans="24:25" x14ac:dyDescent="0.35">
      <c r="X8435" s="40"/>
      <c r="Y8435" s="40"/>
    </row>
    <row r="8436" spans="24:25" x14ac:dyDescent="0.35">
      <c r="X8436" s="40"/>
      <c r="Y8436" s="40"/>
    </row>
    <row r="8437" spans="24:25" x14ac:dyDescent="0.35">
      <c r="X8437" s="40"/>
      <c r="Y8437" s="40"/>
    </row>
    <row r="8438" spans="24:25" x14ac:dyDescent="0.35">
      <c r="X8438" s="40"/>
      <c r="Y8438" s="40"/>
    </row>
    <row r="8439" spans="24:25" x14ac:dyDescent="0.35">
      <c r="X8439" s="40"/>
      <c r="Y8439" s="40"/>
    </row>
    <row r="8440" spans="24:25" x14ac:dyDescent="0.35">
      <c r="X8440" s="40"/>
      <c r="Y8440" s="40"/>
    </row>
    <row r="8441" spans="24:25" x14ac:dyDescent="0.35">
      <c r="X8441" s="40"/>
      <c r="Y8441" s="40"/>
    </row>
    <row r="8442" spans="24:25" x14ac:dyDescent="0.35">
      <c r="X8442" s="40"/>
      <c r="Y8442" s="40"/>
    </row>
    <row r="8443" spans="24:25" x14ac:dyDescent="0.35">
      <c r="X8443" s="40"/>
      <c r="Y8443" s="40"/>
    </row>
    <row r="8444" spans="24:25" x14ac:dyDescent="0.35">
      <c r="X8444" s="40"/>
      <c r="Y8444" s="40"/>
    </row>
    <row r="8445" spans="24:25" x14ac:dyDescent="0.35">
      <c r="X8445" s="40"/>
      <c r="Y8445" s="40"/>
    </row>
    <row r="8446" spans="24:25" x14ac:dyDescent="0.35">
      <c r="X8446" s="40"/>
      <c r="Y8446" s="40"/>
    </row>
    <row r="8447" spans="24:25" x14ac:dyDescent="0.35">
      <c r="X8447" s="40"/>
      <c r="Y8447" s="40"/>
    </row>
    <row r="8448" spans="24:25" x14ac:dyDescent="0.35">
      <c r="X8448" s="40"/>
      <c r="Y8448" s="40"/>
    </row>
    <row r="8449" spans="24:25" x14ac:dyDescent="0.35">
      <c r="X8449" s="40"/>
      <c r="Y8449" s="40"/>
    </row>
    <row r="8450" spans="24:25" x14ac:dyDescent="0.35">
      <c r="X8450" s="40"/>
      <c r="Y8450" s="40"/>
    </row>
    <row r="8451" spans="24:25" x14ac:dyDescent="0.35">
      <c r="X8451" s="40"/>
      <c r="Y8451" s="40"/>
    </row>
    <row r="8452" spans="24:25" x14ac:dyDescent="0.35">
      <c r="X8452" s="40"/>
      <c r="Y8452" s="40"/>
    </row>
    <row r="8453" spans="24:25" x14ac:dyDescent="0.35">
      <c r="X8453" s="40"/>
      <c r="Y8453" s="40"/>
    </row>
    <row r="8454" spans="24:25" x14ac:dyDescent="0.35">
      <c r="X8454" s="40"/>
      <c r="Y8454" s="40"/>
    </row>
    <row r="8455" spans="24:25" x14ac:dyDescent="0.35">
      <c r="X8455" s="40"/>
      <c r="Y8455" s="40"/>
    </row>
    <row r="8456" spans="24:25" x14ac:dyDescent="0.35">
      <c r="X8456" s="40"/>
      <c r="Y8456" s="40"/>
    </row>
    <row r="8457" spans="24:25" x14ac:dyDescent="0.35">
      <c r="X8457" s="40"/>
      <c r="Y8457" s="40"/>
    </row>
    <row r="8458" spans="24:25" x14ac:dyDescent="0.35">
      <c r="X8458" s="40"/>
      <c r="Y8458" s="40"/>
    </row>
    <row r="8459" spans="24:25" x14ac:dyDescent="0.35">
      <c r="X8459" s="40"/>
      <c r="Y8459" s="40"/>
    </row>
    <row r="8460" spans="24:25" x14ac:dyDescent="0.35">
      <c r="X8460" s="40"/>
      <c r="Y8460" s="40"/>
    </row>
    <row r="8461" spans="24:25" x14ac:dyDescent="0.35">
      <c r="X8461" s="40"/>
      <c r="Y8461" s="40"/>
    </row>
    <row r="8462" spans="24:25" x14ac:dyDescent="0.35">
      <c r="X8462" s="40"/>
      <c r="Y8462" s="40"/>
    </row>
    <row r="8463" spans="24:25" x14ac:dyDescent="0.35">
      <c r="X8463" s="40"/>
      <c r="Y8463" s="40"/>
    </row>
    <row r="8464" spans="24:25" x14ac:dyDescent="0.35">
      <c r="X8464" s="40"/>
      <c r="Y8464" s="40"/>
    </row>
    <row r="8465" spans="24:25" x14ac:dyDescent="0.35">
      <c r="X8465" s="40"/>
      <c r="Y8465" s="40"/>
    </row>
    <row r="8466" spans="24:25" x14ac:dyDescent="0.35">
      <c r="X8466" s="40"/>
      <c r="Y8466" s="40"/>
    </row>
    <row r="8467" spans="24:25" x14ac:dyDescent="0.35">
      <c r="X8467" s="40"/>
      <c r="Y8467" s="40"/>
    </row>
    <row r="8468" spans="24:25" x14ac:dyDescent="0.35">
      <c r="X8468" s="40"/>
      <c r="Y8468" s="40"/>
    </row>
    <row r="8469" spans="24:25" x14ac:dyDescent="0.35">
      <c r="X8469" s="40"/>
      <c r="Y8469" s="40"/>
    </row>
    <row r="8470" spans="24:25" x14ac:dyDescent="0.35">
      <c r="X8470" s="40"/>
      <c r="Y8470" s="40"/>
    </row>
    <row r="8471" spans="24:25" x14ac:dyDescent="0.35">
      <c r="X8471" s="40"/>
      <c r="Y8471" s="40"/>
    </row>
    <row r="8472" spans="24:25" x14ac:dyDescent="0.35">
      <c r="X8472" s="40"/>
      <c r="Y8472" s="40"/>
    </row>
    <row r="8473" spans="24:25" x14ac:dyDescent="0.35">
      <c r="X8473" s="40"/>
      <c r="Y8473" s="40"/>
    </row>
    <row r="8474" spans="24:25" x14ac:dyDescent="0.35">
      <c r="X8474" s="40"/>
      <c r="Y8474" s="40"/>
    </row>
    <row r="8475" spans="24:25" x14ac:dyDescent="0.35">
      <c r="X8475" s="40"/>
      <c r="Y8475" s="40"/>
    </row>
    <row r="8476" spans="24:25" x14ac:dyDescent="0.35">
      <c r="X8476" s="40"/>
      <c r="Y8476" s="40"/>
    </row>
    <row r="8477" spans="24:25" x14ac:dyDescent="0.35">
      <c r="X8477" s="40"/>
      <c r="Y8477" s="40"/>
    </row>
    <row r="8478" spans="24:25" x14ac:dyDescent="0.35">
      <c r="X8478" s="40"/>
      <c r="Y8478" s="40"/>
    </row>
    <row r="8479" spans="24:25" x14ac:dyDescent="0.35">
      <c r="X8479" s="40"/>
      <c r="Y8479" s="40"/>
    </row>
    <row r="8480" spans="24:25" x14ac:dyDescent="0.35">
      <c r="X8480" s="40"/>
      <c r="Y8480" s="40"/>
    </row>
    <row r="8481" spans="24:25" x14ac:dyDescent="0.35">
      <c r="X8481" s="40"/>
      <c r="Y8481" s="40"/>
    </row>
    <row r="8482" spans="24:25" x14ac:dyDescent="0.35">
      <c r="X8482" s="40"/>
      <c r="Y8482" s="40"/>
    </row>
    <row r="8483" spans="24:25" x14ac:dyDescent="0.35">
      <c r="X8483" s="40"/>
      <c r="Y8483" s="40"/>
    </row>
    <row r="8484" spans="24:25" x14ac:dyDescent="0.35">
      <c r="X8484" s="40"/>
      <c r="Y8484" s="40"/>
    </row>
    <row r="8485" spans="24:25" x14ac:dyDescent="0.35">
      <c r="X8485" s="40"/>
      <c r="Y8485" s="40"/>
    </row>
    <row r="8486" spans="24:25" x14ac:dyDescent="0.35">
      <c r="X8486" s="40"/>
      <c r="Y8486" s="40"/>
    </row>
    <row r="8487" spans="24:25" x14ac:dyDescent="0.35">
      <c r="X8487" s="40"/>
      <c r="Y8487" s="40"/>
    </row>
    <row r="8488" spans="24:25" x14ac:dyDescent="0.35">
      <c r="X8488" s="40"/>
      <c r="Y8488" s="40"/>
    </row>
    <row r="8489" spans="24:25" x14ac:dyDescent="0.35">
      <c r="X8489" s="40"/>
      <c r="Y8489" s="40"/>
    </row>
    <row r="8490" spans="24:25" x14ac:dyDescent="0.35">
      <c r="X8490" s="40"/>
      <c r="Y8490" s="40"/>
    </row>
    <row r="8491" spans="24:25" x14ac:dyDescent="0.35">
      <c r="X8491" s="40"/>
      <c r="Y8491" s="40"/>
    </row>
    <row r="8492" spans="24:25" x14ac:dyDescent="0.35">
      <c r="X8492" s="40"/>
      <c r="Y8492" s="40"/>
    </row>
    <row r="8493" spans="24:25" x14ac:dyDescent="0.35">
      <c r="X8493" s="40"/>
      <c r="Y8493" s="40"/>
    </row>
    <row r="8494" spans="24:25" x14ac:dyDescent="0.35">
      <c r="X8494" s="40"/>
      <c r="Y8494" s="40"/>
    </row>
    <row r="8495" spans="24:25" x14ac:dyDescent="0.35">
      <c r="X8495" s="40"/>
      <c r="Y8495" s="40"/>
    </row>
    <row r="8496" spans="24:25" x14ac:dyDescent="0.35">
      <c r="X8496" s="40"/>
      <c r="Y8496" s="40"/>
    </row>
    <row r="8497" spans="24:25" x14ac:dyDescent="0.35">
      <c r="X8497" s="40"/>
      <c r="Y8497" s="40"/>
    </row>
    <row r="8498" spans="24:25" x14ac:dyDescent="0.35">
      <c r="X8498" s="40"/>
      <c r="Y8498" s="40"/>
    </row>
    <row r="8499" spans="24:25" x14ac:dyDescent="0.35">
      <c r="X8499" s="40"/>
      <c r="Y8499" s="40"/>
    </row>
    <row r="8500" spans="24:25" x14ac:dyDescent="0.35">
      <c r="X8500" s="40"/>
      <c r="Y8500" s="40"/>
    </row>
    <row r="8501" spans="24:25" x14ac:dyDescent="0.35">
      <c r="X8501" s="40"/>
      <c r="Y8501" s="40"/>
    </row>
    <row r="8502" spans="24:25" x14ac:dyDescent="0.35">
      <c r="X8502" s="40"/>
      <c r="Y8502" s="40"/>
    </row>
    <row r="8503" spans="24:25" x14ac:dyDescent="0.35">
      <c r="X8503" s="40"/>
      <c r="Y8503" s="40"/>
    </row>
    <row r="8504" spans="24:25" x14ac:dyDescent="0.35">
      <c r="X8504" s="40"/>
      <c r="Y8504" s="40"/>
    </row>
    <row r="8505" spans="24:25" x14ac:dyDescent="0.35">
      <c r="X8505" s="40"/>
      <c r="Y8505" s="40"/>
    </row>
    <row r="8506" spans="24:25" x14ac:dyDescent="0.35">
      <c r="X8506" s="40"/>
      <c r="Y8506" s="40"/>
    </row>
    <row r="8507" spans="24:25" x14ac:dyDescent="0.35">
      <c r="X8507" s="40"/>
      <c r="Y8507" s="40"/>
    </row>
    <row r="8508" spans="24:25" x14ac:dyDescent="0.35">
      <c r="X8508" s="40"/>
      <c r="Y8508" s="40"/>
    </row>
    <row r="8509" spans="24:25" x14ac:dyDescent="0.35">
      <c r="X8509" s="40"/>
      <c r="Y8509" s="40"/>
    </row>
    <row r="8510" spans="24:25" x14ac:dyDescent="0.35">
      <c r="X8510" s="40"/>
      <c r="Y8510" s="40"/>
    </row>
    <row r="8511" spans="24:25" x14ac:dyDescent="0.35">
      <c r="X8511" s="40"/>
      <c r="Y8511" s="40"/>
    </row>
    <row r="8512" spans="24:25" x14ac:dyDescent="0.35">
      <c r="X8512" s="40"/>
      <c r="Y8512" s="40"/>
    </row>
    <row r="8513" spans="24:25" x14ac:dyDescent="0.35">
      <c r="X8513" s="40"/>
      <c r="Y8513" s="40"/>
    </row>
    <row r="8514" spans="24:25" x14ac:dyDescent="0.35">
      <c r="X8514" s="40"/>
      <c r="Y8514" s="40"/>
    </row>
    <row r="8515" spans="24:25" x14ac:dyDescent="0.35">
      <c r="X8515" s="40"/>
      <c r="Y8515" s="40"/>
    </row>
    <row r="8516" spans="24:25" x14ac:dyDescent="0.35">
      <c r="X8516" s="40"/>
      <c r="Y8516" s="40"/>
    </row>
    <row r="8517" spans="24:25" x14ac:dyDescent="0.35">
      <c r="X8517" s="40"/>
      <c r="Y8517" s="40"/>
    </row>
    <row r="8518" spans="24:25" x14ac:dyDescent="0.35">
      <c r="X8518" s="40"/>
      <c r="Y8518" s="40"/>
    </row>
    <row r="8519" spans="24:25" x14ac:dyDescent="0.35">
      <c r="X8519" s="40"/>
      <c r="Y8519" s="40"/>
    </row>
    <row r="8520" spans="24:25" x14ac:dyDescent="0.35">
      <c r="X8520" s="40"/>
      <c r="Y8520" s="40"/>
    </row>
    <row r="8521" spans="24:25" x14ac:dyDescent="0.35">
      <c r="X8521" s="40"/>
      <c r="Y8521" s="40"/>
    </row>
    <row r="8522" spans="24:25" x14ac:dyDescent="0.35">
      <c r="X8522" s="40"/>
      <c r="Y8522" s="40"/>
    </row>
    <row r="8523" spans="24:25" x14ac:dyDescent="0.35">
      <c r="X8523" s="40"/>
      <c r="Y8523" s="40"/>
    </row>
    <row r="8524" spans="24:25" x14ac:dyDescent="0.35">
      <c r="X8524" s="40"/>
      <c r="Y8524" s="40"/>
    </row>
    <row r="8525" spans="24:25" x14ac:dyDescent="0.35">
      <c r="X8525" s="40"/>
      <c r="Y8525" s="40"/>
    </row>
    <row r="8526" spans="24:25" x14ac:dyDescent="0.35">
      <c r="X8526" s="40"/>
      <c r="Y8526" s="40"/>
    </row>
    <row r="8527" spans="24:25" x14ac:dyDescent="0.35">
      <c r="X8527" s="40"/>
      <c r="Y8527" s="40"/>
    </row>
    <row r="8528" spans="24:25" x14ac:dyDescent="0.35">
      <c r="X8528" s="40"/>
      <c r="Y8528" s="40"/>
    </row>
    <row r="8529" spans="24:25" x14ac:dyDescent="0.35">
      <c r="X8529" s="40"/>
      <c r="Y8529" s="40"/>
    </row>
    <row r="8530" spans="24:25" x14ac:dyDescent="0.35">
      <c r="X8530" s="40"/>
      <c r="Y8530" s="40"/>
    </row>
    <row r="8531" spans="24:25" x14ac:dyDescent="0.35">
      <c r="X8531" s="40"/>
      <c r="Y8531" s="40"/>
    </row>
    <row r="8532" spans="24:25" x14ac:dyDescent="0.35">
      <c r="X8532" s="40"/>
      <c r="Y8532" s="40"/>
    </row>
    <row r="8533" spans="24:25" x14ac:dyDescent="0.35">
      <c r="X8533" s="40"/>
      <c r="Y8533" s="40"/>
    </row>
    <row r="8534" spans="24:25" x14ac:dyDescent="0.35">
      <c r="X8534" s="40"/>
      <c r="Y8534" s="40"/>
    </row>
    <row r="8535" spans="24:25" x14ac:dyDescent="0.35">
      <c r="X8535" s="40"/>
      <c r="Y8535" s="40"/>
    </row>
    <row r="8536" spans="24:25" x14ac:dyDescent="0.35">
      <c r="X8536" s="40"/>
      <c r="Y8536" s="40"/>
    </row>
    <row r="8537" spans="24:25" x14ac:dyDescent="0.35">
      <c r="X8537" s="40"/>
      <c r="Y8537" s="40"/>
    </row>
    <row r="8538" spans="24:25" x14ac:dyDescent="0.35">
      <c r="X8538" s="40"/>
      <c r="Y8538" s="40"/>
    </row>
    <row r="8539" spans="24:25" x14ac:dyDescent="0.35">
      <c r="X8539" s="40"/>
      <c r="Y8539" s="40"/>
    </row>
    <row r="8540" spans="24:25" x14ac:dyDescent="0.35">
      <c r="X8540" s="40"/>
      <c r="Y8540" s="40"/>
    </row>
    <row r="8541" spans="24:25" x14ac:dyDescent="0.35">
      <c r="X8541" s="40"/>
      <c r="Y8541" s="40"/>
    </row>
    <row r="8542" spans="24:25" x14ac:dyDescent="0.35">
      <c r="X8542" s="40"/>
      <c r="Y8542" s="40"/>
    </row>
    <row r="8543" spans="24:25" x14ac:dyDescent="0.35">
      <c r="X8543" s="40"/>
      <c r="Y8543" s="40"/>
    </row>
    <row r="8544" spans="24:25" x14ac:dyDescent="0.35">
      <c r="X8544" s="40"/>
      <c r="Y8544" s="40"/>
    </row>
    <row r="8545" spans="24:25" x14ac:dyDescent="0.35">
      <c r="X8545" s="40"/>
      <c r="Y8545" s="40"/>
    </row>
    <row r="8546" spans="24:25" x14ac:dyDescent="0.35">
      <c r="X8546" s="40"/>
      <c r="Y8546" s="40"/>
    </row>
    <row r="8547" spans="24:25" x14ac:dyDescent="0.35">
      <c r="X8547" s="40"/>
      <c r="Y8547" s="40"/>
    </row>
    <row r="8548" spans="24:25" x14ac:dyDescent="0.35">
      <c r="X8548" s="40"/>
      <c r="Y8548" s="40"/>
    </row>
    <row r="8549" spans="24:25" x14ac:dyDescent="0.35">
      <c r="X8549" s="40"/>
      <c r="Y8549" s="40"/>
    </row>
    <row r="8550" spans="24:25" x14ac:dyDescent="0.35">
      <c r="X8550" s="40"/>
      <c r="Y8550" s="40"/>
    </row>
    <row r="8551" spans="24:25" x14ac:dyDescent="0.35">
      <c r="X8551" s="40"/>
      <c r="Y8551" s="40"/>
    </row>
    <row r="8552" spans="24:25" x14ac:dyDescent="0.35">
      <c r="X8552" s="40"/>
      <c r="Y8552" s="40"/>
    </row>
    <row r="8553" spans="24:25" x14ac:dyDescent="0.35">
      <c r="X8553" s="40"/>
      <c r="Y8553" s="40"/>
    </row>
    <row r="8554" spans="24:25" x14ac:dyDescent="0.35">
      <c r="X8554" s="40"/>
      <c r="Y8554" s="40"/>
    </row>
    <row r="8555" spans="24:25" x14ac:dyDescent="0.35">
      <c r="X8555" s="40"/>
      <c r="Y8555" s="40"/>
    </row>
    <row r="8556" spans="24:25" x14ac:dyDescent="0.35">
      <c r="X8556" s="40"/>
      <c r="Y8556" s="40"/>
    </row>
    <row r="8557" spans="24:25" x14ac:dyDescent="0.35">
      <c r="X8557" s="40"/>
      <c r="Y8557" s="40"/>
    </row>
    <row r="8558" spans="24:25" x14ac:dyDescent="0.35">
      <c r="X8558" s="40"/>
      <c r="Y8558" s="40"/>
    </row>
    <row r="8559" spans="24:25" x14ac:dyDescent="0.35">
      <c r="X8559" s="40"/>
      <c r="Y8559" s="40"/>
    </row>
    <row r="8560" spans="24:25" x14ac:dyDescent="0.35">
      <c r="X8560" s="40"/>
      <c r="Y8560" s="40"/>
    </row>
    <row r="8561" spans="24:25" x14ac:dyDescent="0.35">
      <c r="X8561" s="40"/>
      <c r="Y8561" s="40"/>
    </row>
    <row r="8562" spans="24:25" x14ac:dyDescent="0.35">
      <c r="X8562" s="40"/>
      <c r="Y8562" s="40"/>
    </row>
    <row r="8563" spans="24:25" x14ac:dyDescent="0.35">
      <c r="X8563" s="40"/>
      <c r="Y8563" s="40"/>
    </row>
    <row r="8564" spans="24:25" x14ac:dyDescent="0.35">
      <c r="X8564" s="40"/>
      <c r="Y8564" s="40"/>
    </row>
    <row r="8565" spans="24:25" x14ac:dyDescent="0.35">
      <c r="X8565" s="40"/>
      <c r="Y8565" s="40"/>
    </row>
    <row r="8566" spans="24:25" x14ac:dyDescent="0.35">
      <c r="X8566" s="40"/>
      <c r="Y8566" s="40"/>
    </row>
    <row r="8567" spans="24:25" x14ac:dyDescent="0.35">
      <c r="X8567" s="40"/>
      <c r="Y8567" s="40"/>
    </row>
    <row r="8568" spans="24:25" x14ac:dyDescent="0.35">
      <c r="X8568" s="40"/>
      <c r="Y8568" s="40"/>
    </row>
    <row r="8569" spans="24:25" x14ac:dyDescent="0.35">
      <c r="X8569" s="40"/>
      <c r="Y8569" s="40"/>
    </row>
    <row r="8570" spans="24:25" x14ac:dyDescent="0.35">
      <c r="X8570" s="40"/>
      <c r="Y8570" s="40"/>
    </row>
    <row r="8571" spans="24:25" x14ac:dyDescent="0.35">
      <c r="X8571" s="40"/>
      <c r="Y8571" s="40"/>
    </row>
    <row r="8572" spans="24:25" x14ac:dyDescent="0.35">
      <c r="X8572" s="40"/>
      <c r="Y8572" s="40"/>
    </row>
    <row r="8573" spans="24:25" x14ac:dyDescent="0.35">
      <c r="X8573" s="40"/>
      <c r="Y8573" s="40"/>
    </row>
    <row r="8574" spans="24:25" x14ac:dyDescent="0.35">
      <c r="X8574" s="40"/>
      <c r="Y8574" s="40"/>
    </row>
    <row r="8575" spans="24:25" x14ac:dyDescent="0.35">
      <c r="X8575" s="40"/>
      <c r="Y8575" s="40"/>
    </row>
    <row r="8576" spans="24:25" x14ac:dyDescent="0.35">
      <c r="X8576" s="40"/>
      <c r="Y8576" s="40"/>
    </row>
    <row r="8577" spans="24:25" x14ac:dyDescent="0.35">
      <c r="X8577" s="40"/>
      <c r="Y8577" s="40"/>
    </row>
    <row r="8578" spans="24:25" x14ac:dyDescent="0.35">
      <c r="X8578" s="40"/>
      <c r="Y8578" s="40"/>
    </row>
    <row r="8579" spans="24:25" x14ac:dyDescent="0.35">
      <c r="X8579" s="40"/>
      <c r="Y8579" s="40"/>
    </row>
    <row r="8580" spans="24:25" x14ac:dyDescent="0.35">
      <c r="X8580" s="40"/>
      <c r="Y8580" s="40"/>
    </row>
    <row r="8581" spans="24:25" x14ac:dyDescent="0.35">
      <c r="X8581" s="40"/>
      <c r="Y8581" s="40"/>
    </row>
    <row r="8582" spans="24:25" x14ac:dyDescent="0.35">
      <c r="X8582" s="40"/>
      <c r="Y8582" s="40"/>
    </row>
    <row r="8583" spans="24:25" x14ac:dyDescent="0.35">
      <c r="X8583" s="40"/>
      <c r="Y8583" s="40"/>
    </row>
    <row r="8584" spans="24:25" x14ac:dyDescent="0.35">
      <c r="X8584" s="40"/>
      <c r="Y8584" s="40"/>
    </row>
    <row r="8585" spans="24:25" x14ac:dyDescent="0.35">
      <c r="X8585" s="40"/>
      <c r="Y8585" s="40"/>
    </row>
    <row r="8586" spans="24:25" x14ac:dyDescent="0.35">
      <c r="X8586" s="40"/>
      <c r="Y8586" s="40"/>
    </row>
    <row r="8587" spans="24:25" x14ac:dyDescent="0.35">
      <c r="X8587" s="40"/>
      <c r="Y8587" s="40"/>
    </row>
    <row r="8588" spans="24:25" x14ac:dyDescent="0.35">
      <c r="X8588" s="40"/>
      <c r="Y8588" s="40"/>
    </row>
    <row r="8589" spans="24:25" x14ac:dyDescent="0.35">
      <c r="X8589" s="40"/>
      <c r="Y8589" s="40"/>
    </row>
    <row r="8590" spans="24:25" x14ac:dyDescent="0.35">
      <c r="X8590" s="40"/>
      <c r="Y8590" s="40"/>
    </row>
    <row r="8591" spans="24:25" x14ac:dyDescent="0.35">
      <c r="X8591" s="40"/>
      <c r="Y8591" s="40"/>
    </row>
    <row r="8592" spans="24:25" x14ac:dyDescent="0.35">
      <c r="X8592" s="40"/>
      <c r="Y8592" s="40"/>
    </row>
    <row r="8593" spans="24:25" x14ac:dyDescent="0.35">
      <c r="X8593" s="40"/>
      <c r="Y8593" s="40"/>
    </row>
    <row r="8594" spans="24:25" x14ac:dyDescent="0.35">
      <c r="X8594" s="40"/>
      <c r="Y8594" s="40"/>
    </row>
    <row r="8595" spans="24:25" x14ac:dyDescent="0.35">
      <c r="X8595" s="40"/>
      <c r="Y8595" s="40"/>
    </row>
    <row r="8596" spans="24:25" x14ac:dyDescent="0.35">
      <c r="X8596" s="40"/>
      <c r="Y8596" s="40"/>
    </row>
    <row r="8597" spans="24:25" x14ac:dyDescent="0.35">
      <c r="X8597" s="40"/>
      <c r="Y8597" s="40"/>
    </row>
    <row r="8598" spans="24:25" x14ac:dyDescent="0.35">
      <c r="X8598" s="40"/>
      <c r="Y8598" s="40"/>
    </row>
    <row r="8599" spans="24:25" x14ac:dyDescent="0.35">
      <c r="X8599" s="40"/>
      <c r="Y8599" s="40"/>
    </row>
    <row r="8600" spans="24:25" x14ac:dyDescent="0.35">
      <c r="X8600" s="40"/>
      <c r="Y8600" s="40"/>
    </row>
    <row r="8601" spans="24:25" x14ac:dyDescent="0.35">
      <c r="X8601" s="40"/>
      <c r="Y8601" s="40"/>
    </row>
    <row r="8602" spans="24:25" x14ac:dyDescent="0.35">
      <c r="X8602" s="40"/>
      <c r="Y8602" s="40"/>
    </row>
    <row r="8603" spans="24:25" x14ac:dyDescent="0.35">
      <c r="X8603" s="40"/>
      <c r="Y8603" s="40"/>
    </row>
    <row r="8604" spans="24:25" x14ac:dyDescent="0.35">
      <c r="X8604" s="40"/>
      <c r="Y8604" s="40"/>
    </row>
    <row r="8605" spans="24:25" x14ac:dyDescent="0.35">
      <c r="X8605" s="40"/>
      <c r="Y8605" s="40"/>
    </row>
    <row r="8606" spans="24:25" x14ac:dyDescent="0.35">
      <c r="X8606" s="40"/>
      <c r="Y8606" s="40"/>
    </row>
    <row r="8607" spans="24:25" x14ac:dyDescent="0.35">
      <c r="X8607" s="40"/>
      <c r="Y8607" s="40"/>
    </row>
    <row r="8608" spans="24:25" x14ac:dyDescent="0.35">
      <c r="X8608" s="40"/>
      <c r="Y8608" s="40"/>
    </row>
    <row r="8609" spans="24:25" x14ac:dyDescent="0.35">
      <c r="X8609" s="40"/>
      <c r="Y8609" s="40"/>
    </row>
    <row r="8610" spans="24:25" x14ac:dyDescent="0.35">
      <c r="X8610" s="40"/>
      <c r="Y8610" s="40"/>
    </row>
    <row r="8611" spans="24:25" x14ac:dyDescent="0.35">
      <c r="X8611" s="40"/>
      <c r="Y8611" s="40"/>
    </row>
    <row r="8612" spans="24:25" x14ac:dyDescent="0.35">
      <c r="X8612" s="40"/>
      <c r="Y8612" s="40"/>
    </row>
    <row r="8613" spans="24:25" x14ac:dyDescent="0.35">
      <c r="X8613" s="40"/>
      <c r="Y8613" s="40"/>
    </row>
    <row r="8614" spans="24:25" x14ac:dyDescent="0.35">
      <c r="X8614" s="40"/>
      <c r="Y8614" s="40"/>
    </row>
    <row r="8615" spans="24:25" x14ac:dyDescent="0.35">
      <c r="X8615" s="40"/>
      <c r="Y8615" s="40"/>
    </row>
    <row r="8616" spans="24:25" x14ac:dyDescent="0.35">
      <c r="X8616" s="40"/>
      <c r="Y8616" s="40"/>
    </row>
    <row r="8617" spans="24:25" x14ac:dyDescent="0.35">
      <c r="X8617" s="40"/>
      <c r="Y8617" s="40"/>
    </row>
    <row r="8618" spans="24:25" x14ac:dyDescent="0.35">
      <c r="X8618" s="40"/>
      <c r="Y8618" s="40"/>
    </row>
    <row r="8619" spans="24:25" x14ac:dyDescent="0.35">
      <c r="X8619" s="40"/>
      <c r="Y8619" s="40"/>
    </row>
    <row r="8620" spans="24:25" x14ac:dyDescent="0.35">
      <c r="X8620" s="40"/>
      <c r="Y8620" s="40"/>
    </row>
    <row r="8621" spans="24:25" x14ac:dyDescent="0.35">
      <c r="X8621" s="40"/>
      <c r="Y8621" s="40"/>
    </row>
    <row r="8622" spans="24:25" x14ac:dyDescent="0.35">
      <c r="X8622" s="40"/>
      <c r="Y8622" s="40"/>
    </row>
    <row r="8623" spans="24:25" x14ac:dyDescent="0.35">
      <c r="X8623" s="40"/>
      <c r="Y8623" s="40"/>
    </row>
    <row r="8624" spans="24:25" x14ac:dyDescent="0.35">
      <c r="X8624" s="40"/>
      <c r="Y8624" s="40"/>
    </row>
    <row r="8625" spans="24:25" x14ac:dyDescent="0.35">
      <c r="X8625" s="40"/>
      <c r="Y8625" s="40"/>
    </row>
    <row r="8626" spans="24:25" x14ac:dyDescent="0.35">
      <c r="X8626" s="40"/>
      <c r="Y8626" s="40"/>
    </row>
    <row r="8627" spans="24:25" x14ac:dyDescent="0.35">
      <c r="X8627" s="40"/>
      <c r="Y8627" s="40"/>
    </row>
    <row r="8628" spans="24:25" x14ac:dyDescent="0.35">
      <c r="X8628" s="40"/>
      <c r="Y8628" s="40"/>
    </row>
    <row r="8629" spans="24:25" x14ac:dyDescent="0.35">
      <c r="X8629" s="40"/>
      <c r="Y8629" s="40"/>
    </row>
    <row r="8630" spans="24:25" x14ac:dyDescent="0.35">
      <c r="X8630" s="40"/>
      <c r="Y8630" s="40"/>
    </row>
    <row r="8631" spans="24:25" x14ac:dyDescent="0.35">
      <c r="X8631" s="40"/>
      <c r="Y8631" s="40"/>
    </row>
    <row r="8632" spans="24:25" x14ac:dyDescent="0.35">
      <c r="X8632" s="40"/>
      <c r="Y8632" s="40"/>
    </row>
    <row r="8633" spans="24:25" x14ac:dyDescent="0.35">
      <c r="X8633" s="40"/>
      <c r="Y8633" s="40"/>
    </row>
    <row r="8634" spans="24:25" x14ac:dyDescent="0.35">
      <c r="X8634" s="40"/>
      <c r="Y8634" s="40"/>
    </row>
    <row r="8635" spans="24:25" x14ac:dyDescent="0.35">
      <c r="X8635" s="40"/>
      <c r="Y8635" s="40"/>
    </row>
    <row r="8636" spans="24:25" x14ac:dyDescent="0.35">
      <c r="X8636" s="40"/>
      <c r="Y8636" s="40"/>
    </row>
    <row r="8637" spans="24:25" x14ac:dyDescent="0.35">
      <c r="X8637" s="40"/>
      <c r="Y8637" s="40"/>
    </row>
    <row r="8638" spans="24:25" x14ac:dyDescent="0.35">
      <c r="X8638" s="40"/>
      <c r="Y8638" s="40"/>
    </row>
    <row r="8639" spans="24:25" x14ac:dyDescent="0.35">
      <c r="X8639" s="40"/>
      <c r="Y8639" s="40"/>
    </row>
    <row r="8640" spans="24:25" x14ac:dyDescent="0.35">
      <c r="X8640" s="40"/>
      <c r="Y8640" s="40"/>
    </row>
    <row r="8641" spans="24:25" x14ac:dyDescent="0.35">
      <c r="X8641" s="40"/>
      <c r="Y8641" s="40"/>
    </row>
    <row r="8642" spans="24:25" x14ac:dyDescent="0.35">
      <c r="X8642" s="40"/>
      <c r="Y8642" s="40"/>
    </row>
    <row r="8643" spans="24:25" x14ac:dyDescent="0.35">
      <c r="X8643" s="40"/>
      <c r="Y8643" s="40"/>
    </row>
    <row r="8644" spans="24:25" x14ac:dyDescent="0.35">
      <c r="X8644" s="40"/>
      <c r="Y8644" s="40"/>
    </row>
    <row r="8645" spans="24:25" x14ac:dyDescent="0.35">
      <c r="X8645" s="40"/>
      <c r="Y8645" s="40"/>
    </row>
    <row r="8646" spans="24:25" x14ac:dyDescent="0.35">
      <c r="X8646" s="40"/>
      <c r="Y8646" s="40"/>
    </row>
    <row r="8647" spans="24:25" x14ac:dyDescent="0.35">
      <c r="X8647" s="40"/>
      <c r="Y8647" s="40"/>
    </row>
    <row r="8648" spans="24:25" x14ac:dyDescent="0.35">
      <c r="X8648" s="40"/>
      <c r="Y8648" s="40"/>
    </row>
    <row r="8649" spans="24:25" x14ac:dyDescent="0.35">
      <c r="X8649" s="40"/>
      <c r="Y8649" s="40"/>
    </row>
    <row r="8650" spans="24:25" x14ac:dyDescent="0.35">
      <c r="X8650" s="40"/>
      <c r="Y8650" s="40"/>
    </row>
    <row r="8651" spans="24:25" x14ac:dyDescent="0.35">
      <c r="X8651" s="40"/>
      <c r="Y8651" s="40"/>
    </row>
    <row r="8652" spans="24:25" x14ac:dyDescent="0.35">
      <c r="X8652" s="40"/>
      <c r="Y8652" s="40"/>
    </row>
    <row r="8653" spans="24:25" x14ac:dyDescent="0.35">
      <c r="X8653" s="40"/>
      <c r="Y8653" s="40"/>
    </row>
    <row r="8654" spans="24:25" x14ac:dyDescent="0.35">
      <c r="X8654" s="40"/>
      <c r="Y8654" s="40"/>
    </row>
    <row r="8655" spans="24:25" x14ac:dyDescent="0.35">
      <c r="X8655" s="40"/>
      <c r="Y8655" s="40"/>
    </row>
    <row r="8656" spans="24:25" x14ac:dyDescent="0.35">
      <c r="X8656" s="40"/>
      <c r="Y8656" s="40"/>
    </row>
    <row r="8657" spans="24:25" x14ac:dyDescent="0.35">
      <c r="X8657" s="40"/>
      <c r="Y8657" s="40"/>
    </row>
    <row r="8658" spans="24:25" x14ac:dyDescent="0.35">
      <c r="X8658" s="40"/>
      <c r="Y8658" s="40"/>
    </row>
    <row r="8659" spans="24:25" x14ac:dyDescent="0.35">
      <c r="X8659" s="40"/>
      <c r="Y8659" s="40"/>
    </row>
    <row r="8660" spans="24:25" x14ac:dyDescent="0.35">
      <c r="X8660" s="40"/>
      <c r="Y8660" s="40"/>
    </row>
    <row r="8661" spans="24:25" x14ac:dyDescent="0.35">
      <c r="X8661" s="40"/>
      <c r="Y8661" s="40"/>
    </row>
    <row r="8662" spans="24:25" x14ac:dyDescent="0.35">
      <c r="X8662" s="40"/>
      <c r="Y8662" s="40"/>
    </row>
    <row r="8663" spans="24:25" x14ac:dyDescent="0.35">
      <c r="X8663" s="40"/>
      <c r="Y8663" s="40"/>
    </row>
    <row r="8664" spans="24:25" x14ac:dyDescent="0.35">
      <c r="X8664" s="40"/>
      <c r="Y8664" s="40"/>
    </row>
    <row r="8665" spans="24:25" x14ac:dyDescent="0.35">
      <c r="X8665" s="40"/>
      <c r="Y8665" s="40"/>
    </row>
    <row r="8666" spans="24:25" x14ac:dyDescent="0.35">
      <c r="X8666" s="40"/>
      <c r="Y8666" s="40"/>
    </row>
    <row r="8667" spans="24:25" x14ac:dyDescent="0.35">
      <c r="X8667" s="40"/>
      <c r="Y8667" s="40"/>
    </row>
    <row r="8668" spans="24:25" x14ac:dyDescent="0.35">
      <c r="X8668" s="40"/>
      <c r="Y8668" s="40"/>
    </row>
    <row r="8669" spans="24:25" x14ac:dyDescent="0.35">
      <c r="X8669" s="40"/>
      <c r="Y8669" s="40"/>
    </row>
    <row r="8670" spans="24:25" x14ac:dyDescent="0.35">
      <c r="X8670" s="40"/>
      <c r="Y8670" s="40"/>
    </row>
    <row r="8671" spans="24:25" x14ac:dyDescent="0.35">
      <c r="X8671" s="40"/>
      <c r="Y8671" s="40"/>
    </row>
    <row r="8672" spans="24:25" x14ac:dyDescent="0.35">
      <c r="X8672" s="40"/>
      <c r="Y8672" s="40"/>
    </row>
    <row r="8673" spans="24:25" x14ac:dyDescent="0.35">
      <c r="X8673" s="40"/>
      <c r="Y8673" s="40"/>
    </row>
    <row r="8674" spans="24:25" x14ac:dyDescent="0.35">
      <c r="X8674" s="40"/>
      <c r="Y8674" s="40"/>
    </row>
    <row r="8675" spans="24:25" x14ac:dyDescent="0.35">
      <c r="X8675" s="40"/>
      <c r="Y8675" s="40"/>
    </row>
    <row r="8676" spans="24:25" x14ac:dyDescent="0.35">
      <c r="X8676" s="40"/>
      <c r="Y8676" s="40"/>
    </row>
    <row r="8677" spans="24:25" x14ac:dyDescent="0.35">
      <c r="X8677" s="40"/>
      <c r="Y8677" s="40"/>
    </row>
    <row r="8678" spans="24:25" x14ac:dyDescent="0.35">
      <c r="X8678" s="40"/>
      <c r="Y8678" s="40"/>
    </row>
    <row r="8679" spans="24:25" x14ac:dyDescent="0.35">
      <c r="X8679" s="40"/>
      <c r="Y8679" s="40"/>
    </row>
    <row r="8680" spans="24:25" x14ac:dyDescent="0.35">
      <c r="X8680" s="40"/>
      <c r="Y8680" s="40"/>
    </row>
    <row r="8681" spans="24:25" x14ac:dyDescent="0.35">
      <c r="X8681" s="40"/>
      <c r="Y8681" s="40"/>
    </row>
    <row r="8682" spans="24:25" x14ac:dyDescent="0.35">
      <c r="X8682" s="40"/>
      <c r="Y8682" s="40"/>
    </row>
    <row r="8683" spans="24:25" x14ac:dyDescent="0.35">
      <c r="X8683" s="40"/>
      <c r="Y8683" s="40"/>
    </row>
    <row r="8684" spans="24:25" x14ac:dyDescent="0.35">
      <c r="X8684" s="40"/>
      <c r="Y8684" s="40"/>
    </row>
    <row r="8685" spans="24:25" x14ac:dyDescent="0.35">
      <c r="X8685" s="40"/>
      <c r="Y8685" s="40"/>
    </row>
    <row r="8686" spans="24:25" x14ac:dyDescent="0.35">
      <c r="X8686" s="40"/>
      <c r="Y8686" s="40"/>
    </row>
    <row r="8687" spans="24:25" x14ac:dyDescent="0.35">
      <c r="X8687" s="40"/>
      <c r="Y8687" s="40"/>
    </row>
    <row r="8688" spans="24:25" x14ac:dyDescent="0.35">
      <c r="X8688" s="40"/>
      <c r="Y8688" s="40"/>
    </row>
    <row r="8689" spans="24:25" x14ac:dyDescent="0.35">
      <c r="X8689" s="40"/>
      <c r="Y8689" s="40"/>
    </row>
    <row r="8690" spans="24:25" x14ac:dyDescent="0.35">
      <c r="X8690" s="40"/>
      <c r="Y8690" s="40"/>
    </row>
    <row r="8691" spans="24:25" x14ac:dyDescent="0.35">
      <c r="X8691" s="40"/>
      <c r="Y8691" s="40"/>
    </row>
    <row r="8692" spans="24:25" x14ac:dyDescent="0.35">
      <c r="X8692" s="40"/>
      <c r="Y8692" s="40"/>
    </row>
    <row r="8693" spans="24:25" x14ac:dyDescent="0.35">
      <c r="X8693" s="40"/>
      <c r="Y8693" s="40"/>
    </row>
    <row r="8694" spans="24:25" x14ac:dyDescent="0.35">
      <c r="X8694" s="40"/>
      <c r="Y8694" s="40"/>
    </row>
    <row r="8695" spans="24:25" x14ac:dyDescent="0.35">
      <c r="X8695" s="40"/>
      <c r="Y8695" s="40"/>
    </row>
    <row r="8696" spans="24:25" x14ac:dyDescent="0.35">
      <c r="X8696" s="40"/>
      <c r="Y8696" s="40"/>
    </row>
    <row r="8697" spans="24:25" x14ac:dyDescent="0.35">
      <c r="X8697" s="40"/>
      <c r="Y8697" s="40"/>
    </row>
    <row r="8698" spans="24:25" x14ac:dyDescent="0.35">
      <c r="X8698" s="40"/>
      <c r="Y8698" s="40"/>
    </row>
    <row r="8699" spans="24:25" x14ac:dyDescent="0.35">
      <c r="X8699" s="40"/>
      <c r="Y8699" s="40"/>
    </row>
    <row r="8700" spans="24:25" x14ac:dyDescent="0.35">
      <c r="X8700" s="40"/>
      <c r="Y8700" s="40"/>
    </row>
    <row r="8701" spans="24:25" x14ac:dyDescent="0.35">
      <c r="X8701" s="40"/>
      <c r="Y8701" s="40"/>
    </row>
    <row r="8702" spans="24:25" x14ac:dyDescent="0.35">
      <c r="X8702" s="40"/>
      <c r="Y8702" s="40"/>
    </row>
    <row r="8703" spans="24:25" x14ac:dyDescent="0.35">
      <c r="X8703" s="40"/>
      <c r="Y8703" s="40"/>
    </row>
    <row r="8704" spans="24:25" x14ac:dyDescent="0.35">
      <c r="X8704" s="40"/>
      <c r="Y8704" s="40"/>
    </row>
    <row r="8705" spans="24:25" x14ac:dyDescent="0.35">
      <c r="X8705" s="40"/>
      <c r="Y8705" s="40"/>
    </row>
    <row r="8706" spans="24:25" x14ac:dyDescent="0.35">
      <c r="X8706" s="40"/>
      <c r="Y8706" s="40"/>
    </row>
    <row r="8707" spans="24:25" x14ac:dyDescent="0.35">
      <c r="X8707" s="40"/>
      <c r="Y8707" s="40"/>
    </row>
    <row r="8708" spans="24:25" x14ac:dyDescent="0.35">
      <c r="X8708" s="40"/>
      <c r="Y8708" s="40"/>
    </row>
    <row r="8709" spans="24:25" x14ac:dyDescent="0.35">
      <c r="X8709" s="40"/>
      <c r="Y8709" s="40"/>
    </row>
    <row r="8710" spans="24:25" x14ac:dyDescent="0.35">
      <c r="X8710" s="40"/>
      <c r="Y8710" s="40"/>
    </row>
    <row r="8711" spans="24:25" x14ac:dyDescent="0.35">
      <c r="X8711" s="40"/>
      <c r="Y8711" s="40"/>
    </row>
    <row r="8712" spans="24:25" x14ac:dyDescent="0.35">
      <c r="X8712" s="40"/>
      <c r="Y8712" s="40"/>
    </row>
    <row r="8713" spans="24:25" x14ac:dyDescent="0.35">
      <c r="X8713" s="40"/>
      <c r="Y8713" s="40"/>
    </row>
    <row r="8714" spans="24:25" x14ac:dyDescent="0.35">
      <c r="X8714" s="40"/>
      <c r="Y8714" s="40"/>
    </row>
    <row r="8715" spans="24:25" x14ac:dyDescent="0.35">
      <c r="X8715" s="40"/>
      <c r="Y8715" s="40"/>
    </row>
    <row r="8716" spans="24:25" x14ac:dyDescent="0.35">
      <c r="X8716" s="40"/>
      <c r="Y8716" s="40"/>
    </row>
    <row r="8717" spans="24:25" x14ac:dyDescent="0.35">
      <c r="X8717" s="40"/>
      <c r="Y8717" s="40"/>
    </row>
    <row r="8718" spans="24:25" x14ac:dyDescent="0.35">
      <c r="X8718" s="40"/>
      <c r="Y8718" s="40"/>
    </row>
    <row r="8719" spans="24:25" x14ac:dyDescent="0.35">
      <c r="X8719" s="40"/>
      <c r="Y8719" s="40"/>
    </row>
    <row r="8720" spans="24:25" x14ac:dyDescent="0.35">
      <c r="X8720" s="40"/>
      <c r="Y8720" s="40"/>
    </row>
    <row r="8721" spans="24:25" x14ac:dyDescent="0.35">
      <c r="X8721" s="40"/>
      <c r="Y8721" s="40"/>
    </row>
    <row r="8722" spans="24:25" x14ac:dyDescent="0.35">
      <c r="X8722" s="40"/>
      <c r="Y8722" s="40"/>
    </row>
    <row r="8723" spans="24:25" x14ac:dyDescent="0.35">
      <c r="X8723" s="40"/>
      <c r="Y8723" s="40"/>
    </row>
    <row r="8724" spans="24:25" x14ac:dyDescent="0.35">
      <c r="X8724" s="40"/>
      <c r="Y8724" s="40"/>
    </row>
    <row r="8725" spans="24:25" x14ac:dyDescent="0.35">
      <c r="X8725" s="40"/>
      <c r="Y8725" s="40"/>
    </row>
    <row r="8726" spans="24:25" x14ac:dyDescent="0.35">
      <c r="X8726" s="40"/>
      <c r="Y8726" s="40"/>
    </row>
    <row r="8727" spans="24:25" x14ac:dyDescent="0.35">
      <c r="X8727" s="40"/>
      <c r="Y8727" s="40"/>
    </row>
    <row r="8728" spans="24:25" x14ac:dyDescent="0.35">
      <c r="X8728" s="40"/>
      <c r="Y8728" s="40"/>
    </row>
    <row r="8729" spans="24:25" x14ac:dyDescent="0.35">
      <c r="X8729" s="40"/>
      <c r="Y8729" s="40"/>
    </row>
    <row r="8730" spans="24:25" x14ac:dyDescent="0.35">
      <c r="X8730" s="40"/>
      <c r="Y8730" s="40"/>
    </row>
    <row r="8731" spans="24:25" x14ac:dyDescent="0.35">
      <c r="X8731" s="40"/>
      <c r="Y8731" s="40"/>
    </row>
    <row r="8732" spans="24:25" x14ac:dyDescent="0.35">
      <c r="X8732" s="40"/>
      <c r="Y8732" s="40"/>
    </row>
    <row r="8733" spans="24:25" x14ac:dyDescent="0.35">
      <c r="X8733" s="40"/>
      <c r="Y8733" s="40"/>
    </row>
    <row r="8734" spans="24:25" x14ac:dyDescent="0.35">
      <c r="X8734" s="40"/>
      <c r="Y8734" s="40"/>
    </row>
    <row r="8735" spans="24:25" x14ac:dyDescent="0.35">
      <c r="X8735" s="40"/>
      <c r="Y8735" s="40"/>
    </row>
    <row r="8736" spans="24:25" x14ac:dyDescent="0.35">
      <c r="X8736" s="40"/>
      <c r="Y8736" s="40"/>
    </row>
    <row r="8737" spans="24:25" x14ac:dyDescent="0.35">
      <c r="X8737" s="40"/>
      <c r="Y8737" s="40"/>
    </row>
    <row r="8738" spans="24:25" x14ac:dyDescent="0.35">
      <c r="X8738" s="40"/>
      <c r="Y8738" s="40"/>
    </row>
    <row r="8739" spans="24:25" x14ac:dyDescent="0.35">
      <c r="X8739" s="40"/>
      <c r="Y8739" s="40"/>
    </row>
    <row r="8740" spans="24:25" x14ac:dyDescent="0.35">
      <c r="X8740" s="40"/>
      <c r="Y8740" s="40"/>
    </row>
    <row r="8741" spans="24:25" x14ac:dyDescent="0.35">
      <c r="X8741" s="40"/>
      <c r="Y8741" s="40"/>
    </row>
    <row r="8742" spans="24:25" x14ac:dyDescent="0.35">
      <c r="X8742" s="40"/>
      <c r="Y8742" s="40"/>
    </row>
    <row r="8743" spans="24:25" x14ac:dyDescent="0.35">
      <c r="X8743" s="40"/>
      <c r="Y8743" s="40"/>
    </row>
    <row r="8744" spans="24:25" x14ac:dyDescent="0.35">
      <c r="X8744" s="40"/>
      <c r="Y8744" s="40"/>
    </row>
    <row r="8745" spans="24:25" x14ac:dyDescent="0.35">
      <c r="X8745" s="40"/>
      <c r="Y8745" s="40"/>
    </row>
    <row r="8746" spans="24:25" x14ac:dyDescent="0.35">
      <c r="X8746" s="40"/>
      <c r="Y8746" s="40"/>
    </row>
    <row r="8747" spans="24:25" x14ac:dyDescent="0.35">
      <c r="X8747" s="40"/>
      <c r="Y8747" s="40"/>
    </row>
    <row r="8748" spans="24:25" x14ac:dyDescent="0.35">
      <c r="X8748" s="40"/>
      <c r="Y8748" s="40"/>
    </row>
    <row r="8749" spans="24:25" x14ac:dyDescent="0.35">
      <c r="X8749" s="40"/>
      <c r="Y8749" s="40"/>
    </row>
    <row r="8750" spans="24:25" x14ac:dyDescent="0.35">
      <c r="X8750" s="40"/>
      <c r="Y8750" s="40"/>
    </row>
    <row r="8751" spans="24:25" x14ac:dyDescent="0.35">
      <c r="X8751" s="40"/>
      <c r="Y8751" s="40"/>
    </row>
    <row r="8752" spans="24:25" x14ac:dyDescent="0.35">
      <c r="X8752" s="40"/>
      <c r="Y8752" s="40"/>
    </row>
    <row r="8753" spans="24:25" x14ac:dyDescent="0.35">
      <c r="X8753" s="40"/>
      <c r="Y8753" s="40"/>
    </row>
    <row r="8754" spans="24:25" x14ac:dyDescent="0.35">
      <c r="X8754" s="40"/>
      <c r="Y8754" s="40"/>
    </row>
    <row r="8755" spans="24:25" x14ac:dyDescent="0.35">
      <c r="X8755" s="40"/>
      <c r="Y8755" s="40"/>
    </row>
    <row r="8756" spans="24:25" x14ac:dyDescent="0.35">
      <c r="X8756" s="40"/>
      <c r="Y8756" s="40"/>
    </row>
    <row r="8757" spans="24:25" x14ac:dyDescent="0.35">
      <c r="X8757" s="40"/>
      <c r="Y8757" s="40"/>
    </row>
    <row r="8758" spans="24:25" x14ac:dyDescent="0.35">
      <c r="X8758" s="40"/>
      <c r="Y8758" s="40"/>
    </row>
    <row r="8759" spans="24:25" x14ac:dyDescent="0.35">
      <c r="X8759" s="40"/>
      <c r="Y8759" s="40"/>
    </row>
    <row r="8760" spans="24:25" x14ac:dyDescent="0.35">
      <c r="X8760" s="40"/>
      <c r="Y8760" s="40"/>
    </row>
    <row r="8761" spans="24:25" x14ac:dyDescent="0.35">
      <c r="X8761" s="40"/>
      <c r="Y8761" s="40"/>
    </row>
    <row r="8762" spans="24:25" x14ac:dyDescent="0.35">
      <c r="X8762" s="40"/>
      <c r="Y8762" s="40"/>
    </row>
    <row r="8763" spans="24:25" x14ac:dyDescent="0.35">
      <c r="X8763" s="40"/>
      <c r="Y8763" s="40"/>
    </row>
    <row r="8764" spans="24:25" x14ac:dyDescent="0.35">
      <c r="X8764" s="40"/>
      <c r="Y8764" s="40"/>
    </row>
    <row r="8765" spans="24:25" x14ac:dyDescent="0.35">
      <c r="X8765" s="40"/>
      <c r="Y8765" s="40"/>
    </row>
    <row r="8766" spans="24:25" x14ac:dyDescent="0.35">
      <c r="X8766" s="40"/>
      <c r="Y8766" s="40"/>
    </row>
    <row r="8767" spans="24:25" x14ac:dyDescent="0.35">
      <c r="X8767" s="40"/>
      <c r="Y8767" s="40"/>
    </row>
    <row r="8768" spans="24:25" x14ac:dyDescent="0.35">
      <c r="X8768" s="40"/>
      <c r="Y8768" s="40"/>
    </row>
    <row r="8769" spans="24:25" x14ac:dyDescent="0.35">
      <c r="X8769" s="40"/>
      <c r="Y8769" s="40"/>
    </row>
    <row r="8770" spans="24:25" x14ac:dyDescent="0.35">
      <c r="X8770" s="40"/>
      <c r="Y8770" s="40"/>
    </row>
    <row r="8771" spans="24:25" x14ac:dyDescent="0.35">
      <c r="X8771" s="40"/>
      <c r="Y8771" s="40"/>
    </row>
    <row r="8772" spans="24:25" x14ac:dyDescent="0.35">
      <c r="X8772" s="40"/>
      <c r="Y8772" s="40"/>
    </row>
    <row r="8773" spans="24:25" x14ac:dyDescent="0.35">
      <c r="X8773" s="40"/>
      <c r="Y8773" s="40"/>
    </row>
    <row r="8774" spans="24:25" x14ac:dyDescent="0.35">
      <c r="X8774" s="40"/>
      <c r="Y8774" s="40"/>
    </row>
    <row r="8775" spans="24:25" x14ac:dyDescent="0.35">
      <c r="X8775" s="40"/>
      <c r="Y8775" s="40"/>
    </row>
    <row r="8776" spans="24:25" x14ac:dyDescent="0.35">
      <c r="X8776" s="40"/>
      <c r="Y8776" s="40"/>
    </row>
    <row r="8777" spans="24:25" x14ac:dyDescent="0.35">
      <c r="X8777" s="40"/>
      <c r="Y8777" s="40"/>
    </row>
    <row r="8778" spans="24:25" x14ac:dyDescent="0.35">
      <c r="X8778" s="40"/>
      <c r="Y8778" s="40"/>
    </row>
    <row r="8779" spans="24:25" x14ac:dyDescent="0.35">
      <c r="X8779" s="40"/>
      <c r="Y8779" s="40"/>
    </row>
    <row r="8780" spans="24:25" x14ac:dyDescent="0.35">
      <c r="X8780" s="40"/>
      <c r="Y8780" s="40"/>
    </row>
    <row r="8781" spans="24:25" x14ac:dyDescent="0.35">
      <c r="X8781" s="40"/>
      <c r="Y8781" s="40"/>
    </row>
    <row r="8782" spans="24:25" x14ac:dyDescent="0.35">
      <c r="X8782" s="40"/>
      <c r="Y8782" s="40"/>
    </row>
    <row r="8783" spans="24:25" x14ac:dyDescent="0.35">
      <c r="X8783" s="40"/>
      <c r="Y8783" s="40"/>
    </row>
    <row r="8784" spans="24:25" x14ac:dyDescent="0.35">
      <c r="X8784" s="40"/>
      <c r="Y8784" s="40"/>
    </row>
    <row r="8785" spans="24:25" x14ac:dyDescent="0.35">
      <c r="X8785" s="40"/>
      <c r="Y8785" s="40"/>
    </row>
    <row r="8786" spans="24:25" x14ac:dyDescent="0.35">
      <c r="X8786" s="40"/>
      <c r="Y8786" s="40"/>
    </row>
    <row r="8787" spans="24:25" x14ac:dyDescent="0.35">
      <c r="X8787" s="40"/>
      <c r="Y8787" s="40"/>
    </row>
    <row r="8788" spans="24:25" x14ac:dyDescent="0.35">
      <c r="X8788" s="40"/>
      <c r="Y8788" s="40"/>
    </row>
    <row r="8789" spans="24:25" x14ac:dyDescent="0.35">
      <c r="X8789" s="40"/>
      <c r="Y8789" s="40"/>
    </row>
    <row r="8790" spans="24:25" x14ac:dyDescent="0.35">
      <c r="X8790" s="40"/>
      <c r="Y8790" s="40"/>
    </row>
    <row r="8791" spans="24:25" x14ac:dyDescent="0.35">
      <c r="X8791" s="40"/>
      <c r="Y8791" s="40"/>
    </row>
    <row r="8792" spans="24:25" x14ac:dyDescent="0.35">
      <c r="X8792" s="40"/>
      <c r="Y8792" s="40"/>
    </row>
    <row r="8793" spans="24:25" x14ac:dyDescent="0.35">
      <c r="X8793" s="40"/>
      <c r="Y8793" s="40"/>
    </row>
    <row r="8794" spans="24:25" x14ac:dyDescent="0.35">
      <c r="X8794" s="40"/>
      <c r="Y8794" s="40"/>
    </row>
    <row r="8795" spans="24:25" x14ac:dyDescent="0.35">
      <c r="X8795" s="40"/>
      <c r="Y8795" s="40"/>
    </row>
    <row r="8796" spans="24:25" x14ac:dyDescent="0.35">
      <c r="X8796" s="40"/>
      <c r="Y8796" s="40"/>
    </row>
    <row r="8797" spans="24:25" x14ac:dyDescent="0.35">
      <c r="X8797" s="40"/>
      <c r="Y8797" s="40"/>
    </row>
    <row r="8798" spans="24:25" x14ac:dyDescent="0.35">
      <c r="X8798" s="40"/>
      <c r="Y8798" s="40"/>
    </row>
    <row r="8799" spans="24:25" x14ac:dyDescent="0.35">
      <c r="X8799" s="40"/>
      <c r="Y8799" s="40"/>
    </row>
    <row r="8800" spans="24:25" x14ac:dyDescent="0.35">
      <c r="X8800" s="40"/>
      <c r="Y8800" s="40"/>
    </row>
    <row r="8801" spans="24:25" x14ac:dyDescent="0.35">
      <c r="X8801" s="40"/>
      <c r="Y8801" s="40"/>
    </row>
    <row r="8802" spans="24:25" x14ac:dyDescent="0.35">
      <c r="X8802" s="40"/>
      <c r="Y8802" s="40"/>
    </row>
    <row r="8803" spans="24:25" x14ac:dyDescent="0.35">
      <c r="X8803" s="40"/>
      <c r="Y8803" s="40"/>
    </row>
    <row r="8804" spans="24:25" x14ac:dyDescent="0.35">
      <c r="X8804" s="40"/>
      <c r="Y8804" s="40"/>
    </row>
    <row r="8805" spans="24:25" x14ac:dyDescent="0.35">
      <c r="X8805" s="40"/>
      <c r="Y8805" s="40"/>
    </row>
    <row r="8806" spans="24:25" x14ac:dyDescent="0.35">
      <c r="X8806" s="40"/>
      <c r="Y8806" s="40"/>
    </row>
    <row r="8807" spans="24:25" x14ac:dyDescent="0.35">
      <c r="X8807" s="40"/>
      <c r="Y8807" s="40"/>
    </row>
    <row r="8808" spans="24:25" x14ac:dyDescent="0.35">
      <c r="X8808" s="40"/>
      <c r="Y8808" s="40"/>
    </row>
    <row r="8809" spans="24:25" x14ac:dyDescent="0.35">
      <c r="X8809" s="40"/>
      <c r="Y8809" s="40"/>
    </row>
    <row r="8810" spans="24:25" x14ac:dyDescent="0.35">
      <c r="X8810" s="40"/>
      <c r="Y8810" s="40"/>
    </row>
    <row r="8811" spans="24:25" x14ac:dyDescent="0.35">
      <c r="X8811" s="40"/>
      <c r="Y8811" s="40"/>
    </row>
    <row r="8812" spans="24:25" x14ac:dyDescent="0.35">
      <c r="X8812" s="40"/>
      <c r="Y8812" s="40"/>
    </row>
    <row r="8813" spans="24:25" x14ac:dyDescent="0.35">
      <c r="X8813" s="40"/>
      <c r="Y8813" s="40"/>
    </row>
    <row r="8814" spans="24:25" x14ac:dyDescent="0.35">
      <c r="X8814" s="40"/>
      <c r="Y8814" s="40"/>
    </row>
    <row r="8815" spans="24:25" x14ac:dyDescent="0.35">
      <c r="X8815" s="40"/>
      <c r="Y8815" s="40"/>
    </row>
    <row r="8816" spans="24:25" x14ac:dyDescent="0.35">
      <c r="X8816" s="40"/>
      <c r="Y8816" s="40"/>
    </row>
    <row r="8817" spans="24:25" x14ac:dyDescent="0.35">
      <c r="X8817" s="40"/>
      <c r="Y8817" s="40"/>
    </row>
    <row r="8818" spans="24:25" x14ac:dyDescent="0.35">
      <c r="X8818" s="40"/>
      <c r="Y8818" s="40"/>
    </row>
    <row r="8819" spans="24:25" x14ac:dyDescent="0.35">
      <c r="X8819" s="40"/>
      <c r="Y8819" s="40"/>
    </row>
    <row r="8820" spans="24:25" x14ac:dyDescent="0.35">
      <c r="X8820" s="40"/>
      <c r="Y8820" s="40"/>
    </row>
    <row r="8821" spans="24:25" x14ac:dyDescent="0.35">
      <c r="X8821" s="40"/>
      <c r="Y8821" s="40"/>
    </row>
    <row r="8822" spans="24:25" x14ac:dyDescent="0.35">
      <c r="X8822" s="40"/>
      <c r="Y8822" s="40"/>
    </row>
    <row r="8823" spans="24:25" x14ac:dyDescent="0.35">
      <c r="X8823" s="40"/>
      <c r="Y8823" s="40"/>
    </row>
    <row r="8824" spans="24:25" x14ac:dyDescent="0.35">
      <c r="X8824" s="40"/>
      <c r="Y8824" s="40"/>
    </row>
    <row r="8825" spans="24:25" x14ac:dyDescent="0.35">
      <c r="X8825" s="40"/>
      <c r="Y8825" s="40"/>
    </row>
    <row r="8826" spans="24:25" x14ac:dyDescent="0.35">
      <c r="X8826" s="40"/>
      <c r="Y8826" s="40"/>
    </row>
    <row r="8827" spans="24:25" x14ac:dyDescent="0.35">
      <c r="X8827" s="40"/>
      <c r="Y8827" s="40"/>
    </row>
    <row r="8828" spans="24:25" x14ac:dyDescent="0.35">
      <c r="X8828" s="40"/>
      <c r="Y8828" s="40"/>
    </row>
    <row r="8829" spans="24:25" x14ac:dyDescent="0.35">
      <c r="X8829" s="40"/>
      <c r="Y8829" s="40"/>
    </row>
    <row r="8830" spans="24:25" x14ac:dyDescent="0.35">
      <c r="X8830" s="40"/>
      <c r="Y8830" s="40"/>
    </row>
    <row r="8831" spans="24:25" x14ac:dyDescent="0.35">
      <c r="X8831" s="40"/>
      <c r="Y8831" s="40"/>
    </row>
    <row r="8832" spans="24:25" x14ac:dyDescent="0.35">
      <c r="X8832" s="40"/>
      <c r="Y8832" s="40"/>
    </row>
    <row r="8833" spans="24:25" x14ac:dyDescent="0.35">
      <c r="X8833" s="40"/>
      <c r="Y8833" s="40"/>
    </row>
    <row r="8834" spans="24:25" x14ac:dyDescent="0.35">
      <c r="X8834" s="40"/>
      <c r="Y8834" s="40"/>
    </row>
    <row r="8835" spans="24:25" x14ac:dyDescent="0.35">
      <c r="X8835" s="40"/>
      <c r="Y8835" s="40"/>
    </row>
    <row r="8836" spans="24:25" x14ac:dyDescent="0.35">
      <c r="X8836" s="40"/>
      <c r="Y8836" s="40"/>
    </row>
    <row r="8837" spans="24:25" x14ac:dyDescent="0.35">
      <c r="X8837" s="40"/>
      <c r="Y8837" s="40"/>
    </row>
    <row r="8838" spans="24:25" x14ac:dyDescent="0.35">
      <c r="X8838" s="40"/>
      <c r="Y8838" s="40"/>
    </row>
    <row r="8839" spans="24:25" x14ac:dyDescent="0.35">
      <c r="X8839" s="40"/>
      <c r="Y8839" s="40"/>
    </row>
    <row r="8840" spans="24:25" x14ac:dyDescent="0.35">
      <c r="X8840" s="40"/>
      <c r="Y8840" s="40"/>
    </row>
    <row r="8841" spans="24:25" x14ac:dyDescent="0.35">
      <c r="X8841" s="40"/>
      <c r="Y8841" s="40"/>
    </row>
    <row r="8842" spans="24:25" x14ac:dyDescent="0.35">
      <c r="X8842" s="40"/>
      <c r="Y8842" s="40"/>
    </row>
    <row r="8843" spans="24:25" x14ac:dyDescent="0.35">
      <c r="X8843" s="40"/>
      <c r="Y8843" s="40"/>
    </row>
    <row r="8844" spans="24:25" x14ac:dyDescent="0.35">
      <c r="X8844" s="40"/>
      <c r="Y8844" s="40"/>
    </row>
    <row r="8845" spans="24:25" x14ac:dyDescent="0.35">
      <c r="X8845" s="40"/>
      <c r="Y8845" s="40"/>
    </row>
    <row r="8846" spans="24:25" x14ac:dyDescent="0.35">
      <c r="X8846" s="40"/>
      <c r="Y8846" s="40"/>
    </row>
    <row r="8847" spans="24:25" x14ac:dyDescent="0.35">
      <c r="X8847" s="40"/>
      <c r="Y8847" s="40"/>
    </row>
    <row r="8848" spans="24:25" x14ac:dyDescent="0.35">
      <c r="X8848" s="40"/>
      <c r="Y8848" s="40"/>
    </row>
    <row r="8849" spans="24:25" x14ac:dyDescent="0.35">
      <c r="X8849" s="40"/>
      <c r="Y8849" s="40"/>
    </row>
    <row r="8850" spans="24:25" x14ac:dyDescent="0.35">
      <c r="X8850" s="40"/>
      <c r="Y8850" s="40"/>
    </row>
    <row r="8851" spans="24:25" x14ac:dyDescent="0.35">
      <c r="X8851" s="40"/>
      <c r="Y8851" s="40"/>
    </row>
    <row r="8852" spans="24:25" x14ac:dyDescent="0.35">
      <c r="X8852" s="40"/>
      <c r="Y8852" s="40"/>
    </row>
    <row r="8853" spans="24:25" x14ac:dyDescent="0.35">
      <c r="X8853" s="40"/>
      <c r="Y8853" s="40"/>
    </row>
    <row r="8854" spans="24:25" x14ac:dyDescent="0.35">
      <c r="X8854" s="40"/>
      <c r="Y8854" s="40"/>
    </row>
    <row r="8855" spans="24:25" x14ac:dyDescent="0.35">
      <c r="X8855" s="40"/>
      <c r="Y8855" s="40"/>
    </row>
    <row r="8856" spans="24:25" x14ac:dyDescent="0.35">
      <c r="X8856" s="40"/>
      <c r="Y8856" s="40"/>
    </row>
    <row r="8857" spans="24:25" x14ac:dyDescent="0.35">
      <c r="X8857" s="40"/>
      <c r="Y8857" s="40"/>
    </row>
    <row r="8858" spans="24:25" x14ac:dyDescent="0.35">
      <c r="X8858" s="40"/>
      <c r="Y8858" s="40"/>
    </row>
    <row r="8859" spans="24:25" x14ac:dyDescent="0.35">
      <c r="X8859" s="40"/>
      <c r="Y8859" s="40"/>
    </row>
    <row r="8860" spans="24:25" x14ac:dyDescent="0.35">
      <c r="X8860" s="40"/>
      <c r="Y8860" s="40"/>
    </row>
    <row r="8861" spans="24:25" x14ac:dyDescent="0.35">
      <c r="X8861" s="40"/>
      <c r="Y8861" s="40"/>
    </row>
    <row r="8862" spans="24:25" x14ac:dyDescent="0.35">
      <c r="X8862" s="40"/>
      <c r="Y8862" s="40"/>
    </row>
    <row r="8863" spans="24:25" x14ac:dyDescent="0.35">
      <c r="X8863" s="40"/>
      <c r="Y8863" s="40"/>
    </row>
    <row r="8864" spans="24:25" x14ac:dyDescent="0.35">
      <c r="X8864" s="40"/>
      <c r="Y8864" s="40"/>
    </row>
    <row r="8865" spans="24:25" x14ac:dyDescent="0.35">
      <c r="X8865" s="40"/>
      <c r="Y8865" s="40"/>
    </row>
    <row r="8866" spans="24:25" x14ac:dyDescent="0.35">
      <c r="X8866" s="40"/>
      <c r="Y8866" s="40"/>
    </row>
    <row r="8867" spans="24:25" x14ac:dyDescent="0.35">
      <c r="X8867" s="40"/>
      <c r="Y8867" s="40"/>
    </row>
    <row r="8868" spans="24:25" x14ac:dyDescent="0.35">
      <c r="X8868" s="40"/>
      <c r="Y8868" s="40"/>
    </row>
    <row r="8869" spans="24:25" x14ac:dyDescent="0.35">
      <c r="X8869" s="40"/>
      <c r="Y8869" s="40"/>
    </row>
    <row r="8870" spans="24:25" x14ac:dyDescent="0.35">
      <c r="X8870" s="40"/>
      <c r="Y8870" s="40"/>
    </row>
    <row r="8871" spans="24:25" x14ac:dyDescent="0.35">
      <c r="X8871" s="40"/>
      <c r="Y8871" s="40"/>
    </row>
    <row r="8872" spans="24:25" x14ac:dyDescent="0.35">
      <c r="X8872" s="40"/>
      <c r="Y8872" s="40"/>
    </row>
    <row r="8873" spans="24:25" x14ac:dyDescent="0.35">
      <c r="X8873" s="40"/>
      <c r="Y8873" s="40"/>
    </row>
    <row r="8874" spans="24:25" x14ac:dyDescent="0.35">
      <c r="X8874" s="40"/>
      <c r="Y8874" s="40"/>
    </row>
    <row r="8875" spans="24:25" x14ac:dyDescent="0.35">
      <c r="X8875" s="40"/>
      <c r="Y8875" s="40"/>
    </row>
    <row r="8876" spans="24:25" x14ac:dyDescent="0.35">
      <c r="X8876" s="40"/>
      <c r="Y8876" s="40"/>
    </row>
    <row r="8877" spans="24:25" x14ac:dyDescent="0.35">
      <c r="X8877" s="40"/>
      <c r="Y8877" s="40"/>
    </row>
    <row r="8878" spans="24:25" x14ac:dyDescent="0.35">
      <c r="X8878" s="40"/>
      <c r="Y8878" s="40"/>
    </row>
    <row r="8879" spans="24:25" x14ac:dyDescent="0.35">
      <c r="X8879" s="40"/>
      <c r="Y8879" s="40"/>
    </row>
    <row r="8880" spans="24:25" x14ac:dyDescent="0.35">
      <c r="X8880" s="40"/>
      <c r="Y8880" s="40"/>
    </row>
    <row r="8881" spans="24:25" x14ac:dyDescent="0.35">
      <c r="X8881" s="40"/>
      <c r="Y8881" s="40"/>
    </row>
    <row r="8882" spans="24:25" x14ac:dyDescent="0.35">
      <c r="X8882" s="40"/>
      <c r="Y8882" s="40"/>
    </row>
    <row r="8883" spans="24:25" x14ac:dyDescent="0.35">
      <c r="X8883" s="40"/>
      <c r="Y8883" s="40"/>
    </row>
    <row r="8884" spans="24:25" x14ac:dyDescent="0.35">
      <c r="X8884" s="40"/>
      <c r="Y8884" s="40"/>
    </row>
    <row r="8885" spans="24:25" x14ac:dyDescent="0.35">
      <c r="X8885" s="40"/>
      <c r="Y8885" s="40"/>
    </row>
    <row r="8886" spans="24:25" x14ac:dyDescent="0.35">
      <c r="X8886" s="40"/>
      <c r="Y8886" s="40"/>
    </row>
    <row r="8887" spans="24:25" x14ac:dyDescent="0.35">
      <c r="X8887" s="40"/>
      <c r="Y8887" s="40"/>
    </row>
    <row r="8888" spans="24:25" x14ac:dyDescent="0.35">
      <c r="X8888" s="40"/>
      <c r="Y8888" s="40"/>
    </row>
    <row r="8889" spans="24:25" x14ac:dyDescent="0.35">
      <c r="X8889" s="40"/>
      <c r="Y8889" s="40"/>
    </row>
    <row r="8890" spans="24:25" x14ac:dyDescent="0.35">
      <c r="X8890" s="40"/>
      <c r="Y8890" s="40"/>
    </row>
    <row r="8891" spans="24:25" x14ac:dyDescent="0.35">
      <c r="X8891" s="40"/>
      <c r="Y8891" s="40"/>
    </row>
    <row r="8892" spans="24:25" x14ac:dyDescent="0.35">
      <c r="X8892" s="40"/>
      <c r="Y8892" s="40"/>
    </row>
    <row r="8893" spans="24:25" x14ac:dyDescent="0.35">
      <c r="X8893" s="40"/>
      <c r="Y8893" s="40"/>
    </row>
    <row r="8894" spans="24:25" x14ac:dyDescent="0.35">
      <c r="X8894" s="40"/>
      <c r="Y8894" s="40"/>
    </row>
    <row r="8895" spans="24:25" x14ac:dyDescent="0.35">
      <c r="X8895" s="40"/>
      <c r="Y8895" s="40"/>
    </row>
    <row r="8896" spans="24:25" x14ac:dyDescent="0.35">
      <c r="X8896" s="40"/>
      <c r="Y8896" s="40"/>
    </row>
    <row r="8897" spans="24:25" x14ac:dyDescent="0.35">
      <c r="X8897" s="40"/>
      <c r="Y8897" s="40"/>
    </row>
    <row r="8898" spans="24:25" x14ac:dyDescent="0.35">
      <c r="X8898" s="40"/>
      <c r="Y8898" s="40"/>
    </row>
    <row r="8899" spans="24:25" x14ac:dyDescent="0.35">
      <c r="X8899" s="40"/>
      <c r="Y8899" s="40"/>
    </row>
    <row r="8900" spans="24:25" x14ac:dyDescent="0.35">
      <c r="X8900" s="40"/>
      <c r="Y8900" s="40"/>
    </row>
    <row r="8901" spans="24:25" x14ac:dyDescent="0.35">
      <c r="X8901" s="40"/>
      <c r="Y8901" s="40"/>
    </row>
    <row r="8902" spans="24:25" x14ac:dyDescent="0.35">
      <c r="X8902" s="40"/>
      <c r="Y8902" s="40"/>
    </row>
    <row r="8903" spans="24:25" x14ac:dyDescent="0.35">
      <c r="X8903" s="40"/>
      <c r="Y8903" s="40"/>
    </row>
    <row r="8904" spans="24:25" x14ac:dyDescent="0.35">
      <c r="X8904" s="40"/>
      <c r="Y8904" s="40"/>
    </row>
    <row r="8905" spans="24:25" x14ac:dyDescent="0.35">
      <c r="X8905" s="40"/>
      <c r="Y8905" s="40"/>
    </row>
    <row r="8906" spans="24:25" x14ac:dyDescent="0.35">
      <c r="X8906" s="40"/>
      <c r="Y8906" s="40"/>
    </row>
    <row r="8907" spans="24:25" x14ac:dyDescent="0.35">
      <c r="X8907" s="40"/>
      <c r="Y8907" s="40"/>
    </row>
    <row r="8908" spans="24:25" x14ac:dyDescent="0.35">
      <c r="X8908" s="40"/>
      <c r="Y8908" s="40"/>
    </row>
    <row r="8909" spans="24:25" x14ac:dyDescent="0.35">
      <c r="X8909" s="40"/>
      <c r="Y8909" s="40"/>
    </row>
    <row r="8910" spans="24:25" x14ac:dyDescent="0.35">
      <c r="X8910" s="40"/>
      <c r="Y8910" s="40"/>
    </row>
    <row r="8911" spans="24:25" x14ac:dyDescent="0.35">
      <c r="X8911" s="40"/>
      <c r="Y8911" s="40"/>
    </row>
    <row r="8912" spans="24:25" x14ac:dyDescent="0.35">
      <c r="X8912" s="40"/>
      <c r="Y8912" s="40"/>
    </row>
    <row r="8913" spans="24:25" x14ac:dyDescent="0.35">
      <c r="X8913" s="40"/>
      <c r="Y8913" s="40"/>
    </row>
    <row r="8914" spans="24:25" x14ac:dyDescent="0.35">
      <c r="X8914" s="40"/>
      <c r="Y8914" s="40"/>
    </row>
    <row r="8915" spans="24:25" x14ac:dyDescent="0.35">
      <c r="X8915" s="40"/>
      <c r="Y8915" s="40"/>
    </row>
    <row r="8916" spans="24:25" x14ac:dyDescent="0.35">
      <c r="X8916" s="40"/>
      <c r="Y8916" s="40"/>
    </row>
    <row r="8917" spans="24:25" x14ac:dyDescent="0.35">
      <c r="X8917" s="40"/>
      <c r="Y8917" s="40"/>
    </row>
    <row r="8918" spans="24:25" x14ac:dyDescent="0.35">
      <c r="X8918" s="40"/>
      <c r="Y8918" s="40"/>
    </row>
    <row r="8919" spans="24:25" x14ac:dyDescent="0.35">
      <c r="X8919" s="40"/>
      <c r="Y8919" s="40"/>
    </row>
    <row r="8920" spans="24:25" x14ac:dyDescent="0.35">
      <c r="X8920" s="40"/>
      <c r="Y8920" s="40"/>
    </row>
    <row r="8921" spans="24:25" x14ac:dyDescent="0.35">
      <c r="X8921" s="40"/>
      <c r="Y8921" s="40"/>
    </row>
    <row r="8922" spans="24:25" x14ac:dyDescent="0.35">
      <c r="X8922" s="40"/>
      <c r="Y8922" s="40"/>
    </row>
    <row r="8923" spans="24:25" x14ac:dyDescent="0.35">
      <c r="X8923" s="40"/>
      <c r="Y8923" s="40"/>
    </row>
    <row r="8924" spans="24:25" x14ac:dyDescent="0.35">
      <c r="X8924" s="40"/>
      <c r="Y8924" s="40"/>
    </row>
    <row r="8925" spans="24:25" x14ac:dyDescent="0.35">
      <c r="X8925" s="40"/>
      <c r="Y8925" s="40"/>
    </row>
    <row r="8926" spans="24:25" x14ac:dyDescent="0.35">
      <c r="X8926" s="40"/>
      <c r="Y8926" s="40"/>
    </row>
    <row r="8927" spans="24:25" x14ac:dyDescent="0.35">
      <c r="X8927" s="40"/>
      <c r="Y8927" s="40"/>
    </row>
    <row r="8928" spans="24:25" x14ac:dyDescent="0.35">
      <c r="X8928" s="40"/>
      <c r="Y8928" s="40"/>
    </row>
    <row r="8929" spans="24:25" x14ac:dyDescent="0.35">
      <c r="X8929" s="40"/>
      <c r="Y8929" s="40"/>
    </row>
    <row r="8930" spans="24:25" x14ac:dyDescent="0.35">
      <c r="X8930" s="40"/>
      <c r="Y8930" s="40"/>
    </row>
    <row r="8931" spans="24:25" x14ac:dyDescent="0.35">
      <c r="X8931" s="40"/>
      <c r="Y8931" s="40"/>
    </row>
    <row r="8932" spans="24:25" x14ac:dyDescent="0.35">
      <c r="X8932" s="40"/>
      <c r="Y8932" s="40"/>
    </row>
    <row r="8933" spans="24:25" x14ac:dyDescent="0.35">
      <c r="X8933" s="40"/>
      <c r="Y8933" s="40"/>
    </row>
    <row r="8934" spans="24:25" x14ac:dyDescent="0.35">
      <c r="X8934" s="40"/>
      <c r="Y8934" s="40"/>
    </row>
    <row r="8935" spans="24:25" x14ac:dyDescent="0.35">
      <c r="X8935" s="40"/>
      <c r="Y8935" s="40"/>
    </row>
    <row r="8936" spans="24:25" x14ac:dyDescent="0.35">
      <c r="X8936" s="40"/>
      <c r="Y8936" s="40"/>
    </row>
    <row r="8937" spans="24:25" x14ac:dyDescent="0.35">
      <c r="X8937" s="40"/>
      <c r="Y8937" s="40"/>
    </row>
    <row r="8938" spans="24:25" x14ac:dyDescent="0.35">
      <c r="X8938" s="40"/>
      <c r="Y8938" s="40"/>
    </row>
    <row r="8939" spans="24:25" x14ac:dyDescent="0.35">
      <c r="X8939" s="40"/>
      <c r="Y8939" s="40"/>
    </row>
    <row r="8940" spans="24:25" x14ac:dyDescent="0.35">
      <c r="X8940" s="40"/>
      <c r="Y8940" s="40"/>
    </row>
    <row r="8941" spans="24:25" x14ac:dyDescent="0.35">
      <c r="X8941" s="40"/>
      <c r="Y8941" s="40"/>
    </row>
    <row r="8942" spans="24:25" x14ac:dyDescent="0.35">
      <c r="X8942" s="40"/>
      <c r="Y8942" s="40"/>
    </row>
    <row r="8943" spans="24:25" x14ac:dyDescent="0.35">
      <c r="X8943" s="40"/>
      <c r="Y8943" s="40"/>
    </row>
    <row r="8944" spans="24:25" x14ac:dyDescent="0.35">
      <c r="X8944" s="40"/>
      <c r="Y8944" s="40"/>
    </row>
    <row r="8945" spans="24:25" x14ac:dyDescent="0.35">
      <c r="X8945" s="40"/>
      <c r="Y8945" s="40"/>
    </row>
    <row r="8946" spans="24:25" x14ac:dyDescent="0.35">
      <c r="X8946" s="40"/>
      <c r="Y8946" s="40"/>
    </row>
    <row r="8947" spans="24:25" x14ac:dyDescent="0.35">
      <c r="X8947" s="40"/>
      <c r="Y8947" s="40"/>
    </row>
    <row r="8948" spans="24:25" x14ac:dyDescent="0.35">
      <c r="X8948" s="40"/>
      <c r="Y8948" s="40"/>
    </row>
    <row r="8949" spans="24:25" x14ac:dyDescent="0.35">
      <c r="X8949" s="40"/>
      <c r="Y8949" s="40"/>
    </row>
    <row r="8950" spans="24:25" x14ac:dyDescent="0.35">
      <c r="X8950" s="40"/>
      <c r="Y8950" s="40"/>
    </row>
    <row r="8951" spans="24:25" x14ac:dyDescent="0.35">
      <c r="X8951" s="40"/>
      <c r="Y8951" s="40"/>
    </row>
    <row r="8952" spans="24:25" x14ac:dyDescent="0.35">
      <c r="X8952" s="40"/>
      <c r="Y8952" s="40"/>
    </row>
    <row r="8953" spans="24:25" x14ac:dyDescent="0.35">
      <c r="X8953" s="40"/>
      <c r="Y8953" s="40"/>
    </row>
    <row r="8954" spans="24:25" x14ac:dyDescent="0.35">
      <c r="X8954" s="40"/>
      <c r="Y8954" s="40"/>
    </row>
    <row r="8955" spans="24:25" x14ac:dyDescent="0.35">
      <c r="X8955" s="40"/>
      <c r="Y8955" s="40"/>
    </row>
    <row r="8956" spans="24:25" x14ac:dyDescent="0.35">
      <c r="X8956" s="40"/>
      <c r="Y8956" s="40"/>
    </row>
    <row r="8957" spans="24:25" x14ac:dyDescent="0.35">
      <c r="X8957" s="40"/>
      <c r="Y8957" s="40"/>
    </row>
    <row r="8958" spans="24:25" x14ac:dyDescent="0.35">
      <c r="X8958" s="40"/>
      <c r="Y8958" s="40"/>
    </row>
    <row r="8959" spans="24:25" x14ac:dyDescent="0.35">
      <c r="X8959" s="40"/>
      <c r="Y8959" s="40"/>
    </row>
    <row r="8960" spans="24:25" x14ac:dyDescent="0.35">
      <c r="X8960" s="40"/>
      <c r="Y8960" s="40"/>
    </row>
    <row r="8961" spans="24:25" x14ac:dyDescent="0.35">
      <c r="X8961" s="40"/>
      <c r="Y8961" s="40"/>
    </row>
    <row r="8962" spans="24:25" x14ac:dyDescent="0.35">
      <c r="X8962" s="40"/>
      <c r="Y8962" s="40"/>
    </row>
    <row r="8963" spans="24:25" x14ac:dyDescent="0.35">
      <c r="X8963" s="40"/>
      <c r="Y8963" s="40"/>
    </row>
    <row r="8964" spans="24:25" x14ac:dyDescent="0.35">
      <c r="X8964" s="40"/>
      <c r="Y8964" s="40"/>
    </row>
    <row r="8965" spans="24:25" x14ac:dyDescent="0.35">
      <c r="X8965" s="40"/>
      <c r="Y8965" s="40"/>
    </row>
    <row r="8966" spans="24:25" x14ac:dyDescent="0.35">
      <c r="X8966" s="40"/>
      <c r="Y8966" s="40"/>
    </row>
    <row r="8967" spans="24:25" x14ac:dyDescent="0.35">
      <c r="X8967" s="40"/>
      <c r="Y8967" s="40"/>
    </row>
    <row r="8968" spans="24:25" x14ac:dyDescent="0.35">
      <c r="X8968" s="40"/>
      <c r="Y8968" s="40"/>
    </row>
    <row r="8969" spans="24:25" x14ac:dyDescent="0.35">
      <c r="X8969" s="40"/>
      <c r="Y8969" s="40"/>
    </row>
    <row r="8970" spans="24:25" x14ac:dyDescent="0.35">
      <c r="X8970" s="40"/>
      <c r="Y8970" s="40"/>
    </row>
    <row r="8971" spans="24:25" x14ac:dyDescent="0.35">
      <c r="X8971" s="40"/>
      <c r="Y8971" s="40"/>
    </row>
    <row r="8972" spans="24:25" x14ac:dyDescent="0.35">
      <c r="X8972" s="40"/>
      <c r="Y8972" s="40"/>
    </row>
    <row r="8973" spans="24:25" x14ac:dyDescent="0.35">
      <c r="X8973" s="40"/>
      <c r="Y8973" s="40"/>
    </row>
    <row r="8974" spans="24:25" x14ac:dyDescent="0.35">
      <c r="X8974" s="40"/>
      <c r="Y8974" s="40"/>
    </row>
    <row r="8975" spans="24:25" x14ac:dyDescent="0.35">
      <c r="X8975" s="40"/>
      <c r="Y8975" s="40"/>
    </row>
    <row r="8976" spans="24:25" x14ac:dyDescent="0.35">
      <c r="X8976" s="40"/>
      <c r="Y8976" s="40"/>
    </row>
    <row r="8977" spans="24:25" x14ac:dyDescent="0.35">
      <c r="X8977" s="40"/>
      <c r="Y8977" s="40"/>
    </row>
    <row r="8978" spans="24:25" x14ac:dyDescent="0.35">
      <c r="X8978" s="40"/>
      <c r="Y8978" s="40"/>
    </row>
    <row r="8979" spans="24:25" x14ac:dyDescent="0.35">
      <c r="X8979" s="40"/>
      <c r="Y8979" s="40"/>
    </row>
    <row r="8980" spans="24:25" x14ac:dyDescent="0.35">
      <c r="X8980" s="40"/>
      <c r="Y8980" s="40"/>
    </row>
    <row r="8981" spans="24:25" x14ac:dyDescent="0.35">
      <c r="X8981" s="40"/>
      <c r="Y8981" s="40"/>
    </row>
    <row r="8982" spans="24:25" x14ac:dyDescent="0.35">
      <c r="X8982" s="40"/>
      <c r="Y8982" s="40"/>
    </row>
    <row r="8983" spans="24:25" x14ac:dyDescent="0.35">
      <c r="X8983" s="40"/>
      <c r="Y8983" s="40"/>
    </row>
    <row r="8984" spans="24:25" x14ac:dyDescent="0.35">
      <c r="X8984" s="40"/>
      <c r="Y8984" s="40"/>
    </row>
    <row r="8985" spans="24:25" x14ac:dyDescent="0.35">
      <c r="X8985" s="40"/>
      <c r="Y8985" s="40"/>
    </row>
    <row r="8986" spans="24:25" x14ac:dyDescent="0.35">
      <c r="X8986" s="40"/>
      <c r="Y8986" s="40"/>
    </row>
    <row r="8987" spans="24:25" x14ac:dyDescent="0.35">
      <c r="X8987" s="40"/>
      <c r="Y8987" s="40"/>
    </row>
    <row r="8988" spans="24:25" x14ac:dyDescent="0.35">
      <c r="X8988" s="40"/>
      <c r="Y8988" s="40"/>
    </row>
    <row r="8989" spans="24:25" x14ac:dyDescent="0.35">
      <c r="X8989" s="40"/>
      <c r="Y8989" s="40"/>
    </row>
    <row r="8990" spans="24:25" x14ac:dyDescent="0.35">
      <c r="X8990" s="40"/>
      <c r="Y8990" s="40"/>
    </row>
    <row r="8991" spans="24:25" x14ac:dyDescent="0.35">
      <c r="X8991" s="40"/>
      <c r="Y8991" s="40"/>
    </row>
    <row r="8992" spans="24:25" x14ac:dyDescent="0.35">
      <c r="X8992" s="40"/>
      <c r="Y8992" s="40"/>
    </row>
    <row r="8993" spans="24:25" x14ac:dyDescent="0.35">
      <c r="X8993" s="40"/>
      <c r="Y8993" s="40"/>
    </row>
    <row r="8994" spans="24:25" x14ac:dyDescent="0.35">
      <c r="X8994" s="40"/>
      <c r="Y8994" s="40"/>
    </row>
    <row r="8995" spans="24:25" x14ac:dyDescent="0.35">
      <c r="X8995" s="40"/>
      <c r="Y8995" s="40"/>
    </row>
    <row r="8996" spans="24:25" x14ac:dyDescent="0.35">
      <c r="X8996" s="40"/>
      <c r="Y8996" s="40"/>
    </row>
    <row r="8997" spans="24:25" x14ac:dyDescent="0.35">
      <c r="X8997" s="40"/>
      <c r="Y8997" s="40"/>
    </row>
    <row r="8998" spans="24:25" x14ac:dyDescent="0.35">
      <c r="X8998" s="40"/>
      <c r="Y8998" s="40"/>
    </row>
    <row r="8999" spans="24:25" x14ac:dyDescent="0.35">
      <c r="X8999" s="40"/>
      <c r="Y8999" s="40"/>
    </row>
    <row r="9000" spans="24:25" x14ac:dyDescent="0.35">
      <c r="X9000" s="40"/>
      <c r="Y9000" s="40"/>
    </row>
    <row r="9001" spans="24:25" x14ac:dyDescent="0.35">
      <c r="X9001" s="40"/>
      <c r="Y9001" s="40"/>
    </row>
    <row r="9002" spans="24:25" x14ac:dyDescent="0.35">
      <c r="X9002" s="40"/>
      <c r="Y9002" s="40"/>
    </row>
    <row r="9003" spans="24:25" x14ac:dyDescent="0.35">
      <c r="X9003" s="40"/>
      <c r="Y9003" s="40"/>
    </row>
    <row r="9004" spans="24:25" x14ac:dyDescent="0.35">
      <c r="X9004" s="40"/>
      <c r="Y9004" s="40"/>
    </row>
    <row r="9005" spans="24:25" x14ac:dyDescent="0.35">
      <c r="X9005" s="40"/>
      <c r="Y9005" s="40"/>
    </row>
    <row r="9006" spans="24:25" x14ac:dyDescent="0.35">
      <c r="X9006" s="40"/>
      <c r="Y9006" s="40"/>
    </row>
    <row r="9007" spans="24:25" x14ac:dyDescent="0.35">
      <c r="X9007" s="40"/>
      <c r="Y9007" s="40"/>
    </row>
    <row r="9008" spans="24:25" x14ac:dyDescent="0.35">
      <c r="X9008" s="40"/>
      <c r="Y9008" s="40"/>
    </row>
    <row r="9009" spans="24:25" x14ac:dyDescent="0.35">
      <c r="X9009" s="40"/>
      <c r="Y9009" s="40"/>
    </row>
    <row r="9010" spans="24:25" x14ac:dyDescent="0.35">
      <c r="X9010" s="40"/>
      <c r="Y9010" s="40"/>
    </row>
    <row r="9011" spans="24:25" x14ac:dyDescent="0.35">
      <c r="X9011" s="40"/>
      <c r="Y9011" s="40"/>
    </row>
    <row r="9012" spans="24:25" x14ac:dyDescent="0.35">
      <c r="X9012" s="40"/>
      <c r="Y9012" s="40"/>
    </row>
    <row r="9013" spans="24:25" x14ac:dyDescent="0.35">
      <c r="X9013" s="40"/>
      <c r="Y9013" s="40"/>
    </row>
    <row r="9014" spans="24:25" x14ac:dyDescent="0.35">
      <c r="X9014" s="40"/>
      <c r="Y9014" s="40"/>
    </row>
    <row r="9015" spans="24:25" x14ac:dyDescent="0.35">
      <c r="X9015" s="40"/>
      <c r="Y9015" s="40"/>
    </row>
    <row r="9016" spans="24:25" x14ac:dyDescent="0.35">
      <c r="X9016" s="40"/>
      <c r="Y9016" s="40"/>
    </row>
    <row r="9017" spans="24:25" x14ac:dyDescent="0.35">
      <c r="X9017" s="40"/>
      <c r="Y9017" s="40"/>
    </row>
    <row r="9018" spans="24:25" x14ac:dyDescent="0.35">
      <c r="X9018" s="40"/>
      <c r="Y9018" s="40"/>
    </row>
    <row r="9019" spans="24:25" x14ac:dyDescent="0.35">
      <c r="X9019" s="40"/>
      <c r="Y9019" s="40"/>
    </row>
    <row r="9020" spans="24:25" x14ac:dyDescent="0.35">
      <c r="X9020" s="40"/>
      <c r="Y9020" s="40"/>
    </row>
    <row r="9021" spans="24:25" x14ac:dyDescent="0.35">
      <c r="X9021" s="40"/>
      <c r="Y9021" s="40"/>
    </row>
    <row r="9022" spans="24:25" x14ac:dyDescent="0.35">
      <c r="X9022" s="40"/>
      <c r="Y9022" s="40"/>
    </row>
    <row r="9023" spans="24:25" x14ac:dyDescent="0.35">
      <c r="X9023" s="40"/>
      <c r="Y9023" s="40"/>
    </row>
    <row r="9024" spans="24:25" x14ac:dyDescent="0.35">
      <c r="X9024" s="40"/>
      <c r="Y9024" s="40"/>
    </row>
    <row r="9025" spans="24:25" x14ac:dyDescent="0.35">
      <c r="X9025" s="40"/>
      <c r="Y9025" s="40"/>
    </row>
    <row r="9026" spans="24:25" x14ac:dyDescent="0.35">
      <c r="X9026" s="40"/>
      <c r="Y9026" s="40"/>
    </row>
    <row r="9027" spans="24:25" x14ac:dyDescent="0.35">
      <c r="X9027" s="40"/>
      <c r="Y9027" s="40"/>
    </row>
    <row r="9028" spans="24:25" x14ac:dyDescent="0.35">
      <c r="X9028" s="40"/>
      <c r="Y9028" s="40"/>
    </row>
    <row r="9029" spans="24:25" x14ac:dyDescent="0.35">
      <c r="X9029" s="40"/>
      <c r="Y9029" s="40"/>
    </row>
    <row r="9030" spans="24:25" x14ac:dyDescent="0.35">
      <c r="X9030" s="40"/>
      <c r="Y9030" s="40"/>
    </row>
    <row r="9031" spans="24:25" x14ac:dyDescent="0.35">
      <c r="X9031" s="40"/>
      <c r="Y9031" s="40"/>
    </row>
    <row r="9032" spans="24:25" x14ac:dyDescent="0.35">
      <c r="X9032" s="40"/>
      <c r="Y9032" s="40"/>
    </row>
    <row r="9033" spans="24:25" x14ac:dyDescent="0.35">
      <c r="X9033" s="40"/>
      <c r="Y9033" s="40"/>
    </row>
    <row r="9034" spans="24:25" x14ac:dyDescent="0.35">
      <c r="X9034" s="40"/>
      <c r="Y9034" s="40"/>
    </row>
    <row r="9035" spans="24:25" x14ac:dyDescent="0.35">
      <c r="X9035" s="40"/>
      <c r="Y9035" s="40"/>
    </row>
    <row r="9036" spans="24:25" x14ac:dyDescent="0.35">
      <c r="X9036" s="40"/>
      <c r="Y9036" s="40"/>
    </row>
    <row r="9037" spans="24:25" x14ac:dyDescent="0.35">
      <c r="X9037" s="40"/>
      <c r="Y9037" s="40"/>
    </row>
    <row r="9038" spans="24:25" x14ac:dyDescent="0.35">
      <c r="X9038" s="40"/>
      <c r="Y9038" s="40"/>
    </row>
    <row r="9039" spans="24:25" x14ac:dyDescent="0.35">
      <c r="X9039" s="40"/>
      <c r="Y9039" s="40"/>
    </row>
    <row r="9040" spans="24:25" x14ac:dyDescent="0.35">
      <c r="X9040" s="40"/>
      <c r="Y9040" s="40"/>
    </row>
    <row r="9041" spans="24:25" x14ac:dyDescent="0.35">
      <c r="X9041" s="40"/>
      <c r="Y9041" s="40"/>
    </row>
    <row r="9042" spans="24:25" x14ac:dyDescent="0.35">
      <c r="X9042" s="40"/>
      <c r="Y9042" s="40"/>
    </row>
    <row r="9043" spans="24:25" x14ac:dyDescent="0.35">
      <c r="X9043" s="40"/>
      <c r="Y9043" s="40"/>
    </row>
    <row r="9044" spans="24:25" x14ac:dyDescent="0.35">
      <c r="X9044" s="40"/>
      <c r="Y9044" s="40"/>
    </row>
    <row r="9045" spans="24:25" x14ac:dyDescent="0.35">
      <c r="X9045" s="40"/>
      <c r="Y9045" s="40"/>
    </row>
    <row r="9046" spans="24:25" x14ac:dyDescent="0.35">
      <c r="X9046" s="40"/>
      <c r="Y9046" s="40"/>
    </row>
    <row r="9047" spans="24:25" x14ac:dyDescent="0.35">
      <c r="X9047" s="40"/>
      <c r="Y9047" s="40"/>
    </row>
    <row r="9048" spans="24:25" x14ac:dyDescent="0.35">
      <c r="X9048" s="40"/>
      <c r="Y9048" s="40"/>
    </row>
    <row r="9049" spans="24:25" x14ac:dyDescent="0.35">
      <c r="X9049" s="40"/>
      <c r="Y9049" s="40"/>
    </row>
    <row r="9050" spans="24:25" x14ac:dyDescent="0.35">
      <c r="X9050" s="40"/>
      <c r="Y9050" s="40"/>
    </row>
    <row r="9051" spans="24:25" x14ac:dyDescent="0.35">
      <c r="X9051" s="40"/>
      <c r="Y9051" s="40"/>
    </row>
    <row r="9052" spans="24:25" x14ac:dyDescent="0.35">
      <c r="X9052" s="40"/>
      <c r="Y9052" s="40"/>
    </row>
    <row r="9053" spans="24:25" x14ac:dyDescent="0.35">
      <c r="X9053" s="40"/>
      <c r="Y9053" s="40"/>
    </row>
    <row r="9054" spans="24:25" x14ac:dyDescent="0.35">
      <c r="X9054" s="40"/>
      <c r="Y9054" s="40"/>
    </row>
    <row r="9055" spans="24:25" x14ac:dyDescent="0.35">
      <c r="X9055" s="40"/>
      <c r="Y9055" s="40"/>
    </row>
    <row r="9056" spans="24:25" x14ac:dyDescent="0.35">
      <c r="X9056" s="40"/>
      <c r="Y9056" s="40"/>
    </row>
    <row r="9057" spans="24:25" x14ac:dyDescent="0.35">
      <c r="X9057" s="40"/>
      <c r="Y9057" s="40"/>
    </row>
    <row r="9058" spans="24:25" x14ac:dyDescent="0.35">
      <c r="X9058" s="40"/>
      <c r="Y9058" s="40"/>
    </row>
    <row r="9059" spans="24:25" x14ac:dyDescent="0.35">
      <c r="X9059" s="40"/>
      <c r="Y9059" s="40"/>
    </row>
    <row r="9060" spans="24:25" x14ac:dyDescent="0.35">
      <c r="X9060" s="40"/>
      <c r="Y9060" s="40"/>
    </row>
    <row r="9061" spans="24:25" x14ac:dyDescent="0.35">
      <c r="X9061" s="40"/>
      <c r="Y9061" s="40"/>
    </row>
    <row r="9062" spans="24:25" x14ac:dyDescent="0.35">
      <c r="X9062" s="40"/>
      <c r="Y9062" s="40"/>
    </row>
    <row r="9063" spans="24:25" x14ac:dyDescent="0.35">
      <c r="X9063" s="40"/>
      <c r="Y9063" s="40"/>
    </row>
    <row r="9064" spans="24:25" x14ac:dyDescent="0.35">
      <c r="X9064" s="40"/>
      <c r="Y9064" s="40"/>
    </row>
    <row r="9065" spans="24:25" x14ac:dyDescent="0.35">
      <c r="X9065" s="40"/>
      <c r="Y9065" s="40"/>
    </row>
    <row r="9066" spans="24:25" x14ac:dyDescent="0.35">
      <c r="X9066" s="40"/>
      <c r="Y9066" s="40"/>
    </row>
    <row r="9067" spans="24:25" x14ac:dyDescent="0.35">
      <c r="X9067" s="40"/>
      <c r="Y9067" s="40"/>
    </row>
    <row r="9068" spans="24:25" x14ac:dyDescent="0.35">
      <c r="X9068" s="40"/>
      <c r="Y9068" s="40"/>
    </row>
    <row r="9069" spans="24:25" x14ac:dyDescent="0.35">
      <c r="X9069" s="40"/>
      <c r="Y9069" s="40"/>
    </row>
    <row r="9070" spans="24:25" x14ac:dyDescent="0.35">
      <c r="X9070" s="40"/>
      <c r="Y9070" s="40"/>
    </row>
    <row r="9071" spans="24:25" x14ac:dyDescent="0.35">
      <c r="X9071" s="40"/>
      <c r="Y9071" s="40"/>
    </row>
    <row r="9072" spans="24:25" x14ac:dyDescent="0.35">
      <c r="X9072" s="40"/>
      <c r="Y9072" s="40"/>
    </row>
    <row r="9073" spans="24:25" x14ac:dyDescent="0.35">
      <c r="X9073" s="40"/>
      <c r="Y9073" s="40"/>
    </row>
    <row r="9074" spans="24:25" x14ac:dyDescent="0.35">
      <c r="X9074" s="40"/>
      <c r="Y9074" s="40"/>
    </row>
    <row r="9075" spans="24:25" x14ac:dyDescent="0.35">
      <c r="X9075" s="40"/>
      <c r="Y9075" s="40"/>
    </row>
    <row r="9076" spans="24:25" x14ac:dyDescent="0.35">
      <c r="X9076" s="40"/>
      <c r="Y9076" s="40"/>
    </row>
    <row r="9077" spans="24:25" x14ac:dyDescent="0.35">
      <c r="X9077" s="40"/>
      <c r="Y9077" s="40"/>
    </row>
    <row r="9078" spans="24:25" x14ac:dyDescent="0.35">
      <c r="X9078" s="40"/>
      <c r="Y9078" s="40"/>
    </row>
    <row r="9079" spans="24:25" x14ac:dyDescent="0.35">
      <c r="X9079" s="40"/>
      <c r="Y9079" s="40"/>
    </row>
    <row r="9080" spans="24:25" x14ac:dyDescent="0.35">
      <c r="X9080" s="40"/>
      <c r="Y9080" s="40"/>
    </row>
    <row r="9081" spans="24:25" x14ac:dyDescent="0.35">
      <c r="X9081" s="40"/>
      <c r="Y9081" s="40"/>
    </row>
    <row r="9082" spans="24:25" x14ac:dyDescent="0.35">
      <c r="X9082" s="40"/>
      <c r="Y9082" s="40"/>
    </row>
    <row r="9083" spans="24:25" x14ac:dyDescent="0.35">
      <c r="X9083" s="40"/>
      <c r="Y9083" s="40"/>
    </row>
    <row r="9084" spans="24:25" x14ac:dyDescent="0.35">
      <c r="X9084" s="40"/>
      <c r="Y9084" s="40"/>
    </row>
    <row r="9085" spans="24:25" x14ac:dyDescent="0.35">
      <c r="X9085" s="40"/>
      <c r="Y9085" s="40"/>
    </row>
    <row r="9086" spans="24:25" x14ac:dyDescent="0.35">
      <c r="X9086" s="40"/>
      <c r="Y9086" s="40"/>
    </row>
    <row r="9087" spans="24:25" x14ac:dyDescent="0.35">
      <c r="X9087" s="40"/>
      <c r="Y9087" s="40"/>
    </row>
    <row r="9088" spans="24:25" x14ac:dyDescent="0.35">
      <c r="X9088" s="40"/>
      <c r="Y9088" s="40"/>
    </row>
    <row r="9089" spans="24:25" x14ac:dyDescent="0.35">
      <c r="X9089" s="40"/>
      <c r="Y9089" s="40"/>
    </row>
    <row r="9090" spans="24:25" x14ac:dyDescent="0.35">
      <c r="X9090" s="40"/>
      <c r="Y9090" s="40"/>
    </row>
    <row r="9091" spans="24:25" x14ac:dyDescent="0.35">
      <c r="X9091" s="40"/>
      <c r="Y9091" s="40"/>
    </row>
    <row r="9092" spans="24:25" x14ac:dyDescent="0.35">
      <c r="X9092" s="40"/>
      <c r="Y9092" s="40"/>
    </row>
    <row r="9093" spans="24:25" x14ac:dyDescent="0.35">
      <c r="X9093" s="40"/>
      <c r="Y9093" s="40"/>
    </row>
    <row r="9094" spans="24:25" x14ac:dyDescent="0.35">
      <c r="X9094" s="40"/>
      <c r="Y9094" s="40"/>
    </row>
    <row r="9095" spans="24:25" x14ac:dyDescent="0.35">
      <c r="X9095" s="40"/>
      <c r="Y9095" s="40"/>
    </row>
    <row r="9096" spans="24:25" x14ac:dyDescent="0.35">
      <c r="X9096" s="40"/>
      <c r="Y9096" s="40"/>
    </row>
    <row r="9097" spans="24:25" x14ac:dyDescent="0.35">
      <c r="X9097" s="40"/>
      <c r="Y9097" s="40"/>
    </row>
    <row r="9098" spans="24:25" x14ac:dyDescent="0.35">
      <c r="X9098" s="40"/>
      <c r="Y9098" s="40"/>
    </row>
    <row r="9099" spans="24:25" x14ac:dyDescent="0.35">
      <c r="X9099" s="40"/>
      <c r="Y9099" s="40"/>
    </row>
    <row r="9100" spans="24:25" x14ac:dyDescent="0.35">
      <c r="X9100" s="40"/>
      <c r="Y9100" s="40"/>
    </row>
    <row r="9101" spans="24:25" x14ac:dyDescent="0.35">
      <c r="X9101" s="40"/>
      <c r="Y9101" s="40"/>
    </row>
    <row r="9102" spans="24:25" x14ac:dyDescent="0.35">
      <c r="X9102" s="40"/>
      <c r="Y9102" s="40"/>
    </row>
    <row r="9103" spans="24:25" x14ac:dyDescent="0.35">
      <c r="X9103" s="40"/>
      <c r="Y9103" s="40"/>
    </row>
    <row r="9104" spans="24:25" x14ac:dyDescent="0.35">
      <c r="X9104" s="40"/>
      <c r="Y9104" s="40"/>
    </row>
    <row r="9105" spans="24:25" x14ac:dyDescent="0.35">
      <c r="X9105" s="40"/>
      <c r="Y9105" s="40"/>
    </row>
    <row r="9106" spans="24:25" x14ac:dyDescent="0.35">
      <c r="X9106" s="40"/>
      <c r="Y9106" s="40"/>
    </row>
    <row r="9107" spans="24:25" x14ac:dyDescent="0.35">
      <c r="X9107" s="40"/>
      <c r="Y9107" s="40"/>
    </row>
    <row r="9108" spans="24:25" x14ac:dyDescent="0.35">
      <c r="X9108" s="40"/>
      <c r="Y9108" s="40"/>
    </row>
    <row r="9109" spans="24:25" x14ac:dyDescent="0.35">
      <c r="X9109" s="40"/>
      <c r="Y9109" s="40"/>
    </row>
    <row r="9110" spans="24:25" x14ac:dyDescent="0.35">
      <c r="X9110" s="40"/>
      <c r="Y9110" s="40"/>
    </row>
    <row r="9111" spans="24:25" x14ac:dyDescent="0.35">
      <c r="X9111" s="40"/>
      <c r="Y9111" s="40"/>
    </row>
    <row r="9112" spans="24:25" x14ac:dyDescent="0.35">
      <c r="X9112" s="40"/>
      <c r="Y9112" s="40"/>
    </row>
    <row r="9113" spans="24:25" x14ac:dyDescent="0.35">
      <c r="X9113" s="40"/>
      <c r="Y9113" s="40"/>
    </row>
    <row r="9114" spans="24:25" x14ac:dyDescent="0.35">
      <c r="X9114" s="40"/>
      <c r="Y9114" s="40"/>
    </row>
    <row r="9115" spans="24:25" x14ac:dyDescent="0.35">
      <c r="X9115" s="40"/>
      <c r="Y9115" s="40"/>
    </row>
    <row r="9116" spans="24:25" x14ac:dyDescent="0.35">
      <c r="X9116" s="40"/>
      <c r="Y9116" s="40"/>
    </row>
    <row r="9117" spans="24:25" x14ac:dyDescent="0.35">
      <c r="X9117" s="40"/>
      <c r="Y9117" s="40"/>
    </row>
    <row r="9118" spans="24:25" x14ac:dyDescent="0.35">
      <c r="X9118" s="40"/>
      <c r="Y9118" s="40"/>
    </row>
    <row r="9119" spans="24:25" x14ac:dyDescent="0.35">
      <c r="X9119" s="40"/>
      <c r="Y9119" s="40"/>
    </row>
    <row r="9120" spans="24:25" x14ac:dyDescent="0.35">
      <c r="X9120" s="40"/>
      <c r="Y9120" s="40"/>
    </row>
    <row r="9121" spans="24:25" x14ac:dyDescent="0.35">
      <c r="X9121" s="40"/>
      <c r="Y9121" s="40"/>
    </row>
    <row r="9122" spans="24:25" x14ac:dyDescent="0.35">
      <c r="X9122" s="40"/>
      <c r="Y9122" s="40"/>
    </row>
    <row r="9123" spans="24:25" x14ac:dyDescent="0.35">
      <c r="X9123" s="40"/>
      <c r="Y9123" s="40"/>
    </row>
    <row r="9124" spans="24:25" x14ac:dyDescent="0.35">
      <c r="X9124" s="40"/>
      <c r="Y9124" s="40"/>
    </row>
    <row r="9125" spans="24:25" x14ac:dyDescent="0.35">
      <c r="X9125" s="40"/>
      <c r="Y9125" s="40"/>
    </row>
    <row r="9126" spans="24:25" x14ac:dyDescent="0.35">
      <c r="X9126" s="40"/>
      <c r="Y9126" s="40"/>
    </row>
    <row r="9127" spans="24:25" x14ac:dyDescent="0.35">
      <c r="X9127" s="40"/>
      <c r="Y9127" s="40"/>
    </row>
    <row r="9128" spans="24:25" x14ac:dyDescent="0.35">
      <c r="X9128" s="40"/>
      <c r="Y9128" s="40"/>
    </row>
    <row r="9129" spans="24:25" x14ac:dyDescent="0.35">
      <c r="X9129" s="40"/>
      <c r="Y9129" s="40"/>
    </row>
    <row r="9130" spans="24:25" x14ac:dyDescent="0.35">
      <c r="X9130" s="40"/>
      <c r="Y9130" s="40"/>
    </row>
    <row r="9131" spans="24:25" x14ac:dyDescent="0.35">
      <c r="X9131" s="40"/>
      <c r="Y9131" s="40"/>
    </row>
    <row r="9132" spans="24:25" x14ac:dyDescent="0.35">
      <c r="X9132" s="40"/>
      <c r="Y9132" s="40"/>
    </row>
    <row r="9133" spans="24:25" x14ac:dyDescent="0.35">
      <c r="X9133" s="40"/>
      <c r="Y9133" s="40"/>
    </row>
    <row r="9134" spans="24:25" x14ac:dyDescent="0.35">
      <c r="X9134" s="40"/>
      <c r="Y9134" s="40"/>
    </row>
    <row r="9135" spans="24:25" x14ac:dyDescent="0.35">
      <c r="X9135" s="40"/>
      <c r="Y9135" s="40"/>
    </row>
    <row r="9136" spans="24:25" x14ac:dyDescent="0.35">
      <c r="X9136" s="40"/>
      <c r="Y9136" s="40"/>
    </row>
    <row r="9137" spans="24:25" x14ac:dyDescent="0.35">
      <c r="X9137" s="40"/>
      <c r="Y9137" s="40"/>
    </row>
    <row r="9138" spans="24:25" x14ac:dyDescent="0.35">
      <c r="X9138" s="40"/>
      <c r="Y9138" s="40"/>
    </row>
    <row r="9139" spans="24:25" x14ac:dyDescent="0.35">
      <c r="X9139" s="40"/>
      <c r="Y9139" s="40"/>
    </row>
    <row r="9140" spans="24:25" x14ac:dyDescent="0.35">
      <c r="X9140" s="40"/>
      <c r="Y9140" s="40"/>
    </row>
    <row r="9141" spans="24:25" x14ac:dyDescent="0.35">
      <c r="X9141" s="40"/>
      <c r="Y9141" s="40"/>
    </row>
    <row r="9142" spans="24:25" x14ac:dyDescent="0.35">
      <c r="X9142" s="40"/>
      <c r="Y9142" s="40"/>
    </row>
    <row r="9143" spans="24:25" x14ac:dyDescent="0.35">
      <c r="X9143" s="40"/>
      <c r="Y9143" s="40"/>
    </row>
    <row r="9144" spans="24:25" x14ac:dyDescent="0.35">
      <c r="X9144" s="40"/>
      <c r="Y9144" s="40"/>
    </row>
    <row r="9145" spans="24:25" x14ac:dyDescent="0.35">
      <c r="X9145" s="40"/>
      <c r="Y9145" s="40"/>
    </row>
    <row r="9146" spans="24:25" x14ac:dyDescent="0.35">
      <c r="X9146" s="40"/>
      <c r="Y9146" s="40"/>
    </row>
    <row r="9147" spans="24:25" x14ac:dyDescent="0.35">
      <c r="X9147" s="40"/>
      <c r="Y9147" s="40"/>
    </row>
    <row r="9148" spans="24:25" x14ac:dyDescent="0.35">
      <c r="X9148" s="40"/>
      <c r="Y9148" s="40"/>
    </row>
    <row r="9149" spans="24:25" x14ac:dyDescent="0.35">
      <c r="X9149" s="40"/>
      <c r="Y9149" s="40"/>
    </row>
    <row r="9150" spans="24:25" x14ac:dyDescent="0.35">
      <c r="X9150" s="40"/>
      <c r="Y9150" s="40"/>
    </row>
    <row r="9151" spans="24:25" x14ac:dyDescent="0.35">
      <c r="X9151" s="40"/>
      <c r="Y9151" s="40"/>
    </row>
    <row r="9152" spans="24:25" x14ac:dyDescent="0.35">
      <c r="X9152" s="40"/>
      <c r="Y9152" s="40"/>
    </row>
    <row r="9153" spans="24:25" x14ac:dyDescent="0.35">
      <c r="X9153" s="40"/>
      <c r="Y9153" s="40"/>
    </row>
    <row r="9154" spans="24:25" x14ac:dyDescent="0.35">
      <c r="X9154" s="40"/>
      <c r="Y9154" s="40"/>
    </row>
    <row r="9155" spans="24:25" x14ac:dyDescent="0.35">
      <c r="X9155" s="40"/>
      <c r="Y9155" s="40"/>
    </row>
    <row r="9156" spans="24:25" x14ac:dyDescent="0.35">
      <c r="X9156" s="40"/>
      <c r="Y9156" s="40"/>
    </row>
    <row r="9157" spans="24:25" x14ac:dyDescent="0.35">
      <c r="X9157" s="40"/>
      <c r="Y9157" s="40"/>
    </row>
    <row r="9158" spans="24:25" x14ac:dyDescent="0.35">
      <c r="X9158" s="40"/>
      <c r="Y9158" s="40"/>
    </row>
    <row r="9159" spans="24:25" x14ac:dyDescent="0.35">
      <c r="X9159" s="40"/>
      <c r="Y9159" s="40"/>
    </row>
    <row r="9160" spans="24:25" x14ac:dyDescent="0.35">
      <c r="X9160" s="40"/>
      <c r="Y9160" s="40"/>
    </row>
    <row r="9161" spans="24:25" x14ac:dyDescent="0.35">
      <c r="X9161" s="40"/>
      <c r="Y9161" s="40"/>
    </row>
    <row r="9162" spans="24:25" x14ac:dyDescent="0.35">
      <c r="X9162" s="40"/>
      <c r="Y9162" s="40"/>
    </row>
    <row r="9163" spans="24:25" x14ac:dyDescent="0.35">
      <c r="X9163" s="40"/>
      <c r="Y9163" s="40"/>
    </row>
    <row r="9164" spans="24:25" x14ac:dyDescent="0.35">
      <c r="X9164" s="40"/>
      <c r="Y9164" s="40"/>
    </row>
    <row r="9165" spans="24:25" x14ac:dyDescent="0.35">
      <c r="X9165" s="40"/>
      <c r="Y9165" s="40"/>
    </row>
    <row r="9166" spans="24:25" x14ac:dyDescent="0.35">
      <c r="X9166" s="40"/>
      <c r="Y9166" s="40"/>
    </row>
    <row r="9167" spans="24:25" x14ac:dyDescent="0.35">
      <c r="X9167" s="40"/>
      <c r="Y9167" s="40"/>
    </row>
    <row r="9168" spans="24:25" x14ac:dyDescent="0.35">
      <c r="X9168" s="40"/>
      <c r="Y9168" s="40"/>
    </row>
    <row r="9169" spans="24:25" x14ac:dyDescent="0.35">
      <c r="X9169" s="40"/>
      <c r="Y9169" s="40"/>
    </row>
    <row r="9170" spans="24:25" x14ac:dyDescent="0.35">
      <c r="X9170" s="40"/>
      <c r="Y9170" s="40"/>
    </row>
    <row r="9171" spans="24:25" x14ac:dyDescent="0.35">
      <c r="X9171" s="40"/>
      <c r="Y9171" s="40"/>
    </row>
    <row r="9172" spans="24:25" x14ac:dyDescent="0.35">
      <c r="X9172" s="40"/>
      <c r="Y9172" s="40"/>
    </row>
    <row r="9173" spans="24:25" x14ac:dyDescent="0.35">
      <c r="X9173" s="40"/>
      <c r="Y9173" s="40"/>
    </row>
    <row r="9174" spans="24:25" x14ac:dyDescent="0.35">
      <c r="X9174" s="40"/>
      <c r="Y9174" s="40"/>
    </row>
    <row r="9175" spans="24:25" x14ac:dyDescent="0.35">
      <c r="X9175" s="40"/>
      <c r="Y9175" s="40"/>
    </row>
    <row r="9176" spans="24:25" x14ac:dyDescent="0.35">
      <c r="X9176" s="40"/>
      <c r="Y9176" s="40"/>
    </row>
    <row r="9177" spans="24:25" x14ac:dyDescent="0.35">
      <c r="X9177" s="40"/>
      <c r="Y9177" s="40"/>
    </row>
    <row r="9178" spans="24:25" x14ac:dyDescent="0.35">
      <c r="X9178" s="40"/>
      <c r="Y9178" s="40"/>
    </row>
    <row r="9179" spans="24:25" x14ac:dyDescent="0.35">
      <c r="X9179" s="40"/>
      <c r="Y9179" s="40"/>
    </row>
    <row r="9180" spans="24:25" x14ac:dyDescent="0.35">
      <c r="X9180" s="40"/>
      <c r="Y9180" s="40"/>
    </row>
    <row r="9181" spans="24:25" x14ac:dyDescent="0.35">
      <c r="X9181" s="40"/>
      <c r="Y9181" s="40"/>
    </row>
    <row r="9182" spans="24:25" x14ac:dyDescent="0.35">
      <c r="X9182" s="40"/>
      <c r="Y9182" s="40"/>
    </row>
    <row r="9183" spans="24:25" x14ac:dyDescent="0.35">
      <c r="X9183" s="40"/>
      <c r="Y9183" s="40"/>
    </row>
    <row r="9184" spans="24:25" x14ac:dyDescent="0.35">
      <c r="X9184" s="40"/>
      <c r="Y9184" s="40"/>
    </row>
    <row r="9185" spans="24:25" x14ac:dyDescent="0.35">
      <c r="X9185" s="40"/>
      <c r="Y9185" s="40"/>
    </row>
    <row r="9186" spans="24:25" x14ac:dyDescent="0.35">
      <c r="X9186" s="40"/>
      <c r="Y9186" s="40"/>
    </row>
    <row r="9187" spans="24:25" x14ac:dyDescent="0.35">
      <c r="X9187" s="40"/>
      <c r="Y9187" s="40"/>
    </row>
    <row r="9188" spans="24:25" x14ac:dyDescent="0.35">
      <c r="X9188" s="40"/>
      <c r="Y9188" s="40"/>
    </row>
    <row r="9189" spans="24:25" x14ac:dyDescent="0.35">
      <c r="X9189" s="40"/>
      <c r="Y9189" s="40"/>
    </row>
    <row r="9190" spans="24:25" x14ac:dyDescent="0.35">
      <c r="X9190" s="40"/>
      <c r="Y9190" s="40"/>
    </row>
    <row r="9191" spans="24:25" x14ac:dyDescent="0.35">
      <c r="X9191" s="40"/>
      <c r="Y9191" s="40"/>
    </row>
    <row r="9192" spans="24:25" x14ac:dyDescent="0.35">
      <c r="X9192" s="40"/>
      <c r="Y9192" s="40"/>
    </row>
    <row r="9193" spans="24:25" x14ac:dyDescent="0.35">
      <c r="X9193" s="40"/>
      <c r="Y9193" s="40"/>
    </row>
    <row r="9194" spans="24:25" x14ac:dyDescent="0.35">
      <c r="X9194" s="40"/>
      <c r="Y9194" s="40"/>
    </row>
    <row r="9195" spans="24:25" x14ac:dyDescent="0.35">
      <c r="X9195" s="40"/>
      <c r="Y9195" s="40"/>
    </row>
    <row r="9196" spans="24:25" x14ac:dyDescent="0.35">
      <c r="X9196" s="40"/>
      <c r="Y9196" s="40"/>
    </row>
    <row r="9197" spans="24:25" x14ac:dyDescent="0.35">
      <c r="X9197" s="40"/>
      <c r="Y9197" s="40"/>
    </row>
    <row r="9198" spans="24:25" x14ac:dyDescent="0.35">
      <c r="X9198" s="40"/>
      <c r="Y9198" s="40"/>
    </row>
    <row r="9199" spans="24:25" x14ac:dyDescent="0.35">
      <c r="X9199" s="40"/>
      <c r="Y9199" s="40"/>
    </row>
    <row r="9200" spans="24:25" x14ac:dyDescent="0.35">
      <c r="X9200" s="40"/>
      <c r="Y9200" s="40"/>
    </row>
    <row r="9201" spans="24:25" x14ac:dyDescent="0.35">
      <c r="X9201" s="40"/>
      <c r="Y9201" s="40"/>
    </row>
    <row r="9202" spans="24:25" x14ac:dyDescent="0.35">
      <c r="X9202" s="40"/>
      <c r="Y9202" s="40"/>
    </row>
    <row r="9203" spans="24:25" x14ac:dyDescent="0.35">
      <c r="X9203" s="40"/>
      <c r="Y9203" s="40"/>
    </row>
    <row r="9204" spans="24:25" x14ac:dyDescent="0.35">
      <c r="X9204" s="40"/>
      <c r="Y9204" s="40"/>
    </row>
    <row r="9205" spans="24:25" x14ac:dyDescent="0.35">
      <c r="X9205" s="40"/>
      <c r="Y9205" s="40"/>
    </row>
    <row r="9206" spans="24:25" x14ac:dyDescent="0.35">
      <c r="X9206" s="40"/>
      <c r="Y9206" s="40"/>
    </row>
    <row r="9207" spans="24:25" x14ac:dyDescent="0.35">
      <c r="X9207" s="40"/>
      <c r="Y9207" s="40"/>
    </row>
    <row r="9208" spans="24:25" x14ac:dyDescent="0.35">
      <c r="X9208" s="40"/>
      <c r="Y9208" s="40"/>
    </row>
    <row r="9209" spans="24:25" x14ac:dyDescent="0.35">
      <c r="X9209" s="40"/>
      <c r="Y9209" s="40"/>
    </row>
    <row r="9210" spans="24:25" x14ac:dyDescent="0.35">
      <c r="X9210" s="40"/>
      <c r="Y9210" s="40"/>
    </row>
    <row r="9211" spans="24:25" x14ac:dyDescent="0.35">
      <c r="X9211" s="40"/>
      <c r="Y9211" s="40"/>
    </row>
    <row r="9212" spans="24:25" x14ac:dyDescent="0.35">
      <c r="X9212" s="40"/>
      <c r="Y9212" s="40"/>
    </row>
    <row r="9213" spans="24:25" x14ac:dyDescent="0.35">
      <c r="X9213" s="40"/>
      <c r="Y9213" s="40"/>
    </row>
    <row r="9214" spans="24:25" x14ac:dyDescent="0.35">
      <c r="X9214" s="40"/>
      <c r="Y9214" s="40"/>
    </row>
    <row r="9215" spans="24:25" x14ac:dyDescent="0.35">
      <c r="X9215" s="40"/>
      <c r="Y9215" s="40"/>
    </row>
    <row r="9216" spans="24:25" x14ac:dyDescent="0.35">
      <c r="X9216" s="40"/>
      <c r="Y9216" s="40"/>
    </row>
    <row r="9217" spans="24:25" x14ac:dyDescent="0.35">
      <c r="X9217" s="40"/>
      <c r="Y9217" s="40"/>
    </row>
    <row r="9218" spans="24:25" x14ac:dyDescent="0.35">
      <c r="X9218" s="40"/>
      <c r="Y9218" s="40"/>
    </row>
    <row r="9219" spans="24:25" x14ac:dyDescent="0.35">
      <c r="X9219" s="40"/>
      <c r="Y9219" s="40"/>
    </row>
    <row r="9220" spans="24:25" x14ac:dyDescent="0.35">
      <c r="X9220" s="40"/>
      <c r="Y9220" s="40"/>
    </row>
    <row r="9221" spans="24:25" x14ac:dyDescent="0.35">
      <c r="X9221" s="40"/>
      <c r="Y9221" s="40"/>
    </row>
    <row r="9222" spans="24:25" x14ac:dyDescent="0.35">
      <c r="X9222" s="40"/>
      <c r="Y9222" s="40"/>
    </row>
    <row r="9223" spans="24:25" x14ac:dyDescent="0.35">
      <c r="X9223" s="40"/>
      <c r="Y9223" s="40"/>
    </row>
    <row r="9224" spans="24:25" x14ac:dyDescent="0.35">
      <c r="X9224" s="40"/>
      <c r="Y9224" s="40"/>
    </row>
    <row r="9225" spans="24:25" x14ac:dyDescent="0.35">
      <c r="X9225" s="40"/>
      <c r="Y9225" s="40"/>
    </row>
    <row r="9226" spans="24:25" x14ac:dyDescent="0.35">
      <c r="X9226" s="40"/>
      <c r="Y9226" s="40"/>
    </row>
    <row r="9227" spans="24:25" x14ac:dyDescent="0.35">
      <c r="X9227" s="40"/>
      <c r="Y9227" s="40"/>
    </row>
    <row r="9228" spans="24:25" x14ac:dyDescent="0.35">
      <c r="X9228" s="40"/>
      <c r="Y9228" s="40"/>
    </row>
    <row r="9229" spans="24:25" x14ac:dyDescent="0.35">
      <c r="X9229" s="40"/>
      <c r="Y9229" s="40"/>
    </row>
    <row r="9230" spans="24:25" x14ac:dyDescent="0.35">
      <c r="X9230" s="40"/>
      <c r="Y9230" s="40"/>
    </row>
    <row r="9231" spans="24:25" x14ac:dyDescent="0.35">
      <c r="X9231" s="40"/>
      <c r="Y9231" s="40"/>
    </row>
    <row r="9232" spans="24:25" x14ac:dyDescent="0.35">
      <c r="X9232" s="40"/>
      <c r="Y9232" s="40"/>
    </row>
    <row r="9233" spans="24:25" x14ac:dyDescent="0.35">
      <c r="X9233" s="40"/>
      <c r="Y9233" s="40"/>
    </row>
    <row r="9234" spans="24:25" x14ac:dyDescent="0.35">
      <c r="X9234" s="40"/>
      <c r="Y9234" s="40"/>
    </row>
    <row r="9235" spans="24:25" x14ac:dyDescent="0.35">
      <c r="X9235" s="40"/>
      <c r="Y9235" s="40"/>
    </row>
    <row r="9236" spans="24:25" x14ac:dyDescent="0.35">
      <c r="X9236" s="40"/>
      <c r="Y9236" s="40"/>
    </row>
    <row r="9237" spans="24:25" x14ac:dyDescent="0.35">
      <c r="X9237" s="40"/>
      <c r="Y9237" s="40"/>
    </row>
    <row r="9238" spans="24:25" x14ac:dyDescent="0.35">
      <c r="X9238" s="40"/>
      <c r="Y9238" s="40"/>
    </row>
    <row r="9239" spans="24:25" x14ac:dyDescent="0.35">
      <c r="X9239" s="40"/>
      <c r="Y9239" s="40"/>
    </row>
    <row r="9240" spans="24:25" x14ac:dyDescent="0.35">
      <c r="X9240" s="40"/>
      <c r="Y9240" s="40"/>
    </row>
    <row r="9241" spans="24:25" x14ac:dyDescent="0.35">
      <c r="X9241" s="40"/>
      <c r="Y9241" s="40"/>
    </row>
    <row r="9242" spans="24:25" x14ac:dyDescent="0.35">
      <c r="X9242" s="40"/>
      <c r="Y9242" s="40"/>
    </row>
    <row r="9243" spans="24:25" x14ac:dyDescent="0.35">
      <c r="X9243" s="40"/>
      <c r="Y9243" s="40"/>
    </row>
    <row r="9244" spans="24:25" x14ac:dyDescent="0.35">
      <c r="X9244" s="40"/>
      <c r="Y9244" s="40"/>
    </row>
    <row r="9245" spans="24:25" x14ac:dyDescent="0.35">
      <c r="X9245" s="40"/>
      <c r="Y9245" s="40"/>
    </row>
    <row r="9246" spans="24:25" x14ac:dyDescent="0.35">
      <c r="X9246" s="40"/>
      <c r="Y9246" s="40"/>
    </row>
    <row r="9247" spans="24:25" x14ac:dyDescent="0.35">
      <c r="X9247" s="40"/>
      <c r="Y9247" s="40"/>
    </row>
    <row r="9248" spans="24:25" x14ac:dyDescent="0.35">
      <c r="X9248" s="40"/>
      <c r="Y9248" s="40"/>
    </row>
    <row r="9249" spans="24:25" x14ac:dyDescent="0.35">
      <c r="X9249" s="40"/>
      <c r="Y9249" s="40"/>
    </row>
    <row r="9250" spans="24:25" x14ac:dyDescent="0.35">
      <c r="X9250" s="40"/>
      <c r="Y9250" s="40"/>
    </row>
    <row r="9251" spans="24:25" x14ac:dyDescent="0.35">
      <c r="X9251" s="40"/>
      <c r="Y9251" s="40"/>
    </row>
    <row r="9252" spans="24:25" x14ac:dyDescent="0.35">
      <c r="X9252" s="40"/>
      <c r="Y9252" s="40"/>
    </row>
    <row r="9253" spans="24:25" x14ac:dyDescent="0.35">
      <c r="X9253" s="40"/>
      <c r="Y9253" s="40"/>
    </row>
    <row r="9254" spans="24:25" x14ac:dyDescent="0.35">
      <c r="X9254" s="40"/>
      <c r="Y9254" s="40"/>
    </row>
    <row r="9255" spans="24:25" x14ac:dyDescent="0.35">
      <c r="X9255" s="40"/>
      <c r="Y9255" s="40"/>
    </row>
    <row r="9256" spans="24:25" x14ac:dyDescent="0.35">
      <c r="X9256" s="40"/>
      <c r="Y9256" s="40"/>
    </row>
    <row r="9257" spans="24:25" x14ac:dyDescent="0.35">
      <c r="X9257" s="40"/>
      <c r="Y9257" s="40"/>
    </row>
    <row r="9258" spans="24:25" x14ac:dyDescent="0.35">
      <c r="X9258" s="40"/>
      <c r="Y9258" s="40"/>
    </row>
    <row r="9259" spans="24:25" x14ac:dyDescent="0.35">
      <c r="X9259" s="40"/>
      <c r="Y9259" s="40"/>
    </row>
    <row r="9260" spans="24:25" x14ac:dyDescent="0.35">
      <c r="X9260" s="40"/>
      <c r="Y9260" s="40"/>
    </row>
    <row r="9261" spans="24:25" x14ac:dyDescent="0.35">
      <c r="X9261" s="40"/>
      <c r="Y9261" s="40"/>
    </row>
    <row r="9262" spans="24:25" x14ac:dyDescent="0.35">
      <c r="X9262" s="40"/>
      <c r="Y9262" s="40"/>
    </row>
    <row r="9263" spans="24:25" x14ac:dyDescent="0.35">
      <c r="X9263" s="40"/>
      <c r="Y9263" s="40"/>
    </row>
    <row r="9264" spans="24:25" x14ac:dyDescent="0.35">
      <c r="X9264" s="40"/>
      <c r="Y9264" s="40"/>
    </row>
    <row r="9265" spans="24:25" x14ac:dyDescent="0.35">
      <c r="X9265" s="40"/>
      <c r="Y9265" s="40"/>
    </row>
    <row r="9266" spans="24:25" x14ac:dyDescent="0.35">
      <c r="X9266" s="40"/>
      <c r="Y9266" s="40"/>
    </row>
    <row r="9267" spans="24:25" x14ac:dyDescent="0.35">
      <c r="X9267" s="40"/>
      <c r="Y9267" s="40"/>
    </row>
    <row r="9268" spans="24:25" x14ac:dyDescent="0.35">
      <c r="X9268" s="40"/>
      <c r="Y9268" s="40"/>
    </row>
    <row r="9269" spans="24:25" x14ac:dyDescent="0.35">
      <c r="X9269" s="40"/>
      <c r="Y9269" s="40"/>
    </row>
    <row r="9270" spans="24:25" x14ac:dyDescent="0.35">
      <c r="X9270" s="40"/>
      <c r="Y9270" s="40"/>
    </row>
    <row r="9271" spans="24:25" x14ac:dyDescent="0.35">
      <c r="X9271" s="40"/>
      <c r="Y9271" s="40"/>
    </row>
    <row r="9272" spans="24:25" x14ac:dyDescent="0.35">
      <c r="X9272" s="40"/>
      <c r="Y9272" s="40"/>
    </row>
    <row r="9273" spans="24:25" x14ac:dyDescent="0.35">
      <c r="X9273" s="40"/>
      <c r="Y9273" s="40"/>
    </row>
    <row r="9274" spans="24:25" x14ac:dyDescent="0.35">
      <c r="X9274" s="40"/>
      <c r="Y9274" s="40"/>
    </row>
    <row r="9275" spans="24:25" x14ac:dyDescent="0.35">
      <c r="X9275" s="40"/>
      <c r="Y9275" s="40"/>
    </row>
    <row r="9276" spans="24:25" x14ac:dyDescent="0.35">
      <c r="X9276" s="40"/>
      <c r="Y9276" s="40"/>
    </row>
    <row r="9277" spans="24:25" x14ac:dyDescent="0.35">
      <c r="X9277" s="40"/>
      <c r="Y9277" s="40"/>
    </row>
    <row r="9278" spans="24:25" x14ac:dyDescent="0.35">
      <c r="X9278" s="40"/>
      <c r="Y9278" s="40"/>
    </row>
    <row r="9279" spans="24:25" x14ac:dyDescent="0.35">
      <c r="X9279" s="40"/>
      <c r="Y9279" s="40"/>
    </row>
    <row r="9280" spans="24:25" x14ac:dyDescent="0.35">
      <c r="X9280" s="40"/>
      <c r="Y9280" s="40"/>
    </row>
    <row r="9281" spans="24:25" x14ac:dyDescent="0.35">
      <c r="X9281" s="40"/>
      <c r="Y9281" s="40"/>
    </row>
    <row r="9282" spans="24:25" x14ac:dyDescent="0.35">
      <c r="X9282" s="40"/>
      <c r="Y9282" s="40"/>
    </row>
    <row r="9283" spans="24:25" x14ac:dyDescent="0.35">
      <c r="X9283" s="40"/>
      <c r="Y9283" s="40"/>
    </row>
    <row r="9284" spans="24:25" x14ac:dyDescent="0.35">
      <c r="X9284" s="40"/>
      <c r="Y9284" s="40"/>
    </row>
    <row r="9285" spans="24:25" x14ac:dyDescent="0.35">
      <c r="X9285" s="40"/>
      <c r="Y9285" s="40"/>
    </row>
    <row r="9286" spans="24:25" x14ac:dyDescent="0.35">
      <c r="X9286" s="40"/>
      <c r="Y9286" s="40"/>
    </row>
    <row r="9287" spans="24:25" x14ac:dyDescent="0.35">
      <c r="X9287" s="40"/>
      <c r="Y9287" s="40"/>
    </row>
    <row r="9288" spans="24:25" x14ac:dyDescent="0.35">
      <c r="X9288" s="40"/>
      <c r="Y9288" s="40"/>
    </row>
    <row r="9289" spans="24:25" x14ac:dyDescent="0.35">
      <c r="X9289" s="40"/>
      <c r="Y9289" s="40"/>
    </row>
    <row r="9290" spans="24:25" x14ac:dyDescent="0.35">
      <c r="X9290" s="40"/>
      <c r="Y9290" s="40"/>
    </row>
    <row r="9291" spans="24:25" x14ac:dyDescent="0.35">
      <c r="X9291" s="40"/>
      <c r="Y9291" s="40"/>
    </row>
    <row r="9292" spans="24:25" x14ac:dyDescent="0.35">
      <c r="X9292" s="40"/>
      <c r="Y9292" s="40"/>
    </row>
    <row r="9293" spans="24:25" x14ac:dyDescent="0.35">
      <c r="X9293" s="40"/>
      <c r="Y9293" s="40"/>
    </row>
    <row r="9294" spans="24:25" x14ac:dyDescent="0.35">
      <c r="X9294" s="40"/>
      <c r="Y9294" s="40"/>
    </row>
    <row r="9295" spans="24:25" x14ac:dyDescent="0.35">
      <c r="X9295" s="40"/>
      <c r="Y9295" s="40"/>
    </row>
    <row r="9296" spans="24:25" x14ac:dyDescent="0.35">
      <c r="X9296" s="40"/>
      <c r="Y9296" s="40"/>
    </row>
    <row r="9297" spans="24:25" x14ac:dyDescent="0.35">
      <c r="X9297" s="40"/>
      <c r="Y9297" s="40"/>
    </row>
    <row r="9298" spans="24:25" x14ac:dyDescent="0.35">
      <c r="X9298" s="40"/>
      <c r="Y9298" s="40"/>
    </row>
    <row r="9299" spans="24:25" x14ac:dyDescent="0.35">
      <c r="X9299" s="40"/>
      <c r="Y9299" s="40"/>
    </row>
    <row r="9300" spans="24:25" x14ac:dyDescent="0.35">
      <c r="X9300" s="40"/>
      <c r="Y9300" s="40"/>
    </row>
    <row r="9301" spans="24:25" x14ac:dyDescent="0.35">
      <c r="X9301" s="40"/>
      <c r="Y9301" s="40"/>
    </row>
    <row r="9302" spans="24:25" x14ac:dyDescent="0.35">
      <c r="X9302" s="40"/>
      <c r="Y9302" s="40"/>
    </row>
    <row r="9303" spans="24:25" x14ac:dyDescent="0.35">
      <c r="X9303" s="40"/>
      <c r="Y9303" s="40"/>
    </row>
    <row r="9304" spans="24:25" x14ac:dyDescent="0.35">
      <c r="X9304" s="40"/>
      <c r="Y9304" s="40"/>
    </row>
    <row r="9305" spans="24:25" x14ac:dyDescent="0.35">
      <c r="X9305" s="40"/>
      <c r="Y9305" s="40"/>
    </row>
    <row r="9306" spans="24:25" x14ac:dyDescent="0.35">
      <c r="X9306" s="40"/>
      <c r="Y9306" s="40"/>
    </row>
    <row r="9307" spans="24:25" x14ac:dyDescent="0.35">
      <c r="X9307" s="40"/>
      <c r="Y9307" s="40"/>
    </row>
    <row r="9308" spans="24:25" x14ac:dyDescent="0.35">
      <c r="X9308" s="40"/>
      <c r="Y9308" s="40"/>
    </row>
    <row r="9309" spans="24:25" x14ac:dyDescent="0.35">
      <c r="X9309" s="40"/>
      <c r="Y9309" s="40"/>
    </row>
    <row r="9310" spans="24:25" x14ac:dyDescent="0.35">
      <c r="X9310" s="40"/>
      <c r="Y9310" s="40"/>
    </row>
    <row r="9311" spans="24:25" x14ac:dyDescent="0.35">
      <c r="X9311" s="40"/>
      <c r="Y9311" s="40"/>
    </row>
    <row r="9312" spans="24:25" x14ac:dyDescent="0.35">
      <c r="X9312" s="40"/>
      <c r="Y9312" s="40"/>
    </row>
    <row r="9313" spans="24:25" x14ac:dyDescent="0.35">
      <c r="X9313" s="40"/>
      <c r="Y9313" s="40"/>
    </row>
    <row r="9314" spans="24:25" x14ac:dyDescent="0.35">
      <c r="X9314" s="40"/>
      <c r="Y9314" s="40"/>
    </row>
    <row r="9315" spans="24:25" x14ac:dyDescent="0.35">
      <c r="X9315" s="40"/>
      <c r="Y9315" s="40"/>
    </row>
    <row r="9316" spans="24:25" x14ac:dyDescent="0.35">
      <c r="X9316" s="40"/>
      <c r="Y9316" s="40"/>
    </row>
    <row r="9317" spans="24:25" x14ac:dyDescent="0.35">
      <c r="X9317" s="40"/>
      <c r="Y9317" s="40"/>
    </row>
    <row r="9318" spans="24:25" x14ac:dyDescent="0.35">
      <c r="X9318" s="40"/>
      <c r="Y9318" s="40"/>
    </row>
    <row r="9319" spans="24:25" x14ac:dyDescent="0.35">
      <c r="X9319" s="40"/>
      <c r="Y9319" s="40"/>
    </row>
    <row r="9320" spans="24:25" x14ac:dyDescent="0.35">
      <c r="X9320" s="40"/>
      <c r="Y9320" s="40"/>
    </row>
    <row r="9321" spans="24:25" x14ac:dyDescent="0.35">
      <c r="X9321" s="40"/>
      <c r="Y9321" s="40"/>
    </row>
    <row r="9322" spans="24:25" x14ac:dyDescent="0.35">
      <c r="X9322" s="40"/>
      <c r="Y9322" s="40"/>
    </row>
    <row r="9323" spans="24:25" x14ac:dyDescent="0.35">
      <c r="X9323" s="40"/>
      <c r="Y9323" s="40"/>
    </row>
    <row r="9324" spans="24:25" x14ac:dyDescent="0.35">
      <c r="X9324" s="40"/>
      <c r="Y9324" s="40"/>
    </row>
    <row r="9325" spans="24:25" x14ac:dyDescent="0.35">
      <c r="X9325" s="40"/>
      <c r="Y9325" s="40"/>
    </row>
    <row r="9326" spans="24:25" x14ac:dyDescent="0.35">
      <c r="X9326" s="40"/>
      <c r="Y9326" s="40"/>
    </row>
    <row r="9327" spans="24:25" x14ac:dyDescent="0.35">
      <c r="X9327" s="40"/>
      <c r="Y9327" s="40"/>
    </row>
    <row r="9328" spans="24:25" x14ac:dyDescent="0.35">
      <c r="X9328" s="40"/>
      <c r="Y9328" s="40"/>
    </row>
    <row r="9329" spans="24:25" x14ac:dyDescent="0.35">
      <c r="X9329" s="40"/>
      <c r="Y9329" s="40"/>
    </row>
    <row r="9330" spans="24:25" x14ac:dyDescent="0.35">
      <c r="X9330" s="40"/>
      <c r="Y9330" s="40"/>
    </row>
    <row r="9331" spans="24:25" x14ac:dyDescent="0.35">
      <c r="X9331" s="40"/>
      <c r="Y9331" s="40"/>
    </row>
    <row r="9332" spans="24:25" x14ac:dyDescent="0.35">
      <c r="X9332" s="40"/>
      <c r="Y9332" s="40"/>
    </row>
    <row r="9333" spans="24:25" x14ac:dyDescent="0.35">
      <c r="X9333" s="40"/>
      <c r="Y9333" s="40"/>
    </row>
    <row r="9334" spans="24:25" x14ac:dyDescent="0.35">
      <c r="X9334" s="40"/>
      <c r="Y9334" s="40"/>
    </row>
    <row r="9335" spans="24:25" x14ac:dyDescent="0.35">
      <c r="X9335" s="40"/>
      <c r="Y9335" s="40"/>
    </row>
    <row r="9336" spans="24:25" x14ac:dyDescent="0.35">
      <c r="X9336" s="40"/>
      <c r="Y9336" s="40"/>
    </row>
    <row r="9337" spans="24:25" x14ac:dyDescent="0.35">
      <c r="X9337" s="40"/>
      <c r="Y9337" s="40"/>
    </row>
    <row r="9338" spans="24:25" x14ac:dyDescent="0.35">
      <c r="X9338" s="40"/>
      <c r="Y9338" s="40"/>
    </row>
    <row r="9339" spans="24:25" x14ac:dyDescent="0.35">
      <c r="X9339" s="40"/>
      <c r="Y9339" s="40"/>
    </row>
    <row r="9340" spans="24:25" x14ac:dyDescent="0.35">
      <c r="X9340" s="40"/>
      <c r="Y9340" s="40"/>
    </row>
    <row r="9341" spans="24:25" x14ac:dyDescent="0.35">
      <c r="X9341" s="40"/>
      <c r="Y9341" s="40"/>
    </row>
    <row r="9342" spans="24:25" x14ac:dyDescent="0.35">
      <c r="X9342" s="40"/>
      <c r="Y9342" s="40"/>
    </row>
    <row r="9343" spans="24:25" x14ac:dyDescent="0.35">
      <c r="X9343" s="40"/>
      <c r="Y9343" s="40"/>
    </row>
    <row r="9344" spans="24:25" x14ac:dyDescent="0.35">
      <c r="X9344" s="40"/>
      <c r="Y9344" s="40"/>
    </row>
    <row r="9345" spans="24:25" x14ac:dyDescent="0.35">
      <c r="X9345" s="40"/>
      <c r="Y9345" s="40"/>
    </row>
    <row r="9346" spans="24:25" x14ac:dyDescent="0.35">
      <c r="X9346" s="40"/>
      <c r="Y9346" s="40"/>
    </row>
    <row r="9347" spans="24:25" x14ac:dyDescent="0.35">
      <c r="X9347" s="40"/>
      <c r="Y9347" s="40"/>
    </row>
    <row r="9348" spans="24:25" x14ac:dyDescent="0.35">
      <c r="X9348" s="40"/>
      <c r="Y9348" s="40"/>
    </row>
    <row r="9349" spans="24:25" x14ac:dyDescent="0.35">
      <c r="X9349" s="40"/>
      <c r="Y9349" s="40"/>
    </row>
    <row r="9350" spans="24:25" x14ac:dyDescent="0.35">
      <c r="X9350" s="40"/>
      <c r="Y9350" s="40"/>
    </row>
    <row r="9351" spans="24:25" x14ac:dyDescent="0.35">
      <c r="X9351" s="40"/>
      <c r="Y9351" s="40"/>
    </row>
    <row r="9352" spans="24:25" x14ac:dyDescent="0.35">
      <c r="X9352" s="40"/>
      <c r="Y9352" s="40"/>
    </row>
    <row r="9353" spans="24:25" x14ac:dyDescent="0.35">
      <c r="X9353" s="40"/>
      <c r="Y9353" s="40"/>
    </row>
    <row r="9354" spans="24:25" x14ac:dyDescent="0.35">
      <c r="X9354" s="40"/>
      <c r="Y9354" s="40"/>
    </row>
    <row r="9355" spans="24:25" x14ac:dyDescent="0.35">
      <c r="X9355" s="40"/>
      <c r="Y9355" s="40"/>
    </row>
    <row r="9356" spans="24:25" x14ac:dyDescent="0.35">
      <c r="X9356" s="40"/>
      <c r="Y9356" s="40"/>
    </row>
    <row r="9357" spans="24:25" x14ac:dyDescent="0.35">
      <c r="X9357" s="40"/>
      <c r="Y9357" s="40"/>
    </row>
    <row r="9358" spans="24:25" x14ac:dyDescent="0.35">
      <c r="X9358" s="40"/>
      <c r="Y9358" s="40"/>
    </row>
    <row r="9359" spans="24:25" x14ac:dyDescent="0.35">
      <c r="X9359" s="40"/>
      <c r="Y9359" s="40"/>
    </row>
    <row r="9360" spans="24:25" x14ac:dyDescent="0.35">
      <c r="X9360" s="40"/>
      <c r="Y9360" s="40"/>
    </row>
    <row r="9361" spans="24:25" x14ac:dyDescent="0.35">
      <c r="X9361" s="40"/>
      <c r="Y9361" s="40"/>
    </row>
    <row r="9362" spans="24:25" x14ac:dyDescent="0.35">
      <c r="X9362" s="40"/>
      <c r="Y9362" s="40"/>
    </row>
    <row r="9363" spans="24:25" x14ac:dyDescent="0.35">
      <c r="X9363" s="40"/>
      <c r="Y9363" s="40"/>
    </row>
    <row r="9364" spans="24:25" x14ac:dyDescent="0.35">
      <c r="X9364" s="40"/>
      <c r="Y9364" s="40"/>
    </row>
    <row r="9365" spans="24:25" x14ac:dyDescent="0.35">
      <c r="X9365" s="40"/>
      <c r="Y9365" s="40"/>
    </row>
    <row r="9366" spans="24:25" x14ac:dyDescent="0.35">
      <c r="X9366" s="40"/>
      <c r="Y9366" s="40"/>
    </row>
    <row r="9367" spans="24:25" x14ac:dyDescent="0.35">
      <c r="X9367" s="40"/>
      <c r="Y9367" s="40"/>
    </row>
    <row r="9368" spans="24:25" x14ac:dyDescent="0.35">
      <c r="X9368" s="40"/>
      <c r="Y9368" s="40"/>
    </row>
    <row r="9369" spans="24:25" x14ac:dyDescent="0.35">
      <c r="X9369" s="40"/>
      <c r="Y9369" s="40"/>
    </row>
    <row r="9370" spans="24:25" x14ac:dyDescent="0.35">
      <c r="X9370" s="40"/>
      <c r="Y9370" s="40"/>
    </row>
    <row r="9371" spans="24:25" x14ac:dyDescent="0.35">
      <c r="X9371" s="40"/>
      <c r="Y9371" s="40"/>
    </row>
    <row r="9372" spans="24:25" x14ac:dyDescent="0.35">
      <c r="X9372" s="40"/>
      <c r="Y9372" s="40"/>
    </row>
    <row r="9373" spans="24:25" x14ac:dyDescent="0.35">
      <c r="X9373" s="40"/>
      <c r="Y9373" s="40"/>
    </row>
    <row r="9374" spans="24:25" x14ac:dyDescent="0.35">
      <c r="X9374" s="40"/>
      <c r="Y9374" s="40"/>
    </row>
    <row r="9375" spans="24:25" x14ac:dyDescent="0.35">
      <c r="X9375" s="40"/>
      <c r="Y9375" s="40"/>
    </row>
    <row r="9376" spans="24:25" x14ac:dyDescent="0.35">
      <c r="X9376" s="40"/>
      <c r="Y9376" s="40"/>
    </row>
    <row r="9377" spans="24:25" x14ac:dyDescent="0.35">
      <c r="X9377" s="40"/>
      <c r="Y9377" s="40"/>
    </row>
    <row r="9378" spans="24:25" x14ac:dyDescent="0.35">
      <c r="X9378" s="40"/>
      <c r="Y9378" s="40"/>
    </row>
    <row r="9379" spans="24:25" x14ac:dyDescent="0.35">
      <c r="X9379" s="40"/>
      <c r="Y9379" s="40"/>
    </row>
    <row r="9380" spans="24:25" x14ac:dyDescent="0.35">
      <c r="X9380" s="40"/>
      <c r="Y9380" s="40"/>
    </row>
    <row r="9381" spans="24:25" x14ac:dyDescent="0.35">
      <c r="X9381" s="40"/>
      <c r="Y9381" s="40"/>
    </row>
    <row r="9382" spans="24:25" x14ac:dyDescent="0.35">
      <c r="X9382" s="40"/>
      <c r="Y9382" s="40"/>
    </row>
    <row r="9383" spans="24:25" x14ac:dyDescent="0.35">
      <c r="X9383" s="40"/>
      <c r="Y9383" s="40"/>
    </row>
    <row r="9384" spans="24:25" x14ac:dyDescent="0.35">
      <c r="X9384" s="40"/>
      <c r="Y9384" s="40"/>
    </row>
    <row r="9385" spans="24:25" x14ac:dyDescent="0.35">
      <c r="X9385" s="40"/>
      <c r="Y9385" s="40"/>
    </row>
    <row r="9386" spans="24:25" x14ac:dyDescent="0.35">
      <c r="X9386" s="40"/>
      <c r="Y9386" s="40"/>
    </row>
    <row r="9387" spans="24:25" x14ac:dyDescent="0.35">
      <c r="X9387" s="40"/>
      <c r="Y9387" s="40"/>
    </row>
    <row r="9388" spans="24:25" x14ac:dyDescent="0.35">
      <c r="X9388" s="40"/>
      <c r="Y9388" s="40"/>
    </row>
    <row r="9389" spans="24:25" x14ac:dyDescent="0.35">
      <c r="X9389" s="40"/>
      <c r="Y9389" s="40"/>
    </row>
    <row r="9390" spans="24:25" x14ac:dyDescent="0.35">
      <c r="X9390" s="40"/>
      <c r="Y9390" s="40"/>
    </row>
    <row r="9391" spans="24:25" x14ac:dyDescent="0.35">
      <c r="X9391" s="40"/>
      <c r="Y9391" s="40"/>
    </row>
    <row r="9392" spans="24:25" x14ac:dyDescent="0.35">
      <c r="X9392" s="40"/>
      <c r="Y9392" s="40"/>
    </row>
    <row r="9393" spans="24:25" x14ac:dyDescent="0.35">
      <c r="X9393" s="40"/>
      <c r="Y9393" s="40"/>
    </row>
    <row r="9394" spans="24:25" x14ac:dyDescent="0.35">
      <c r="X9394" s="40"/>
      <c r="Y9394" s="40"/>
    </row>
    <row r="9395" spans="24:25" x14ac:dyDescent="0.35">
      <c r="X9395" s="40"/>
      <c r="Y9395" s="40"/>
    </row>
    <row r="9396" spans="24:25" x14ac:dyDescent="0.35">
      <c r="X9396" s="40"/>
      <c r="Y9396" s="40"/>
    </row>
    <row r="9397" spans="24:25" x14ac:dyDescent="0.35">
      <c r="X9397" s="40"/>
      <c r="Y9397" s="40"/>
    </row>
    <row r="9398" spans="24:25" x14ac:dyDescent="0.35">
      <c r="X9398" s="40"/>
      <c r="Y9398" s="40"/>
    </row>
    <row r="9399" spans="24:25" x14ac:dyDescent="0.35">
      <c r="X9399" s="40"/>
      <c r="Y9399" s="40"/>
    </row>
    <row r="9400" spans="24:25" x14ac:dyDescent="0.35">
      <c r="X9400" s="40"/>
      <c r="Y9400" s="40"/>
    </row>
    <row r="9401" spans="24:25" x14ac:dyDescent="0.35">
      <c r="X9401" s="40"/>
      <c r="Y9401" s="40"/>
    </row>
    <row r="9402" spans="24:25" x14ac:dyDescent="0.35">
      <c r="X9402" s="40"/>
      <c r="Y9402" s="40"/>
    </row>
    <row r="9403" spans="24:25" x14ac:dyDescent="0.35">
      <c r="X9403" s="40"/>
      <c r="Y9403" s="40"/>
    </row>
    <row r="9404" spans="24:25" x14ac:dyDescent="0.35">
      <c r="X9404" s="40"/>
      <c r="Y9404" s="40"/>
    </row>
    <row r="9405" spans="24:25" x14ac:dyDescent="0.35">
      <c r="X9405" s="40"/>
      <c r="Y9405" s="40"/>
    </row>
    <row r="9406" spans="24:25" x14ac:dyDescent="0.35">
      <c r="X9406" s="40"/>
      <c r="Y9406" s="40"/>
    </row>
    <row r="9407" spans="24:25" x14ac:dyDescent="0.35">
      <c r="X9407" s="40"/>
      <c r="Y9407" s="40"/>
    </row>
    <row r="9408" spans="24:25" x14ac:dyDescent="0.35">
      <c r="X9408" s="40"/>
      <c r="Y9408" s="40"/>
    </row>
    <row r="9409" spans="24:25" x14ac:dyDescent="0.35">
      <c r="X9409" s="40"/>
      <c r="Y9409" s="40"/>
    </row>
    <row r="9410" spans="24:25" x14ac:dyDescent="0.35">
      <c r="X9410" s="40"/>
      <c r="Y9410" s="40"/>
    </row>
    <row r="9411" spans="24:25" x14ac:dyDescent="0.35">
      <c r="X9411" s="40"/>
      <c r="Y9411" s="40"/>
    </row>
    <row r="9412" spans="24:25" x14ac:dyDescent="0.35">
      <c r="X9412" s="40"/>
      <c r="Y9412" s="40"/>
    </row>
    <row r="9413" spans="24:25" x14ac:dyDescent="0.35">
      <c r="X9413" s="40"/>
      <c r="Y9413" s="40"/>
    </row>
    <row r="9414" spans="24:25" x14ac:dyDescent="0.35">
      <c r="X9414" s="40"/>
      <c r="Y9414" s="40"/>
    </row>
    <row r="9415" spans="24:25" x14ac:dyDescent="0.35">
      <c r="X9415" s="40"/>
      <c r="Y9415" s="40"/>
    </row>
    <row r="9416" spans="24:25" x14ac:dyDescent="0.35">
      <c r="X9416" s="40"/>
      <c r="Y9416" s="40"/>
    </row>
    <row r="9417" spans="24:25" x14ac:dyDescent="0.35">
      <c r="X9417" s="40"/>
      <c r="Y9417" s="40"/>
    </row>
    <row r="9418" spans="24:25" x14ac:dyDescent="0.35">
      <c r="X9418" s="40"/>
      <c r="Y9418" s="40"/>
    </row>
    <row r="9419" spans="24:25" x14ac:dyDescent="0.35">
      <c r="X9419" s="40"/>
      <c r="Y9419" s="40"/>
    </row>
    <row r="9420" spans="24:25" x14ac:dyDescent="0.35">
      <c r="X9420" s="40"/>
      <c r="Y9420" s="40"/>
    </row>
    <row r="9421" spans="24:25" x14ac:dyDescent="0.35">
      <c r="X9421" s="40"/>
      <c r="Y9421" s="40"/>
    </row>
    <row r="9422" spans="24:25" x14ac:dyDescent="0.35">
      <c r="X9422" s="40"/>
      <c r="Y9422" s="40"/>
    </row>
    <row r="9423" spans="24:25" x14ac:dyDescent="0.35">
      <c r="X9423" s="40"/>
      <c r="Y9423" s="40"/>
    </row>
    <row r="9424" spans="24:25" x14ac:dyDescent="0.35">
      <c r="X9424" s="40"/>
      <c r="Y9424" s="40"/>
    </row>
    <row r="9425" spans="24:25" x14ac:dyDescent="0.35">
      <c r="X9425" s="40"/>
      <c r="Y9425" s="40"/>
    </row>
    <row r="9426" spans="24:25" x14ac:dyDescent="0.35">
      <c r="X9426" s="40"/>
      <c r="Y9426" s="40"/>
    </row>
    <row r="9427" spans="24:25" x14ac:dyDescent="0.35">
      <c r="X9427" s="40"/>
      <c r="Y9427" s="40"/>
    </row>
    <row r="9428" spans="24:25" x14ac:dyDescent="0.35">
      <c r="X9428" s="40"/>
      <c r="Y9428" s="40"/>
    </row>
    <row r="9429" spans="24:25" x14ac:dyDescent="0.35">
      <c r="X9429" s="40"/>
      <c r="Y9429" s="40"/>
    </row>
    <row r="9430" spans="24:25" x14ac:dyDescent="0.35">
      <c r="X9430" s="40"/>
      <c r="Y9430" s="40"/>
    </row>
    <row r="9431" spans="24:25" x14ac:dyDescent="0.35">
      <c r="X9431" s="40"/>
      <c r="Y9431" s="40"/>
    </row>
    <row r="9432" spans="24:25" x14ac:dyDescent="0.35">
      <c r="X9432" s="40"/>
      <c r="Y9432" s="40"/>
    </row>
    <row r="9433" spans="24:25" x14ac:dyDescent="0.35">
      <c r="X9433" s="40"/>
      <c r="Y9433" s="40"/>
    </row>
    <row r="9434" spans="24:25" x14ac:dyDescent="0.35">
      <c r="X9434" s="40"/>
      <c r="Y9434" s="40"/>
    </row>
    <row r="9435" spans="24:25" x14ac:dyDescent="0.35">
      <c r="X9435" s="40"/>
      <c r="Y9435" s="40"/>
    </row>
    <row r="9436" spans="24:25" x14ac:dyDescent="0.35">
      <c r="X9436" s="40"/>
      <c r="Y9436" s="40"/>
    </row>
    <row r="9437" spans="24:25" x14ac:dyDescent="0.35">
      <c r="X9437" s="40"/>
      <c r="Y9437" s="40"/>
    </row>
    <row r="9438" spans="24:25" x14ac:dyDescent="0.35">
      <c r="X9438" s="40"/>
      <c r="Y9438" s="40"/>
    </row>
    <row r="9439" spans="24:25" x14ac:dyDescent="0.35">
      <c r="X9439" s="40"/>
      <c r="Y9439" s="40"/>
    </row>
    <row r="9440" spans="24:25" x14ac:dyDescent="0.35">
      <c r="X9440" s="40"/>
      <c r="Y9440" s="40"/>
    </row>
    <row r="9441" spans="24:25" x14ac:dyDescent="0.35">
      <c r="X9441" s="40"/>
      <c r="Y9441" s="40"/>
    </row>
    <row r="9442" spans="24:25" x14ac:dyDescent="0.35">
      <c r="X9442" s="40"/>
      <c r="Y9442" s="40"/>
    </row>
    <row r="9443" spans="24:25" x14ac:dyDescent="0.35">
      <c r="X9443" s="40"/>
      <c r="Y9443" s="40"/>
    </row>
    <row r="9444" spans="24:25" x14ac:dyDescent="0.35">
      <c r="X9444" s="40"/>
      <c r="Y9444" s="40"/>
    </row>
    <row r="9445" spans="24:25" x14ac:dyDescent="0.35">
      <c r="X9445" s="40"/>
      <c r="Y9445" s="40"/>
    </row>
    <row r="9446" spans="24:25" x14ac:dyDescent="0.35">
      <c r="X9446" s="40"/>
      <c r="Y9446" s="40"/>
    </row>
    <row r="9447" spans="24:25" x14ac:dyDescent="0.35">
      <c r="X9447" s="40"/>
      <c r="Y9447" s="40"/>
    </row>
    <row r="9448" spans="24:25" x14ac:dyDescent="0.35">
      <c r="X9448" s="40"/>
      <c r="Y9448" s="40"/>
    </row>
    <row r="9449" spans="24:25" x14ac:dyDescent="0.35">
      <c r="X9449" s="40"/>
      <c r="Y9449" s="40"/>
    </row>
    <row r="9450" spans="24:25" x14ac:dyDescent="0.35">
      <c r="X9450" s="40"/>
      <c r="Y9450" s="40"/>
    </row>
    <row r="9451" spans="24:25" x14ac:dyDescent="0.35">
      <c r="X9451" s="40"/>
      <c r="Y9451" s="40"/>
    </row>
    <row r="9452" spans="24:25" x14ac:dyDescent="0.35">
      <c r="X9452" s="40"/>
      <c r="Y9452" s="40"/>
    </row>
    <row r="9453" spans="24:25" x14ac:dyDescent="0.35">
      <c r="X9453" s="40"/>
      <c r="Y9453" s="40"/>
    </row>
    <row r="9454" spans="24:25" x14ac:dyDescent="0.35">
      <c r="X9454" s="40"/>
      <c r="Y9454" s="40"/>
    </row>
    <row r="9455" spans="24:25" x14ac:dyDescent="0.35">
      <c r="X9455" s="40"/>
      <c r="Y9455" s="40"/>
    </row>
    <row r="9456" spans="24:25" x14ac:dyDescent="0.35">
      <c r="X9456" s="40"/>
      <c r="Y9456" s="40"/>
    </row>
    <row r="9457" spans="24:25" x14ac:dyDescent="0.35">
      <c r="X9457" s="40"/>
      <c r="Y9457" s="40"/>
    </row>
    <row r="9458" spans="24:25" x14ac:dyDescent="0.35">
      <c r="X9458" s="40"/>
      <c r="Y9458" s="40"/>
    </row>
    <row r="9459" spans="24:25" x14ac:dyDescent="0.35">
      <c r="X9459" s="40"/>
      <c r="Y9459" s="40"/>
    </row>
    <row r="9460" spans="24:25" x14ac:dyDescent="0.35">
      <c r="X9460" s="40"/>
      <c r="Y9460" s="40"/>
    </row>
    <row r="9461" spans="24:25" x14ac:dyDescent="0.35">
      <c r="X9461" s="40"/>
      <c r="Y9461" s="40"/>
    </row>
    <row r="9462" spans="24:25" x14ac:dyDescent="0.35">
      <c r="X9462" s="40"/>
      <c r="Y9462" s="40"/>
    </row>
    <row r="9463" spans="24:25" x14ac:dyDescent="0.35">
      <c r="X9463" s="40"/>
      <c r="Y9463" s="40"/>
    </row>
    <row r="9464" spans="24:25" x14ac:dyDescent="0.35">
      <c r="X9464" s="40"/>
      <c r="Y9464" s="40"/>
    </row>
    <row r="9465" spans="24:25" x14ac:dyDescent="0.35">
      <c r="X9465" s="40"/>
      <c r="Y9465" s="40"/>
    </row>
    <row r="9466" spans="24:25" x14ac:dyDescent="0.35">
      <c r="X9466" s="40"/>
      <c r="Y9466" s="40"/>
    </row>
    <row r="9467" spans="24:25" x14ac:dyDescent="0.35">
      <c r="X9467" s="40"/>
      <c r="Y9467" s="40"/>
    </row>
    <row r="9468" spans="24:25" x14ac:dyDescent="0.35">
      <c r="X9468" s="40"/>
      <c r="Y9468" s="40"/>
    </row>
    <row r="9469" spans="24:25" x14ac:dyDescent="0.35">
      <c r="X9469" s="40"/>
      <c r="Y9469" s="40"/>
    </row>
    <row r="9470" spans="24:25" x14ac:dyDescent="0.35">
      <c r="X9470" s="40"/>
      <c r="Y9470" s="40"/>
    </row>
    <row r="9471" spans="24:25" x14ac:dyDescent="0.35">
      <c r="X9471" s="40"/>
      <c r="Y9471" s="40"/>
    </row>
    <row r="9472" spans="24:25" x14ac:dyDescent="0.35">
      <c r="X9472" s="40"/>
      <c r="Y9472" s="40"/>
    </row>
    <row r="9473" spans="24:25" x14ac:dyDescent="0.35">
      <c r="X9473" s="40"/>
      <c r="Y9473" s="40"/>
    </row>
    <row r="9474" spans="24:25" x14ac:dyDescent="0.35">
      <c r="X9474" s="40"/>
      <c r="Y9474" s="40"/>
    </row>
    <row r="9475" spans="24:25" x14ac:dyDescent="0.35">
      <c r="X9475" s="40"/>
      <c r="Y9475" s="40"/>
    </row>
    <row r="9476" spans="24:25" x14ac:dyDescent="0.35">
      <c r="X9476" s="40"/>
      <c r="Y9476" s="40"/>
    </row>
    <row r="9477" spans="24:25" x14ac:dyDescent="0.35">
      <c r="X9477" s="40"/>
      <c r="Y9477" s="40"/>
    </row>
    <row r="9478" spans="24:25" x14ac:dyDescent="0.35">
      <c r="X9478" s="40"/>
      <c r="Y9478" s="40"/>
    </row>
    <row r="9479" spans="24:25" x14ac:dyDescent="0.35">
      <c r="X9479" s="40"/>
      <c r="Y9479" s="40"/>
    </row>
    <row r="9480" spans="24:25" x14ac:dyDescent="0.35">
      <c r="X9480" s="40"/>
      <c r="Y9480" s="40"/>
    </row>
    <row r="9481" spans="24:25" x14ac:dyDescent="0.35">
      <c r="X9481" s="40"/>
      <c r="Y9481" s="40"/>
    </row>
    <row r="9482" spans="24:25" x14ac:dyDescent="0.35">
      <c r="X9482" s="40"/>
      <c r="Y9482" s="40"/>
    </row>
    <row r="9483" spans="24:25" x14ac:dyDescent="0.35">
      <c r="X9483" s="40"/>
      <c r="Y9483" s="40"/>
    </row>
    <row r="9484" spans="24:25" x14ac:dyDescent="0.35">
      <c r="X9484" s="40"/>
      <c r="Y9484" s="40"/>
    </row>
    <row r="9485" spans="24:25" x14ac:dyDescent="0.35">
      <c r="X9485" s="40"/>
      <c r="Y9485" s="40"/>
    </row>
    <row r="9486" spans="24:25" x14ac:dyDescent="0.35">
      <c r="X9486" s="40"/>
      <c r="Y9486" s="40"/>
    </row>
    <row r="9487" spans="24:25" x14ac:dyDescent="0.35">
      <c r="X9487" s="40"/>
      <c r="Y9487" s="40"/>
    </row>
    <row r="9488" spans="24:25" x14ac:dyDescent="0.35">
      <c r="X9488" s="40"/>
      <c r="Y9488" s="40"/>
    </row>
    <row r="9489" spans="24:25" x14ac:dyDescent="0.35">
      <c r="X9489" s="40"/>
      <c r="Y9489" s="40"/>
    </row>
    <row r="9490" spans="24:25" x14ac:dyDescent="0.35">
      <c r="X9490" s="40"/>
      <c r="Y9490" s="40"/>
    </row>
    <row r="9491" spans="24:25" x14ac:dyDescent="0.35">
      <c r="X9491" s="40"/>
      <c r="Y9491" s="40"/>
    </row>
    <row r="9492" spans="24:25" x14ac:dyDescent="0.35">
      <c r="X9492" s="40"/>
      <c r="Y9492" s="40"/>
    </row>
    <row r="9493" spans="24:25" x14ac:dyDescent="0.35">
      <c r="X9493" s="40"/>
      <c r="Y9493" s="40"/>
    </row>
    <row r="9494" spans="24:25" x14ac:dyDescent="0.35">
      <c r="X9494" s="40"/>
      <c r="Y9494" s="40"/>
    </row>
    <row r="9495" spans="24:25" x14ac:dyDescent="0.35">
      <c r="X9495" s="40"/>
      <c r="Y9495" s="40"/>
    </row>
    <row r="9496" spans="24:25" x14ac:dyDescent="0.35">
      <c r="X9496" s="40"/>
      <c r="Y9496" s="40"/>
    </row>
    <row r="9497" spans="24:25" x14ac:dyDescent="0.35">
      <c r="X9497" s="40"/>
      <c r="Y9497" s="40"/>
    </row>
    <row r="9498" spans="24:25" x14ac:dyDescent="0.35">
      <c r="X9498" s="40"/>
      <c r="Y9498" s="40"/>
    </row>
    <row r="9499" spans="24:25" x14ac:dyDescent="0.35">
      <c r="X9499" s="40"/>
      <c r="Y9499" s="40"/>
    </row>
    <row r="9500" spans="24:25" x14ac:dyDescent="0.35">
      <c r="X9500" s="40"/>
      <c r="Y9500" s="40"/>
    </row>
    <row r="9501" spans="24:25" x14ac:dyDescent="0.35">
      <c r="X9501" s="40"/>
      <c r="Y9501" s="40"/>
    </row>
    <row r="9502" spans="24:25" x14ac:dyDescent="0.35">
      <c r="X9502" s="40"/>
      <c r="Y9502" s="40"/>
    </row>
    <row r="9503" spans="24:25" x14ac:dyDescent="0.35">
      <c r="X9503" s="40"/>
      <c r="Y9503" s="40"/>
    </row>
    <row r="9504" spans="24:25" x14ac:dyDescent="0.35">
      <c r="X9504" s="40"/>
      <c r="Y9504" s="40"/>
    </row>
    <row r="9505" spans="24:25" x14ac:dyDescent="0.35">
      <c r="X9505" s="40"/>
      <c r="Y9505" s="40"/>
    </row>
    <row r="9506" spans="24:25" x14ac:dyDescent="0.35">
      <c r="X9506" s="40"/>
      <c r="Y9506" s="40"/>
    </row>
    <row r="9507" spans="24:25" x14ac:dyDescent="0.35">
      <c r="X9507" s="40"/>
      <c r="Y9507" s="40"/>
    </row>
    <row r="9508" spans="24:25" x14ac:dyDescent="0.35">
      <c r="X9508" s="40"/>
      <c r="Y9508" s="40"/>
    </row>
    <row r="9509" spans="24:25" x14ac:dyDescent="0.35">
      <c r="X9509" s="40"/>
      <c r="Y9509" s="40"/>
    </row>
    <row r="9510" spans="24:25" x14ac:dyDescent="0.35">
      <c r="X9510" s="40"/>
      <c r="Y9510" s="40"/>
    </row>
    <row r="9511" spans="24:25" x14ac:dyDescent="0.35">
      <c r="X9511" s="40"/>
      <c r="Y9511" s="40"/>
    </row>
    <row r="9512" spans="24:25" x14ac:dyDescent="0.35">
      <c r="X9512" s="40"/>
      <c r="Y9512" s="40"/>
    </row>
    <row r="9513" spans="24:25" x14ac:dyDescent="0.35">
      <c r="X9513" s="40"/>
      <c r="Y9513" s="40"/>
    </row>
    <row r="9514" spans="24:25" x14ac:dyDescent="0.35">
      <c r="X9514" s="40"/>
      <c r="Y9514" s="40"/>
    </row>
    <row r="9515" spans="24:25" x14ac:dyDescent="0.35">
      <c r="X9515" s="40"/>
      <c r="Y9515" s="40"/>
    </row>
    <row r="9516" spans="24:25" x14ac:dyDescent="0.35">
      <c r="X9516" s="40"/>
      <c r="Y9516" s="40"/>
    </row>
    <row r="9517" spans="24:25" x14ac:dyDescent="0.35">
      <c r="X9517" s="40"/>
      <c r="Y9517" s="40"/>
    </row>
    <row r="9518" spans="24:25" x14ac:dyDescent="0.35">
      <c r="X9518" s="40"/>
      <c r="Y9518" s="40"/>
    </row>
    <row r="9519" spans="24:25" x14ac:dyDescent="0.35">
      <c r="X9519" s="40"/>
      <c r="Y9519" s="40"/>
    </row>
    <row r="9520" spans="24:25" x14ac:dyDescent="0.35">
      <c r="X9520" s="40"/>
      <c r="Y9520" s="40"/>
    </row>
    <row r="9521" spans="24:25" x14ac:dyDescent="0.35">
      <c r="X9521" s="40"/>
      <c r="Y9521" s="40"/>
    </row>
    <row r="9522" spans="24:25" x14ac:dyDescent="0.35">
      <c r="X9522" s="40"/>
      <c r="Y9522" s="40"/>
    </row>
    <row r="9523" spans="24:25" x14ac:dyDescent="0.35">
      <c r="X9523" s="40"/>
      <c r="Y9523" s="40"/>
    </row>
    <row r="9524" spans="24:25" x14ac:dyDescent="0.35">
      <c r="X9524" s="40"/>
      <c r="Y9524" s="40"/>
    </row>
    <row r="9525" spans="24:25" x14ac:dyDescent="0.35">
      <c r="X9525" s="40"/>
      <c r="Y9525" s="40"/>
    </row>
    <row r="9526" spans="24:25" x14ac:dyDescent="0.35">
      <c r="X9526" s="40"/>
      <c r="Y9526" s="40"/>
    </row>
    <row r="9527" spans="24:25" x14ac:dyDescent="0.35">
      <c r="X9527" s="40"/>
      <c r="Y9527" s="40"/>
    </row>
    <row r="9528" spans="24:25" x14ac:dyDescent="0.35">
      <c r="X9528" s="40"/>
      <c r="Y9528" s="40"/>
    </row>
    <row r="9529" spans="24:25" x14ac:dyDescent="0.35">
      <c r="X9529" s="40"/>
      <c r="Y9529" s="40"/>
    </row>
    <row r="9530" spans="24:25" x14ac:dyDescent="0.35">
      <c r="X9530" s="40"/>
      <c r="Y9530" s="40"/>
    </row>
    <row r="9531" spans="24:25" x14ac:dyDescent="0.35">
      <c r="X9531" s="40"/>
      <c r="Y9531" s="40"/>
    </row>
    <row r="9532" spans="24:25" x14ac:dyDescent="0.35">
      <c r="X9532" s="40"/>
      <c r="Y9532" s="40"/>
    </row>
    <row r="9533" spans="24:25" x14ac:dyDescent="0.35">
      <c r="X9533" s="40"/>
      <c r="Y9533" s="40"/>
    </row>
    <row r="9534" spans="24:25" x14ac:dyDescent="0.35">
      <c r="X9534" s="40"/>
      <c r="Y9534" s="40"/>
    </row>
    <row r="9535" spans="24:25" x14ac:dyDescent="0.35">
      <c r="X9535" s="40"/>
      <c r="Y9535" s="40"/>
    </row>
    <row r="9536" spans="24:25" x14ac:dyDescent="0.35">
      <c r="X9536" s="40"/>
      <c r="Y9536" s="40"/>
    </row>
    <row r="9537" spans="24:25" x14ac:dyDescent="0.35">
      <c r="X9537" s="40"/>
      <c r="Y9537" s="40"/>
    </row>
    <row r="9538" spans="24:25" x14ac:dyDescent="0.35">
      <c r="X9538" s="40"/>
      <c r="Y9538" s="40"/>
    </row>
    <row r="9539" spans="24:25" x14ac:dyDescent="0.35">
      <c r="X9539" s="40"/>
      <c r="Y9539" s="40"/>
    </row>
    <row r="9540" spans="24:25" x14ac:dyDescent="0.35">
      <c r="X9540" s="40"/>
      <c r="Y9540" s="40"/>
    </row>
    <row r="9541" spans="24:25" x14ac:dyDescent="0.35">
      <c r="X9541" s="40"/>
      <c r="Y9541" s="40"/>
    </row>
    <row r="9542" spans="24:25" x14ac:dyDescent="0.35">
      <c r="X9542" s="40"/>
      <c r="Y9542" s="40"/>
    </row>
    <row r="9543" spans="24:25" x14ac:dyDescent="0.35">
      <c r="X9543" s="40"/>
      <c r="Y9543" s="40"/>
    </row>
    <row r="9544" spans="24:25" x14ac:dyDescent="0.35">
      <c r="X9544" s="40"/>
      <c r="Y9544" s="40"/>
    </row>
    <row r="9545" spans="24:25" x14ac:dyDescent="0.35">
      <c r="X9545" s="40"/>
      <c r="Y9545" s="40"/>
    </row>
    <row r="9546" spans="24:25" x14ac:dyDescent="0.35">
      <c r="X9546" s="40"/>
      <c r="Y9546" s="40"/>
    </row>
    <row r="9547" spans="24:25" x14ac:dyDescent="0.35">
      <c r="X9547" s="40"/>
      <c r="Y9547" s="40"/>
    </row>
    <row r="9548" spans="24:25" x14ac:dyDescent="0.35">
      <c r="X9548" s="40"/>
      <c r="Y9548" s="40"/>
    </row>
    <row r="9549" spans="24:25" x14ac:dyDescent="0.35">
      <c r="X9549" s="40"/>
      <c r="Y9549" s="40"/>
    </row>
    <row r="9550" spans="24:25" x14ac:dyDescent="0.35">
      <c r="X9550" s="40"/>
      <c r="Y9550" s="40"/>
    </row>
    <row r="9551" spans="24:25" x14ac:dyDescent="0.35">
      <c r="X9551" s="40"/>
      <c r="Y9551" s="40"/>
    </row>
    <row r="9552" spans="24:25" x14ac:dyDescent="0.35">
      <c r="X9552" s="40"/>
      <c r="Y9552" s="40"/>
    </row>
    <row r="9553" spans="24:25" x14ac:dyDescent="0.35">
      <c r="X9553" s="40"/>
      <c r="Y9553" s="40"/>
    </row>
    <row r="9554" spans="24:25" x14ac:dyDescent="0.35">
      <c r="X9554" s="40"/>
      <c r="Y9554" s="40"/>
    </row>
    <row r="9555" spans="24:25" x14ac:dyDescent="0.35">
      <c r="X9555" s="40"/>
      <c r="Y9555" s="40"/>
    </row>
    <row r="9556" spans="24:25" x14ac:dyDescent="0.35">
      <c r="X9556" s="40"/>
      <c r="Y9556" s="40"/>
    </row>
    <row r="9557" spans="24:25" x14ac:dyDescent="0.35">
      <c r="X9557" s="40"/>
      <c r="Y9557" s="40"/>
    </row>
    <row r="9558" spans="24:25" x14ac:dyDescent="0.35">
      <c r="X9558" s="40"/>
      <c r="Y9558" s="40"/>
    </row>
    <row r="9559" spans="24:25" x14ac:dyDescent="0.35">
      <c r="X9559" s="40"/>
      <c r="Y9559" s="40"/>
    </row>
    <row r="9560" spans="24:25" x14ac:dyDescent="0.35">
      <c r="X9560" s="40"/>
      <c r="Y9560" s="40"/>
    </row>
    <row r="9561" spans="24:25" x14ac:dyDescent="0.35">
      <c r="X9561" s="40"/>
      <c r="Y9561" s="40"/>
    </row>
    <row r="9562" spans="24:25" x14ac:dyDescent="0.35">
      <c r="X9562" s="40"/>
      <c r="Y9562" s="40"/>
    </row>
    <row r="9563" spans="24:25" x14ac:dyDescent="0.35">
      <c r="X9563" s="40"/>
      <c r="Y9563" s="40"/>
    </row>
    <row r="9564" spans="24:25" x14ac:dyDescent="0.35">
      <c r="X9564" s="40"/>
      <c r="Y9564" s="40"/>
    </row>
    <row r="9565" spans="24:25" x14ac:dyDescent="0.35">
      <c r="X9565" s="40"/>
      <c r="Y9565" s="40"/>
    </row>
    <row r="9566" spans="24:25" x14ac:dyDescent="0.35">
      <c r="X9566" s="40"/>
      <c r="Y9566" s="40"/>
    </row>
    <row r="9567" spans="24:25" x14ac:dyDescent="0.35">
      <c r="X9567" s="40"/>
      <c r="Y9567" s="40"/>
    </row>
    <row r="9568" spans="24:25" x14ac:dyDescent="0.35">
      <c r="X9568" s="40"/>
      <c r="Y9568" s="40"/>
    </row>
    <row r="9569" spans="24:25" x14ac:dyDescent="0.35">
      <c r="X9569" s="40"/>
      <c r="Y9569" s="40"/>
    </row>
    <row r="9570" spans="24:25" x14ac:dyDescent="0.35">
      <c r="X9570" s="40"/>
      <c r="Y9570" s="40"/>
    </row>
    <row r="9571" spans="24:25" x14ac:dyDescent="0.35">
      <c r="X9571" s="40"/>
      <c r="Y9571" s="40"/>
    </row>
    <row r="9572" spans="24:25" x14ac:dyDescent="0.35">
      <c r="X9572" s="40"/>
      <c r="Y9572" s="40"/>
    </row>
    <row r="9573" spans="24:25" x14ac:dyDescent="0.35">
      <c r="X9573" s="40"/>
      <c r="Y9573" s="40"/>
    </row>
    <row r="9574" spans="24:25" x14ac:dyDescent="0.35">
      <c r="X9574" s="40"/>
      <c r="Y9574" s="40"/>
    </row>
    <row r="9575" spans="24:25" x14ac:dyDescent="0.35">
      <c r="X9575" s="40"/>
      <c r="Y9575" s="40"/>
    </row>
    <row r="9576" spans="24:25" x14ac:dyDescent="0.35">
      <c r="X9576" s="40"/>
      <c r="Y9576" s="40"/>
    </row>
    <row r="9577" spans="24:25" x14ac:dyDescent="0.35">
      <c r="X9577" s="40"/>
      <c r="Y9577" s="40"/>
    </row>
    <row r="9578" spans="24:25" x14ac:dyDescent="0.35">
      <c r="X9578" s="40"/>
      <c r="Y9578" s="40"/>
    </row>
    <row r="9579" spans="24:25" x14ac:dyDescent="0.35">
      <c r="X9579" s="40"/>
      <c r="Y9579" s="40"/>
    </row>
    <row r="9580" spans="24:25" x14ac:dyDescent="0.35">
      <c r="X9580" s="40"/>
      <c r="Y9580" s="40"/>
    </row>
    <row r="9581" spans="24:25" x14ac:dyDescent="0.35">
      <c r="X9581" s="40"/>
      <c r="Y9581" s="40"/>
    </row>
    <row r="9582" spans="24:25" x14ac:dyDescent="0.35">
      <c r="X9582" s="40"/>
      <c r="Y9582" s="40"/>
    </row>
    <row r="9583" spans="24:25" x14ac:dyDescent="0.35">
      <c r="X9583" s="40"/>
      <c r="Y9583" s="40"/>
    </row>
    <row r="9584" spans="24:25" x14ac:dyDescent="0.35">
      <c r="X9584" s="40"/>
      <c r="Y9584" s="40"/>
    </row>
    <row r="9585" spans="24:25" x14ac:dyDescent="0.35">
      <c r="X9585" s="40"/>
      <c r="Y9585" s="40"/>
    </row>
    <row r="9586" spans="24:25" x14ac:dyDescent="0.35">
      <c r="X9586" s="40"/>
      <c r="Y9586" s="40"/>
    </row>
    <row r="9587" spans="24:25" x14ac:dyDescent="0.35">
      <c r="X9587" s="40"/>
      <c r="Y9587" s="40"/>
    </row>
    <row r="9588" spans="24:25" x14ac:dyDescent="0.35">
      <c r="X9588" s="40"/>
      <c r="Y9588" s="40"/>
    </row>
    <row r="9589" spans="24:25" x14ac:dyDescent="0.35">
      <c r="X9589" s="40"/>
      <c r="Y9589" s="40"/>
    </row>
    <row r="9590" spans="24:25" x14ac:dyDescent="0.35">
      <c r="X9590" s="40"/>
      <c r="Y9590" s="40"/>
    </row>
    <row r="9591" spans="24:25" x14ac:dyDescent="0.35">
      <c r="X9591" s="40"/>
      <c r="Y9591" s="40"/>
    </row>
    <row r="9592" spans="24:25" x14ac:dyDescent="0.35">
      <c r="X9592" s="40"/>
      <c r="Y9592" s="40"/>
    </row>
    <row r="9593" spans="24:25" x14ac:dyDescent="0.35">
      <c r="X9593" s="40"/>
      <c r="Y9593" s="40"/>
    </row>
    <row r="9594" spans="24:25" x14ac:dyDescent="0.35">
      <c r="X9594" s="40"/>
      <c r="Y9594" s="40"/>
    </row>
    <row r="9595" spans="24:25" x14ac:dyDescent="0.35">
      <c r="X9595" s="40"/>
      <c r="Y9595" s="40"/>
    </row>
    <row r="9596" spans="24:25" x14ac:dyDescent="0.35">
      <c r="X9596" s="40"/>
      <c r="Y9596" s="40"/>
    </row>
    <row r="9597" spans="24:25" x14ac:dyDescent="0.35">
      <c r="X9597" s="40"/>
      <c r="Y9597" s="40"/>
    </row>
    <row r="9598" spans="24:25" x14ac:dyDescent="0.35">
      <c r="X9598" s="40"/>
      <c r="Y9598" s="40"/>
    </row>
    <row r="9599" spans="24:25" x14ac:dyDescent="0.35">
      <c r="X9599" s="40"/>
      <c r="Y9599" s="40"/>
    </row>
    <row r="9600" spans="24:25" x14ac:dyDescent="0.35">
      <c r="X9600" s="40"/>
      <c r="Y9600" s="40"/>
    </row>
    <row r="9601" spans="24:25" x14ac:dyDescent="0.35">
      <c r="X9601" s="40"/>
      <c r="Y9601" s="40"/>
    </row>
    <row r="9602" spans="24:25" x14ac:dyDescent="0.35">
      <c r="X9602" s="40"/>
      <c r="Y9602" s="40"/>
    </row>
    <row r="9603" spans="24:25" x14ac:dyDescent="0.35">
      <c r="X9603" s="40"/>
      <c r="Y9603" s="40"/>
    </row>
    <row r="9604" spans="24:25" x14ac:dyDescent="0.35">
      <c r="X9604" s="40"/>
      <c r="Y9604" s="40"/>
    </row>
    <row r="9605" spans="24:25" x14ac:dyDescent="0.35">
      <c r="X9605" s="40"/>
      <c r="Y9605" s="40"/>
    </row>
    <row r="9606" spans="24:25" x14ac:dyDescent="0.35">
      <c r="X9606" s="40"/>
      <c r="Y9606" s="40"/>
    </row>
    <row r="9607" spans="24:25" x14ac:dyDescent="0.35">
      <c r="X9607" s="40"/>
      <c r="Y9607" s="40"/>
    </row>
    <row r="9608" spans="24:25" x14ac:dyDescent="0.35">
      <c r="X9608" s="40"/>
      <c r="Y9608" s="40"/>
    </row>
    <row r="9609" spans="24:25" x14ac:dyDescent="0.35">
      <c r="X9609" s="40"/>
      <c r="Y9609" s="40"/>
    </row>
    <row r="9610" spans="24:25" x14ac:dyDescent="0.35">
      <c r="X9610" s="40"/>
      <c r="Y9610" s="40"/>
    </row>
    <row r="9611" spans="24:25" x14ac:dyDescent="0.35">
      <c r="X9611" s="40"/>
      <c r="Y9611" s="40"/>
    </row>
    <row r="9612" spans="24:25" x14ac:dyDescent="0.35">
      <c r="X9612" s="40"/>
      <c r="Y9612" s="40"/>
    </row>
    <row r="9613" spans="24:25" x14ac:dyDescent="0.35">
      <c r="X9613" s="40"/>
      <c r="Y9613" s="40"/>
    </row>
    <row r="9614" spans="24:25" x14ac:dyDescent="0.35">
      <c r="X9614" s="40"/>
      <c r="Y9614" s="40"/>
    </row>
    <row r="9615" spans="24:25" x14ac:dyDescent="0.35">
      <c r="X9615" s="40"/>
      <c r="Y9615" s="40"/>
    </row>
    <row r="9616" spans="24:25" x14ac:dyDescent="0.35">
      <c r="X9616" s="40"/>
      <c r="Y9616" s="40"/>
    </row>
    <row r="9617" spans="24:25" x14ac:dyDescent="0.35">
      <c r="X9617" s="40"/>
      <c r="Y9617" s="40"/>
    </row>
    <row r="9618" spans="24:25" x14ac:dyDescent="0.35">
      <c r="X9618" s="40"/>
      <c r="Y9618" s="40"/>
    </row>
    <row r="9619" spans="24:25" x14ac:dyDescent="0.35">
      <c r="X9619" s="40"/>
      <c r="Y9619" s="40"/>
    </row>
    <row r="9620" spans="24:25" x14ac:dyDescent="0.35">
      <c r="X9620" s="40"/>
      <c r="Y9620" s="40"/>
    </row>
    <row r="9621" spans="24:25" x14ac:dyDescent="0.35">
      <c r="X9621" s="40"/>
      <c r="Y9621" s="40"/>
    </row>
    <row r="9622" spans="24:25" x14ac:dyDescent="0.35">
      <c r="X9622" s="40"/>
      <c r="Y9622" s="40"/>
    </row>
    <row r="9623" spans="24:25" x14ac:dyDescent="0.35">
      <c r="X9623" s="40"/>
      <c r="Y9623" s="40"/>
    </row>
    <row r="9624" spans="24:25" x14ac:dyDescent="0.35">
      <c r="X9624" s="40"/>
      <c r="Y9624" s="40"/>
    </row>
    <row r="9625" spans="24:25" x14ac:dyDescent="0.35">
      <c r="X9625" s="40"/>
      <c r="Y9625" s="40"/>
    </row>
    <row r="9626" spans="24:25" x14ac:dyDescent="0.35">
      <c r="X9626" s="40"/>
      <c r="Y9626" s="40"/>
    </row>
    <row r="9627" spans="24:25" x14ac:dyDescent="0.35">
      <c r="X9627" s="40"/>
      <c r="Y9627" s="40"/>
    </row>
    <row r="9628" spans="24:25" x14ac:dyDescent="0.35">
      <c r="X9628" s="40"/>
      <c r="Y9628" s="40"/>
    </row>
    <row r="9629" spans="24:25" x14ac:dyDescent="0.35">
      <c r="X9629" s="40"/>
      <c r="Y9629" s="40"/>
    </row>
    <row r="9630" spans="24:25" x14ac:dyDescent="0.35">
      <c r="X9630" s="40"/>
      <c r="Y9630" s="40"/>
    </row>
    <row r="9631" spans="24:25" x14ac:dyDescent="0.35">
      <c r="X9631" s="40"/>
      <c r="Y9631" s="40"/>
    </row>
    <row r="9632" spans="24:25" x14ac:dyDescent="0.35">
      <c r="X9632" s="40"/>
      <c r="Y9632" s="40"/>
    </row>
    <row r="9633" spans="24:25" x14ac:dyDescent="0.35">
      <c r="X9633" s="40"/>
      <c r="Y9633" s="40"/>
    </row>
    <row r="9634" spans="24:25" x14ac:dyDescent="0.35">
      <c r="X9634" s="40"/>
      <c r="Y9634" s="40"/>
    </row>
    <row r="9635" spans="24:25" x14ac:dyDescent="0.35">
      <c r="X9635" s="40"/>
      <c r="Y9635" s="40"/>
    </row>
    <row r="9636" spans="24:25" x14ac:dyDescent="0.35">
      <c r="X9636" s="40"/>
      <c r="Y9636" s="40"/>
    </row>
    <row r="9637" spans="24:25" x14ac:dyDescent="0.35">
      <c r="X9637" s="40"/>
      <c r="Y9637" s="40"/>
    </row>
    <row r="9638" spans="24:25" x14ac:dyDescent="0.35">
      <c r="X9638" s="40"/>
      <c r="Y9638" s="40"/>
    </row>
    <row r="9639" spans="24:25" x14ac:dyDescent="0.35">
      <c r="X9639" s="40"/>
      <c r="Y9639" s="40"/>
    </row>
    <row r="9640" spans="24:25" x14ac:dyDescent="0.35">
      <c r="X9640" s="40"/>
      <c r="Y9640" s="40"/>
    </row>
    <row r="9641" spans="24:25" x14ac:dyDescent="0.35">
      <c r="X9641" s="40"/>
      <c r="Y9641" s="40"/>
    </row>
    <row r="9642" spans="24:25" x14ac:dyDescent="0.35">
      <c r="X9642" s="40"/>
      <c r="Y9642" s="40"/>
    </row>
    <row r="9643" spans="24:25" x14ac:dyDescent="0.35">
      <c r="X9643" s="40"/>
      <c r="Y9643" s="40"/>
    </row>
    <row r="9644" spans="24:25" x14ac:dyDescent="0.35">
      <c r="X9644" s="40"/>
      <c r="Y9644" s="40"/>
    </row>
    <row r="9645" spans="24:25" x14ac:dyDescent="0.35">
      <c r="X9645" s="40"/>
      <c r="Y9645" s="40"/>
    </row>
    <row r="9646" spans="24:25" x14ac:dyDescent="0.35">
      <c r="X9646" s="40"/>
      <c r="Y9646" s="40"/>
    </row>
    <row r="9647" spans="24:25" x14ac:dyDescent="0.35">
      <c r="X9647" s="40"/>
      <c r="Y9647" s="40"/>
    </row>
    <row r="9648" spans="24:25" x14ac:dyDescent="0.35">
      <c r="X9648" s="40"/>
      <c r="Y9648" s="40"/>
    </row>
    <row r="9649" spans="24:25" x14ac:dyDescent="0.35">
      <c r="X9649" s="40"/>
      <c r="Y9649" s="40"/>
    </row>
    <row r="9650" spans="24:25" x14ac:dyDescent="0.35">
      <c r="X9650" s="40"/>
      <c r="Y9650" s="40"/>
    </row>
    <row r="9651" spans="24:25" x14ac:dyDescent="0.35">
      <c r="X9651" s="40"/>
      <c r="Y9651" s="40"/>
    </row>
    <row r="9652" spans="24:25" x14ac:dyDescent="0.35">
      <c r="X9652" s="40"/>
      <c r="Y9652" s="40"/>
    </row>
    <row r="9653" spans="24:25" x14ac:dyDescent="0.35">
      <c r="X9653" s="40"/>
      <c r="Y9653" s="40"/>
    </row>
    <row r="9654" spans="24:25" x14ac:dyDescent="0.35">
      <c r="X9654" s="40"/>
      <c r="Y9654" s="40"/>
    </row>
    <row r="9655" spans="24:25" x14ac:dyDescent="0.35">
      <c r="X9655" s="40"/>
      <c r="Y9655" s="40"/>
    </row>
    <row r="9656" spans="24:25" x14ac:dyDescent="0.35">
      <c r="X9656" s="40"/>
      <c r="Y9656" s="40"/>
    </row>
    <row r="9657" spans="24:25" x14ac:dyDescent="0.35">
      <c r="X9657" s="40"/>
      <c r="Y9657" s="40"/>
    </row>
    <row r="9658" spans="24:25" x14ac:dyDescent="0.35">
      <c r="X9658" s="40"/>
      <c r="Y9658" s="40"/>
    </row>
    <row r="9659" spans="24:25" x14ac:dyDescent="0.35">
      <c r="X9659" s="40"/>
      <c r="Y9659" s="40"/>
    </row>
    <row r="9660" spans="24:25" x14ac:dyDescent="0.35">
      <c r="X9660" s="40"/>
      <c r="Y9660" s="40"/>
    </row>
    <row r="9661" spans="24:25" x14ac:dyDescent="0.35">
      <c r="X9661" s="40"/>
      <c r="Y9661" s="40"/>
    </row>
    <row r="9662" spans="24:25" x14ac:dyDescent="0.35">
      <c r="X9662" s="40"/>
      <c r="Y9662" s="40"/>
    </row>
    <row r="9663" spans="24:25" x14ac:dyDescent="0.35">
      <c r="X9663" s="40"/>
      <c r="Y9663" s="40"/>
    </row>
    <row r="9664" spans="24:25" x14ac:dyDescent="0.35">
      <c r="X9664" s="40"/>
      <c r="Y9664" s="40"/>
    </row>
    <row r="9665" spans="24:25" x14ac:dyDescent="0.35">
      <c r="X9665" s="40"/>
      <c r="Y9665" s="40"/>
    </row>
    <row r="9666" spans="24:25" x14ac:dyDescent="0.35">
      <c r="X9666" s="40"/>
      <c r="Y9666" s="40"/>
    </row>
    <row r="9667" spans="24:25" x14ac:dyDescent="0.35">
      <c r="X9667" s="40"/>
      <c r="Y9667" s="40"/>
    </row>
    <row r="9668" spans="24:25" x14ac:dyDescent="0.35">
      <c r="X9668" s="40"/>
      <c r="Y9668" s="40"/>
    </row>
    <row r="9669" spans="24:25" x14ac:dyDescent="0.35">
      <c r="X9669" s="40"/>
      <c r="Y9669" s="40"/>
    </row>
    <row r="9670" spans="24:25" x14ac:dyDescent="0.35">
      <c r="X9670" s="40"/>
      <c r="Y9670" s="40"/>
    </row>
    <row r="9671" spans="24:25" x14ac:dyDescent="0.35">
      <c r="X9671" s="40"/>
      <c r="Y9671" s="40"/>
    </row>
    <row r="9672" spans="24:25" x14ac:dyDescent="0.35">
      <c r="X9672" s="40"/>
      <c r="Y9672" s="40"/>
    </row>
    <row r="9673" spans="24:25" x14ac:dyDescent="0.35">
      <c r="X9673" s="40"/>
      <c r="Y9673" s="40"/>
    </row>
    <row r="9674" spans="24:25" x14ac:dyDescent="0.35">
      <c r="X9674" s="40"/>
      <c r="Y9674" s="40"/>
    </row>
    <row r="9675" spans="24:25" x14ac:dyDescent="0.35">
      <c r="X9675" s="40"/>
      <c r="Y9675" s="40"/>
    </row>
    <row r="9676" spans="24:25" x14ac:dyDescent="0.35">
      <c r="X9676" s="40"/>
      <c r="Y9676" s="40"/>
    </row>
    <row r="9677" spans="24:25" x14ac:dyDescent="0.35">
      <c r="X9677" s="40"/>
      <c r="Y9677" s="40"/>
    </row>
    <row r="9678" spans="24:25" x14ac:dyDescent="0.35">
      <c r="X9678" s="40"/>
      <c r="Y9678" s="40"/>
    </row>
    <row r="9679" spans="24:25" x14ac:dyDescent="0.35">
      <c r="X9679" s="40"/>
      <c r="Y9679" s="40"/>
    </row>
    <row r="9680" spans="24:25" x14ac:dyDescent="0.35">
      <c r="X9680" s="40"/>
      <c r="Y9680" s="40"/>
    </row>
    <row r="9681" spans="24:25" x14ac:dyDescent="0.35">
      <c r="X9681" s="40"/>
      <c r="Y9681" s="40"/>
    </row>
    <row r="9682" spans="24:25" x14ac:dyDescent="0.35">
      <c r="X9682" s="40"/>
      <c r="Y9682" s="40"/>
    </row>
    <row r="9683" spans="24:25" x14ac:dyDescent="0.35">
      <c r="X9683" s="40"/>
      <c r="Y9683" s="40"/>
    </row>
    <row r="9684" spans="24:25" x14ac:dyDescent="0.35">
      <c r="X9684" s="40"/>
      <c r="Y9684" s="40"/>
    </row>
    <row r="9685" spans="24:25" x14ac:dyDescent="0.35">
      <c r="X9685" s="40"/>
      <c r="Y9685" s="40"/>
    </row>
    <row r="9686" spans="24:25" x14ac:dyDescent="0.35">
      <c r="X9686" s="40"/>
      <c r="Y9686" s="40"/>
    </row>
    <row r="9687" spans="24:25" x14ac:dyDescent="0.35">
      <c r="X9687" s="40"/>
      <c r="Y9687" s="40"/>
    </row>
    <row r="9688" spans="24:25" x14ac:dyDescent="0.35">
      <c r="X9688" s="40"/>
      <c r="Y9688" s="40"/>
    </row>
    <row r="9689" spans="24:25" x14ac:dyDescent="0.35">
      <c r="X9689" s="40"/>
      <c r="Y9689" s="40"/>
    </row>
    <row r="9690" spans="24:25" x14ac:dyDescent="0.35">
      <c r="X9690" s="40"/>
      <c r="Y9690" s="40"/>
    </row>
    <row r="9691" spans="24:25" x14ac:dyDescent="0.35">
      <c r="X9691" s="40"/>
      <c r="Y9691" s="40"/>
    </row>
    <row r="9692" spans="24:25" x14ac:dyDescent="0.35">
      <c r="X9692" s="40"/>
      <c r="Y9692" s="40"/>
    </row>
    <row r="9693" spans="24:25" x14ac:dyDescent="0.35">
      <c r="X9693" s="40"/>
      <c r="Y9693" s="40"/>
    </row>
    <row r="9694" spans="24:25" x14ac:dyDescent="0.35">
      <c r="X9694" s="40"/>
      <c r="Y9694" s="40"/>
    </row>
    <row r="9695" spans="24:25" x14ac:dyDescent="0.35">
      <c r="X9695" s="40"/>
      <c r="Y9695" s="40"/>
    </row>
    <row r="9696" spans="24:25" x14ac:dyDescent="0.35">
      <c r="X9696" s="40"/>
      <c r="Y9696" s="40"/>
    </row>
    <row r="9697" spans="24:25" x14ac:dyDescent="0.35">
      <c r="X9697" s="40"/>
      <c r="Y9697" s="40"/>
    </row>
    <row r="9698" spans="24:25" x14ac:dyDescent="0.35">
      <c r="X9698" s="40"/>
      <c r="Y9698" s="40"/>
    </row>
    <row r="9699" spans="24:25" x14ac:dyDescent="0.35">
      <c r="X9699" s="40"/>
      <c r="Y9699" s="40"/>
    </row>
    <row r="9700" spans="24:25" x14ac:dyDescent="0.35">
      <c r="X9700" s="40"/>
      <c r="Y9700" s="40"/>
    </row>
    <row r="9701" spans="24:25" x14ac:dyDescent="0.35">
      <c r="X9701" s="40"/>
      <c r="Y9701" s="40"/>
    </row>
    <row r="9702" spans="24:25" x14ac:dyDescent="0.35">
      <c r="X9702" s="40"/>
      <c r="Y9702" s="40"/>
    </row>
    <row r="9703" spans="24:25" x14ac:dyDescent="0.35">
      <c r="X9703" s="40"/>
      <c r="Y9703" s="40"/>
    </row>
    <row r="9704" spans="24:25" x14ac:dyDescent="0.35">
      <c r="X9704" s="40"/>
      <c r="Y9704" s="40"/>
    </row>
    <row r="9705" spans="24:25" x14ac:dyDescent="0.35">
      <c r="X9705" s="40"/>
      <c r="Y9705" s="40"/>
    </row>
    <row r="9706" spans="24:25" x14ac:dyDescent="0.35">
      <c r="X9706" s="40"/>
      <c r="Y9706" s="40"/>
    </row>
    <row r="9707" spans="24:25" x14ac:dyDescent="0.35">
      <c r="X9707" s="40"/>
      <c r="Y9707" s="40"/>
    </row>
    <row r="9708" spans="24:25" x14ac:dyDescent="0.35">
      <c r="X9708" s="40"/>
      <c r="Y9708" s="40"/>
    </row>
    <row r="9709" spans="24:25" x14ac:dyDescent="0.35">
      <c r="X9709" s="40"/>
      <c r="Y9709" s="40"/>
    </row>
    <row r="9710" spans="24:25" x14ac:dyDescent="0.35">
      <c r="X9710" s="40"/>
      <c r="Y9710" s="40"/>
    </row>
    <row r="9711" spans="24:25" x14ac:dyDescent="0.35">
      <c r="X9711" s="40"/>
      <c r="Y9711" s="40"/>
    </row>
    <row r="9712" spans="24:25" x14ac:dyDescent="0.35">
      <c r="X9712" s="40"/>
      <c r="Y9712" s="40"/>
    </row>
    <row r="9713" spans="24:25" x14ac:dyDescent="0.35">
      <c r="X9713" s="40"/>
      <c r="Y9713" s="40"/>
    </row>
    <row r="9714" spans="24:25" x14ac:dyDescent="0.35">
      <c r="X9714" s="40"/>
      <c r="Y9714" s="40"/>
    </row>
    <row r="9715" spans="24:25" x14ac:dyDescent="0.35">
      <c r="X9715" s="40"/>
      <c r="Y9715" s="40"/>
    </row>
    <row r="9716" spans="24:25" x14ac:dyDescent="0.35">
      <c r="X9716" s="40"/>
      <c r="Y9716" s="40"/>
    </row>
    <row r="9717" spans="24:25" x14ac:dyDescent="0.35">
      <c r="X9717" s="40"/>
      <c r="Y9717" s="40"/>
    </row>
    <row r="9718" spans="24:25" x14ac:dyDescent="0.35">
      <c r="X9718" s="40"/>
      <c r="Y9718" s="40"/>
    </row>
    <row r="9719" spans="24:25" x14ac:dyDescent="0.35">
      <c r="X9719" s="40"/>
      <c r="Y9719" s="40"/>
    </row>
    <row r="9720" spans="24:25" x14ac:dyDescent="0.35">
      <c r="X9720" s="40"/>
      <c r="Y9720" s="40"/>
    </row>
    <row r="9721" spans="24:25" x14ac:dyDescent="0.35">
      <c r="X9721" s="40"/>
      <c r="Y9721" s="40"/>
    </row>
    <row r="9722" spans="24:25" x14ac:dyDescent="0.35">
      <c r="X9722" s="40"/>
      <c r="Y9722" s="40"/>
    </row>
    <row r="9723" spans="24:25" x14ac:dyDescent="0.35">
      <c r="X9723" s="40"/>
      <c r="Y9723" s="40"/>
    </row>
    <row r="9724" spans="24:25" x14ac:dyDescent="0.35">
      <c r="X9724" s="40"/>
      <c r="Y9724" s="40"/>
    </row>
    <row r="9725" spans="24:25" x14ac:dyDescent="0.35">
      <c r="X9725" s="40"/>
      <c r="Y9725" s="40"/>
    </row>
    <row r="9726" spans="24:25" x14ac:dyDescent="0.35">
      <c r="X9726" s="40"/>
      <c r="Y9726" s="40"/>
    </row>
    <row r="9727" spans="24:25" x14ac:dyDescent="0.35">
      <c r="X9727" s="40"/>
      <c r="Y9727" s="40"/>
    </row>
    <row r="9728" spans="24:25" x14ac:dyDescent="0.35">
      <c r="X9728" s="40"/>
      <c r="Y9728" s="40"/>
    </row>
    <row r="9729" spans="24:25" x14ac:dyDescent="0.35">
      <c r="X9729" s="40"/>
      <c r="Y9729" s="40"/>
    </row>
    <row r="9730" spans="24:25" x14ac:dyDescent="0.35">
      <c r="X9730" s="40"/>
      <c r="Y9730" s="40"/>
    </row>
    <row r="9731" spans="24:25" x14ac:dyDescent="0.35">
      <c r="X9731" s="40"/>
      <c r="Y9731" s="40"/>
    </row>
    <row r="9732" spans="24:25" x14ac:dyDescent="0.35">
      <c r="X9732" s="40"/>
      <c r="Y9732" s="40"/>
    </row>
    <row r="9733" spans="24:25" x14ac:dyDescent="0.35">
      <c r="X9733" s="40"/>
      <c r="Y9733" s="40"/>
    </row>
    <row r="9734" spans="24:25" x14ac:dyDescent="0.35">
      <c r="X9734" s="40"/>
      <c r="Y9734" s="40"/>
    </row>
    <row r="9735" spans="24:25" x14ac:dyDescent="0.35">
      <c r="X9735" s="40"/>
      <c r="Y9735" s="40"/>
    </row>
    <row r="9736" spans="24:25" x14ac:dyDescent="0.35">
      <c r="X9736" s="40"/>
      <c r="Y9736" s="40"/>
    </row>
    <row r="9737" spans="24:25" x14ac:dyDescent="0.35">
      <c r="X9737" s="40"/>
      <c r="Y9737" s="40"/>
    </row>
    <row r="9738" spans="24:25" x14ac:dyDescent="0.35">
      <c r="X9738" s="40"/>
      <c r="Y9738" s="40"/>
    </row>
    <row r="9739" spans="24:25" x14ac:dyDescent="0.35">
      <c r="X9739" s="40"/>
      <c r="Y9739" s="40"/>
    </row>
    <row r="9740" spans="24:25" x14ac:dyDescent="0.35">
      <c r="X9740" s="40"/>
      <c r="Y9740" s="40"/>
    </row>
    <row r="9741" spans="24:25" x14ac:dyDescent="0.35">
      <c r="X9741" s="40"/>
      <c r="Y9741" s="40"/>
    </row>
    <row r="9742" spans="24:25" x14ac:dyDescent="0.35">
      <c r="X9742" s="40"/>
      <c r="Y9742" s="40"/>
    </row>
    <row r="9743" spans="24:25" x14ac:dyDescent="0.35">
      <c r="X9743" s="40"/>
      <c r="Y9743" s="40"/>
    </row>
    <row r="9744" spans="24:25" x14ac:dyDescent="0.35">
      <c r="X9744" s="40"/>
      <c r="Y9744" s="40"/>
    </row>
    <row r="9745" spans="24:25" x14ac:dyDescent="0.35">
      <c r="X9745" s="40"/>
      <c r="Y9745" s="40"/>
    </row>
    <row r="9746" spans="24:25" x14ac:dyDescent="0.35">
      <c r="X9746" s="40"/>
      <c r="Y9746" s="40"/>
    </row>
    <row r="9747" spans="24:25" x14ac:dyDescent="0.35">
      <c r="X9747" s="40"/>
      <c r="Y9747" s="40"/>
    </row>
    <row r="9748" spans="24:25" x14ac:dyDescent="0.35">
      <c r="X9748" s="40"/>
      <c r="Y9748" s="40"/>
    </row>
    <row r="9749" spans="24:25" x14ac:dyDescent="0.35">
      <c r="X9749" s="40"/>
      <c r="Y9749" s="40"/>
    </row>
    <row r="9750" spans="24:25" x14ac:dyDescent="0.35">
      <c r="X9750" s="40"/>
      <c r="Y9750" s="40"/>
    </row>
    <row r="9751" spans="24:25" x14ac:dyDescent="0.35">
      <c r="X9751" s="40"/>
      <c r="Y9751" s="40"/>
    </row>
    <row r="9752" spans="24:25" x14ac:dyDescent="0.35">
      <c r="X9752" s="40"/>
      <c r="Y9752" s="40"/>
    </row>
    <row r="9753" spans="24:25" x14ac:dyDescent="0.35">
      <c r="X9753" s="40"/>
      <c r="Y9753" s="40"/>
    </row>
    <row r="9754" spans="24:25" x14ac:dyDescent="0.35">
      <c r="X9754" s="40"/>
      <c r="Y9754" s="40"/>
    </row>
    <row r="9755" spans="24:25" x14ac:dyDescent="0.35">
      <c r="X9755" s="40"/>
      <c r="Y9755" s="40"/>
    </row>
    <row r="9756" spans="24:25" x14ac:dyDescent="0.35">
      <c r="X9756" s="40"/>
      <c r="Y9756" s="40"/>
    </row>
    <row r="9757" spans="24:25" x14ac:dyDescent="0.35">
      <c r="X9757" s="40"/>
      <c r="Y9757" s="40"/>
    </row>
    <row r="9758" spans="24:25" x14ac:dyDescent="0.35">
      <c r="X9758" s="40"/>
      <c r="Y9758" s="40"/>
    </row>
    <row r="9759" spans="24:25" x14ac:dyDescent="0.35">
      <c r="X9759" s="40"/>
      <c r="Y9759" s="40"/>
    </row>
    <row r="9760" spans="24:25" x14ac:dyDescent="0.35">
      <c r="X9760" s="40"/>
      <c r="Y9760" s="40"/>
    </row>
    <row r="9761" spans="24:25" x14ac:dyDescent="0.35">
      <c r="X9761" s="40"/>
      <c r="Y9761" s="40"/>
    </row>
    <row r="9762" spans="24:25" x14ac:dyDescent="0.35">
      <c r="X9762" s="40"/>
      <c r="Y9762" s="40"/>
    </row>
    <row r="9763" spans="24:25" x14ac:dyDescent="0.35">
      <c r="X9763" s="40"/>
      <c r="Y9763" s="40"/>
    </row>
    <row r="9764" spans="24:25" x14ac:dyDescent="0.35">
      <c r="X9764" s="40"/>
      <c r="Y9764" s="40"/>
    </row>
    <row r="9765" spans="24:25" x14ac:dyDescent="0.35">
      <c r="X9765" s="40"/>
      <c r="Y9765" s="40"/>
    </row>
    <row r="9766" spans="24:25" x14ac:dyDescent="0.35">
      <c r="X9766" s="40"/>
      <c r="Y9766" s="40"/>
    </row>
    <row r="9767" spans="24:25" x14ac:dyDescent="0.35">
      <c r="X9767" s="40"/>
      <c r="Y9767" s="40"/>
    </row>
    <row r="9768" spans="24:25" x14ac:dyDescent="0.35">
      <c r="X9768" s="40"/>
      <c r="Y9768" s="40"/>
    </row>
    <row r="9769" spans="24:25" x14ac:dyDescent="0.35">
      <c r="X9769" s="40"/>
      <c r="Y9769" s="40"/>
    </row>
    <row r="9770" spans="24:25" x14ac:dyDescent="0.35">
      <c r="X9770" s="40"/>
      <c r="Y9770" s="40"/>
    </row>
    <row r="9771" spans="24:25" x14ac:dyDescent="0.35">
      <c r="X9771" s="40"/>
      <c r="Y9771" s="40"/>
    </row>
    <row r="9772" spans="24:25" x14ac:dyDescent="0.35">
      <c r="X9772" s="40"/>
      <c r="Y9772" s="40"/>
    </row>
    <row r="9773" spans="24:25" x14ac:dyDescent="0.35">
      <c r="X9773" s="40"/>
      <c r="Y9773" s="40"/>
    </row>
    <row r="9774" spans="24:25" x14ac:dyDescent="0.35">
      <c r="X9774" s="40"/>
      <c r="Y9774" s="40"/>
    </row>
    <row r="9775" spans="24:25" x14ac:dyDescent="0.35">
      <c r="X9775" s="40"/>
      <c r="Y9775" s="40"/>
    </row>
    <row r="9776" spans="24:25" x14ac:dyDescent="0.35">
      <c r="X9776" s="40"/>
      <c r="Y9776" s="40"/>
    </row>
    <row r="9777" spans="24:25" x14ac:dyDescent="0.35">
      <c r="X9777" s="40"/>
      <c r="Y9777" s="40"/>
    </row>
    <row r="9778" spans="24:25" x14ac:dyDescent="0.35">
      <c r="X9778" s="40"/>
      <c r="Y9778" s="40"/>
    </row>
    <row r="9779" spans="24:25" x14ac:dyDescent="0.35">
      <c r="X9779" s="40"/>
      <c r="Y9779" s="40"/>
    </row>
    <row r="9780" spans="24:25" x14ac:dyDescent="0.35">
      <c r="X9780" s="40"/>
      <c r="Y9780" s="40"/>
    </row>
    <row r="9781" spans="24:25" x14ac:dyDescent="0.35">
      <c r="X9781" s="40"/>
      <c r="Y9781" s="40"/>
    </row>
    <row r="9782" spans="24:25" x14ac:dyDescent="0.35">
      <c r="X9782" s="40"/>
      <c r="Y9782" s="40"/>
    </row>
    <row r="9783" spans="24:25" x14ac:dyDescent="0.35">
      <c r="X9783" s="40"/>
      <c r="Y9783" s="40"/>
    </row>
    <row r="9784" spans="24:25" x14ac:dyDescent="0.35">
      <c r="X9784" s="40"/>
      <c r="Y9784" s="40"/>
    </row>
    <row r="9785" spans="24:25" x14ac:dyDescent="0.35">
      <c r="X9785" s="40"/>
      <c r="Y9785" s="40"/>
    </row>
    <row r="9786" spans="24:25" x14ac:dyDescent="0.35">
      <c r="X9786" s="40"/>
      <c r="Y9786" s="40"/>
    </row>
    <row r="9787" spans="24:25" x14ac:dyDescent="0.35">
      <c r="X9787" s="40"/>
      <c r="Y9787" s="40"/>
    </row>
    <row r="9788" spans="24:25" x14ac:dyDescent="0.35">
      <c r="X9788" s="40"/>
      <c r="Y9788" s="40"/>
    </row>
    <row r="9789" spans="24:25" x14ac:dyDescent="0.35">
      <c r="X9789" s="40"/>
      <c r="Y9789" s="40"/>
    </row>
    <row r="9790" spans="24:25" x14ac:dyDescent="0.35">
      <c r="X9790" s="40"/>
      <c r="Y9790" s="40"/>
    </row>
    <row r="9791" spans="24:25" x14ac:dyDescent="0.35">
      <c r="X9791" s="40"/>
      <c r="Y9791" s="40"/>
    </row>
    <row r="9792" spans="24:25" x14ac:dyDescent="0.35">
      <c r="X9792" s="40"/>
      <c r="Y9792" s="40"/>
    </row>
    <row r="9793" spans="24:25" x14ac:dyDescent="0.35">
      <c r="X9793" s="40"/>
      <c r="Y9793" s="40"/>
    </row>
    <row r="9794" spans="24:25" x14ac:dyDescent="0.35">
      <c r="X9794" s="40"/>
      <c r="Y9794" s="40"/>
    </row>
    <row r="9795" spans="24:25" x14ac:dyDescent="0.35">
      <c r="X9795" s="40"/>
      <c r="Y9795" s="40"/>
    </row>
    <row r="9796" spans="24:25" x14ac:dyDescent="0.35">
      <c r="X9796" s="40"/>
      <c r="Y9796" s="40"/>
    </row>
    <row r="9797" spans="24:25" x14ac:dyDescent="0.35">
      <c r="X9797" s="40"/>
      <c r="Y9797" s="40"/>
    </row>
    <row r="9798" spans="24:25" x14ac:dyDescent="0.35">
      <c r="X9798" s="40"/>
      <c r="Y9798" s="40"/>
    </row>
    <row r="9799" spans="24:25" x14ac:dyDescent="0.35">
      <c r="X9799" s="40"/>
      <c r="Y9799" s="40"/>
    </row>
    <row r="9800" spans="24:25" x14ac:dyDescent="0.35">
      <c r="X9800" s="40"/>
      <c r="Y9800" s="40"/>
    </row>
    <row r="9801" spans="24:25" x14ac:dyDescent="0.35">
      <c r="X9801" s="40"/>
      <c r="Y9801" s="40"/>
    </row>
    <row r="9802" spans="24:25" x14ac:dyDescent="0.35">
      <c r="X9802" s="40"/>
      <c r="Y9802" s="40"/>
    </row>
    <row r="9803" spans="24:25" x14ac:dyDescent="0.35">
      <c r="X9803" s="40"/>
      <c r="Y9803" s="40"/>
    </row>
    <row r="9804" spans="24:25" x14ac:dyDescent="0.35">
      <c r="X9804" s="40"/>
      <c r="Y9804" s="40"/>
    </row>
    <row r="9805" spans="24:25" x14ac:dyDescent="0.35">
      <c r="X9805" s="40"/>
      <c r="Y9805" s="40"/>
    </row>
    <row r="9806" spans="24:25" x14ac:dyDescent="0.35">
      <c r="X9806" s="40"/>
      <c r="Y9806" s="40"/>
    </row>
    <row r="9807" spans="24:25" x14ac:dyDescent="0.35">
      <c r="X9807" s="40"/>
      <c r="Y9807" s="40"/>
    </row>
    <row r="9808" spans="24:25" x14ac:dyDescent="0.35">
      <c r="X9808" s="40"/>
      <c r="Y9808" s="40"/>
    </row>
    <row r="9809" spans="24:25" x14ac:dyDescent="0.35">
      <c r="X9809" s="40"/>
      <c r="Y9809" s="40"/>
    </row>
    <row r="9810" spans="24:25" x14ac:dyDescent="0.35">
      <c r="X9810" s="40"/>
      <c r="Y9810" s="40"/>
    </row>
    <row r="9811" spans="24:25" x14ac:dyDescent="0.35">
      <c r="X9811" s="40"/>
      <c r="Y9811" s="40"/>
    </row>
    <row r="9812" spans="24:25" x14ac:dyDescent="0.35">
      <c r="X9812" s="40"/>
      <c r="Y9812" s="40"/>
    </row>
    <row r="9813" spans="24:25" x14ac:dyDescent="0.35">
      <c r="X9813" s="40"/>
      <c r="Y9813" s="40"/>
    </row>
    <row r="9814" spans="24:25" x14ac:dyDescent="0.35">
      <c r="X9814" s="40"/>
      <c r="Y9814" s="40"/>
    </row>
    <row r="9815" spans="24:25" x14ac:dyDescent="0.35">
      <c r="X9815" s="40"/>
      <c r="Y9815" s="40"/>
    </row>
    <row r="9816" spans="24:25" x14ac:dyDescent="0.35">
      <c r="X9816" s="40"/>
      <c r="Y9816" s="40"/>
    </row>
    <row r="9817" spans="24:25" x14ac:dyDescent="0.35">
      <c r="X9817" s="40"/>
      <c r="Y9817" s="40"/>
    </row>
    <row r="9818" spans="24:25" x14ac:dyDescent="0.35">
      <c r="X9818" s="40"/>
      <c r="Y9818" s="40"/>
    </row>
    <row r="9819" spans="24:25" x14ac:dyDescent="0.35">
      <c r="X9819" s="40"/>
      <c r="Y9819" s="40"/>
    </row>
    <row r="9820" spans="24:25" x14ac:dyDescent="0.35">
      <c r="X9820" s="40"/>
      <c r="Y9820" s="40"/>
    </row>
    <row r="9821" spans="24:25" x14ac:dyDescent="0.35">
      <c r="X9821" s="40"/>
      <c r="Y9821" s="40"/>
    </row>
    <row r="9822" spans="24:25" x14ac:dyDescent="0.35">
      <c r="X9822" s="40"/>
      <c r="Y9822" s="40"/>
    </row>
    <row r="9823" spans="24:25" x14ac:dyDescent="0.35">
      <c r="X9823" s="40"/>
      <c r="Y9823" s="40"/>
    </row>
    <row r="9824" spans="24:25" x14ac:dyDescent="0.35">
      <c r="X9824" s="40"/>
      <c r="Y9824" s="40"/>
    </row>
    <row r="9825" spans="24:25" x14ac:dyDescent="0.35">
      <c r="X9825" s="40"/>
      <c r="Y9825" s="40"/>
    </row>
    <row r="9826" spans="24:25" x14ac:dyDescent="0.35">
      <c r="X9826" s="40"/>
      <c r="Y9826" s="40"/>
    </row>
    <row r="9827" spans="24:25" x14ac:dyDescent="0.35">
      <c r="X9827" s="40"/>
      <c r="Y9827" s="40"/>
    </row>
    <row r="9828" spans="24:25" x14ac:dyDescent="0.35">
      <c r="X9828" s="40"/>
      <c r="Y9828" s="40"/>
    </row>
    <row r="9829" spans="24:25" x14ac:dyDescent="0.35">
      <c r="X9829" s="40"/>
      <c r="Y9829" s="40"/>
    </row>
    <row r="9830" spans="24:25" x14ac:dyDescent="0.35">
      <c r="X9830" s="40"/>
      <c r="Y9830" s="40"/>
    </row>
    <row r="9831" spans="24:25" x14ac:dyDescent="0.35">
      <c r="X9831" s="40"/>
      <c r="Y9831" s="40"/>
    </row>
    <row r="9832" spans="24:25" x14ac:dyDescent="0.35">
      <c r="X9832" s="40"/>
      <c r="Y9832" s="40"/>
    </row>
    <row r="9833" spans="24:25" x14ac:dyDescent="0.35">
      <c r="X9833" s="40"/>
      <c r="Y9833" s="40"/>
    </row>
    <row r="9834" spans="24:25" x14ac:dyDescent="0.35">
      <c r="X9834" s="40"/>
      <c r="Y9834" s="40"/>
    </row>
    <row r="9835" spans="24:25" x14ac:dyDescent="0.35">
      <c r="X9835" s="40"/>
      <c r="Y9835" s="40"/>
    </row>
    <row r="9836" spans="24:25" x14ac:dyDescent="0.35">
      <c r="X9836" s="40"/>
      <c r="Y9836" s="40"/>
    </row>
    <row r="9837" spans="24:25" x14ac:dyDescent="0.35">
      <c r="X9837" s="40"/>
      <c r="Y9837" s="40"/>
    </row>
    <row r="9838" spans="24:25" x14ac:dyDescent="0.35">
      <c r="X9838" s="40"/>
      <c r="Y9838" s="40"/>
    </row>
    <row r="9839" spans="24:25" x14ac:dyDescent="0.35">
      <c r="X9839" s="40"/>
      <c r="Y9839" s="40"/>
    </row>
    <row r="9840" spans="24:25" x14ac:dyDescent="0.35">
      <c r="X9840" s="40"/>
      <c r="Y9840" s="40"/>
    </row>
    <row r="9841" spans="24:25" x14ac:dyDescent="0.35">
      <c r="X9841" s="40"/>
      <c r="Y9841" s="40"/>
    </row>
    <row r="9842" spans="24:25" x14ac:dyDescent="0.35">
      <c r="X9842" s="40"/>
      <c r="Y9842" s="40"/>
    </row>
    <row r="9843" spans="24:25" x14ac:dyDescent="0.35">
      <c r="X9843" s="40"/>
      <c r="Y9843" s="40"/>
    </row>
    <row r="9844" spans="24:25" x14ac:dyDescent="0.35">
      <c r="X9844" s="40"/>
      <c r="Y9844" s="40"/>
    </row>
    <row r="9845" spans="24:25" x14ac:dyDescent="0.35">
      <c r="X9845" s="40"/>
      <c r="Y9845" s="40"/>
    </row>
    <row r="9846" spans="24:25" x14ac:dyDescent="0.35">
      <c r="X9846" s="40"/>
      <c r="Y9846" s="40"/>
    </row>
    <row r="9847" spans="24:25" x14ac:dyDescent="0.35">
      <c r="X9847" s="40"/>
      <c r="Y9847" s="40"/>
    </row>
    <row r="9848" spans="24:25" x14ac:dyDescent="0.35">
      <c r="X9848" s="40"/>
      <c r="Y9848" s="40"/>
    </row>
    <row r="9849" spans="24:25" x14ac:dyDescent="0.35">
      <c r="X9849" s="40"/>
      <c r="Y9849" s="40"/>
    </row>
    <row r="9850" spans="24:25" x14ac:dyDescent="0.35">
      <c r="X9850" s="40"/>
      <c r="Y9850" s="40"/>
    </row>
    <row r="9851" spans="24:25" x14ac:dyDescent="0.35">
      <c r="X9851" s="40"/>
      <c r="Y9851" s="40"/>
    </row>
    <row r="9852" spans="24:25" x14ac:dyDescent="0.35">
      <c r="X9852" s="40"/>
      <c r="Y9852" s="40"/>
    </row>
    <row r="9853" spans="24:25" x14ac:dyDescent="0.35">
      <c r="X9853" s="40"/>
      <c r="Y9853" s="40"/>
    </row>
    <row r="9854" spans="24:25" x14ac:dyDescent="0.35">
      <c r="X9854" s="40"/>
      <c r="Y9854" s="40"/>
    </row>
    <row r="9855" spans="24:25" x14ac:dyDescent="0.35">
      <c r="X9855" s="40"/>
      <c r="Y9855" s="40"/>
    </row>
    <row r="9856" spans="24:25" x14ac:dyDescent="0.35">
      <c r="X9856" s="40"/>
      <c r="Y9856" s="40"/>
    </row>
    <row r="9857" spans="24:25" x14ac:dyDescent="0.35">
      <c r="X9857" s="40"/>
      <c r="Y9857" s="40"/>
    </row>
    <row r="9858" spans="24:25" x14ac:dyDescent="0.35">
      <c r="X9858" s="40"/>
      <c r="Y9858" s="40"/>
    </row>
    <row r="9859" spans="24:25" x14ac:dyDescent="0.35">
      <c r="X9859" s="40"/>
      <c r="Y9859" s="40"/>
    </row>
    <row r="9860" spans="24:25" x14ac:dyDescent="0.35">
      <c r="X9860" s="40"/>
      <c r="Y9860" s="40"/>
    </row>
    <row r="9861" spans="24:25" x14ac:dyDescent="0.35">
      <c r="X9861" s="40"/>
      <c r="Y9861" s="40"/>
    </row>
    <row r="9862" spans="24:25" x14ac:dyDescent="0.35">
      <c r="X9862" s="40"/>
      <c r="Y9862" s="40"/>
    </row>
    <row r="9863" spans="24:25" x14ac:dyDescent="0.35">
      <c r="X9863" s="40"/>
      <c r="Y9863" s="40"/>
    </row>
    <row r="9864" spans="24:25" x14ac:dyDescent="0.35">
      <c r="X9864" s="40"/>
      <c r="Y9864" s="40"/>
    </row>
    <row r="9865" spans="24:25" x14ac:dyDescent="0.35">
      <c r="X9865" s="40"/>
      <c r="Y9865" s="40"/>
    </row>
    <row r="9866" spans="24:25" x14ac:dyDescent="0.35">
      <c r="X9866" s="40"/>
      <c r="Y9866" s="40"/>
    </row>
    <row r="9867" spans="24:25" x14ac:dyDescent="0.35">
      <c r="X9867" s="40"/>
      <c r="Y9867" s="40"/>
    </row>
    <row r="9868" spans="24:25" x14ac:dyDescent="0.35">
      <c r="X9868" s="40"/>
      <c r="Y9868" s="40"/>
    </row>
    <row r="9869" spans="24:25" x14ac:dyDescent="0.35">
      <c r="X9869" s="40"/>
      <c r="Y9869" s="40"/>
    </row>
    <row r="9870" spans="24:25" x14ac:dyDescent="0.35">
      <c r="X9870" s="40"/>
      <c r="Y9870" s="40"/>
    </row>
    <row r="9871" spans="24:25" x14ac:dyDescent="0.35">
      <c r="X9871" s="40"/>
      <c r="Y9871" s="40"/>
    </row>
    <row r="9872" spans="24:25" x14ac:dyDescent="0.35">
      <c r="X9872" s="40"/>
      <c r="Y9872" s="40"/>
    </row>
    <row r="9873" spans="24:25" x14ac:dyDescent="0.35">
      <c r="X9873" s="40"/>
      <c r="Y9873" s="40"/>
    </row>
    <row r="9874" spans="24:25" x14ac:dyDescent="0.35">
      <c r="X9874" s="40"/>
      <c r="Y9874" s="40"/>
    </row>
    <row r="9875" spans="24:25" x14ac:dyDescent="0.35">
      <c r="X9875" s="40"/>
      <c r="Y9875" s="40"/>
    </row>
    <row r="9876" spans="24:25" x14ac:dyDescent="0.35">
      <c r="X9876" s="40"/>
      <c r="Y9876" s="40"/>
    </row>
    <row r="9877" spans="24:25" x14ac:dyDescent="0.35">
      <c r="X9877" s="40"/>
      <c r="Y9877" s="40"/>
    </row>
    <row r="9878" spans="24:25" x14ac:dyDescent="0.35">
      <c r="X9878" s="40"/>
      <c r="Y9878" s="40"/>
    </row>
    <row r="9879" spans="24:25" x14ac:dyDescent="0.35">
      <c r="X9879" s="40"/>
      <c r="Y9879" s="40"/>
    </row>
    <row r="9880" spans="24:25" x14ac:dyDescent="0.35">
      <c r="X9880" s="40"/>
      <c r="Y9880" s="40"/>
    </row>
    <row r="9881" spans="24:25" x14ac:dyDescent="0.35">
      <c r="X9881" s="40"/>
      <c r="Y9881" s="40"/>
    </row>
    <row r="9882" spans="24:25" x14ac:dyDescent="0.35">
      <c r="X9882" s="40"/>
      <c r="Y9882" s="40"/>
    </row>
    <row r="9883" spans="24:25" x14ac:dyDescent="0.35">
      <c r="X9883" s="40"/>
      <c r="Y9883" s="40"/>
    </row>
    <row r="9884" spans="24:25" x14ac:dyDescent="0.35">
      <c r="X9884" s="40"/>
      <c r="Y9884" s="40"/>
    </row>
    <row r="9885" spans="24:25" x14ac:dyDescent="0.35">
      <c r="X9885" s="40"/>
      <c r="Y9885" s="40"/>
    </row>
    <row r="9886" spans="24:25" x14ac:dyDescent="0.35">
      <c r="X9886" s="40"/>
      <c r="Y9886" s="40"/>
    </row>
    <row r="9887" spans="24:25" x14ac:dyDescent="0.35">
      <c r="X9887" s="40"/>
      <c r="Y9887" s="40"/>
    </row>
    <row r="9888" spans="24:25" x14ac:dyDescent="0.35">
      <c r="X9888" s="40"/>
      <c r="Y9888" s="40"/>
    </row>
    <row r="9889" spans="24:25" x14ac:dyDescent="0.35">
      <c r="X9889" s="40"/>
      <c r="Y9889" s="40"/>
    </row>
    <row r="9890" spans="24:25" x14ac:dyDescent="0.35">
      <c r="X9890" s="40"/>
      <c r="Y9890" s="40"/>
    </row>
    <row r="9891" spans="24:25" x14ac:dyDescent="0.35">
      <c r="X9891" s="40"/>
      <c r="Y9891" s="40"/>
    </row>
    <row r="9892" spans="24:25" x14ac:dyDescent="0.35">
      <c r="X9892" s="40"/>
      <c r="Y9892" s="40"/>
    </row>
    <row r="9893" spans="24:25" x14ac:dyDescent="0.35">
      <c r="X9893" s="40"/>
      <c r="Y9893" s="40"/>
    </row>
    <row r="9894" spans="24:25" x14ac:dyDescent="0.35">
      <c r="X9894" s="40"/>
      <c r="Y9894" s="40"/>
    </row>
    <row r="9895" spans="24:25" x14ac:dyDescent="0.35">
      <c r="X9895" s="40"/>
      <c r="Y9895" s="40"/>
    </row>
    <row r="9896" spans="24:25" x14ac:dyDescent="0.35">
      <c r="X9896" s="40"/>
      <c r="Y9896" s="40"/>
    </row>
    <row r="9897" spans="24:25" x14ac:dyDescent="0.35">
      <c r="X9897" s="40"/>
      <c r="Y9897" s="40"/>
    </row>
    <row r="9898" spans="24:25" x14ac:dyDescent="0.35">
      <c r="X9898" s="40"/>
      <c r="Y9898" s="40"/>
    </row>
    <row r="9899" spans="24:25" x14ac:dyDescent="0.35">
      <c r="X9899" s="40"/>
      <c r="Y9899" s="40"/>
    </row>
    <row r="9900" spans="24:25" x14ac:dyDescent="0.35">
      <c r="X9900" s="40"/>
      <c r="Y9900" s="40"/>
    </row>
    <row r="9901" spans="24:25" x14ac:dyDescent="0.35">
      <c r="X9901" s="40"/>
      <c r="Y9901" s="40"/>
    </row>
    <row r="9902" spans="24:25" x14ac:dyDescent="0.35">
      <c r="X9902" s="40"/>
      <c r="Y9902" s="40"/>
    </row>
    <row r="9903" spans="24:25" x14ac:dyDescent="0.35">
      <c r="X9903" s="40"/>
      <c r="Y9903" s="40"/>
    </row>
    <row r="9904" spans="24:25" x14ac:dyDescent="0.35">
      <c r="X9904" s="40"/>
      <c r="Y9904" s="40"/>
    </row>
    <row r="9905" spans="24:25" x14ac:dyDescent="0.35">
      <c r="X9905" s="40"/>
      <c r="Y9905" s="40"/>
    </row>
    <row r="9906" spans="24:25" x14ac:dyDescent="0.35">
      <c r="X9906" s="40"/>
      <c r="Y9906" s="40"/>
    </row>
    <row r="9907" spans="24:25" x14ac:dyDescent="0.35">
      <c r="X9907" s="40"/>
      <c r="Y9907" s="40"/>
    </row>
    <row r="9908" spans="24:25" x14ac:dyDescent="0.35">
      <c r="X9908" s="40"/>
      <c r="Y9908" s="40"/>
    </row>
    <row r="9909" spans="24:25" x14ac:dyDescent="0.35">
      <c r="X9909" s="40"/>
      <c r="Y9909" s="40"/>
    </row>
    <row r="9910" spans="24:25" x14ac:dyDescent="0.35">
      <c r="X9910" s="40"/>
      <c r="Y9910" s="40"/>
    </row>
    <row r="9911" spans="24:25" x14ac:dyDescent="0.35">
      <c r="X9911" s="40"/>
      <c r="Y9911" s="40"/>
    </row>
    <row r="9912" spans="24:25" x14ac:dyDescent="0.35">
      <c r="X9912" s="40"/>
      <c r="Y9912" s="40"/>
    </row>
    <row r="9913" spans="24:25" x14ac:dyDescent="0.35">
      <c r="X9913" s="40"/>
      <c r="Y9913" s="40"/>
    </row>
    <row r="9914" spans="24:25" x14ac:dyDescent="0.35">
      <c r="X9914" s="40"/>
      <c r="Y9914" s="40"/>
    </row>
    <row r="9915" spans="24:25" x14ac:dyDescent="0.35">
      <c r="X9915" s="40"/>
      <c r="Y9915" s="40"/>
    </row>
    <row r="9916" spans="24:25" x14ac:dyDescent="0.35">
      <c r="X9916" s="40"/>
      <c r="Y9916" s="40"/>
    </row>
    <row r="9917" spans="24:25" x14ac:dyDescent="0.35">
      <c r="X9917" s="40"/>
      <c r="Y9917" s="40"/>
    </row>
    <row r="9918" spans="24:25" x14ac:dyDescent="0.35">
      <c r="X9918" s="40"/>
      <c r="Y9918" s="40"/>
    </row>
    <row r="9919" spans="24:25" x14ac:dyDescent="0.35">
      <c r="X9919" s="40"/>
      <c r="Y9919" s="40"/>
    </row>
    <row r="9920" spans="24:25" x14ac:dyDescent="0.35">
      <c r="X9920" s="40"/>
      <c r="Y9920" s="40"/>
    </row>
    <row r="9921" spans="24:25" x14ac:dyDescent="0.35">
      <c r="X9921" s="40"/>
      <c r="Y9921" s="40"/>
    </row>
    <row r="9922" spans="24:25" x14ac:dyDescent="0.35">
      <c r="X9922" s="40"/>
      <c r="Y9922" s="40"/>
    </row>
    <row r="9923" spans="24:25" x14ac:dyDescent="0.35">
      <c r="X9923" s="40"/>
      <c r="Y9923" s="40"/>
    </row>
    <row r="9924" spans="24:25" x14ac:dyDescent="0.35">
      <c r="X9924" s="40"/>
      <c r="Y9924" s="40"/>
    </row>
    <row r="9925" spans="24:25" x14ac:dyDescent="0.35">
      <c r="X9925" s="40"/>
      <c r="Y9925" s="40"/>
    </row>
    <row r="9926" spans="24:25" x14ac:dyDescent="0.35">
      <c r="X9926" s="40"/>
      <c r="Y9926" s="40"/>
    </row>
    <row r="9927" spans="24:25" x14ac:dyDescent="0.35">
      <c r="X9927" s="40"/>
      <c r="Y9927" s="40"/>
    </row>
    <row r="9928" spans="24:25" x14ac:dyDescent="0.35">
      <c r="X9928" s="40"/>
      <c r="Y9928" s="40"/>
    </row>
    <row r="9929" spans="24:25" x14ac:dyDescent="0.35">
      <c r="X9929" s="40"/>
      <c r="Y9929" s="40"/>
    </row>
    <row r="9930" spans="24:25" x14ac:dyDescent="0.35">
      <c r="X9930" s="40"/>
      <c r="Y9930" s="40"/>
    </row>
    <row r="9931" spans="24:25" x14ac:dyDescent="0.35">
      <c r="X9931" s="40"/>
      <c r="Y9931" s="40"/>
    </row>
    <row r="9932" spans="24:25" x14ac:dyDescent="0.35">
      <c r="X9932" s="40"/>
      <c r="Y9932" s="40"/>
    </row>
    <row r="9933" spans="24:25" x14ac:dyDescent="0.35">
      <c r="X9933" s="40"/>
      <c r="Y9933" s="40"/>
    </row>
    <row r="9934" spans="24:25" x14ac:dyDescent="0.35">
      <c r="X9934" s="40"/>
      <c r="Y9934" s="40"/>
    </row>
    <row r="9935" spans="24:25" x14ac:dyDescent="0.35">
      <c r="X9935" s="40"/>
      <c r="Y9935" s="40"/>
    </row>
    <row r="9936" spans="24:25" x14ac:dyDescent="0.35">
      <c r="X9936" s="40"/>
      <c r="Y9936" s="40"/>
    </row>
    <row r="9937" spans="24:25" x14ac:dyDescent="0.35">
      <c r="X9937" s="40"/>
      <c r="Y9937" s="40"/>
    </row>
    <row r="9938" spans="24:25" x14ac:dyDescent="0.35">
      <c r="X9938" s="40"/>
      <c r="Y9938" s="40"/>
    </row>
    <row r="9939" spans="24:25" x14ac:dyDescent="0.35">
      <c r="X9939" s="40"/>
      <c r="Y9939" s="40"/>
    </row>
    <row r="9940" spans="24:25" x14ac:dyDescent="0.35">
      <c r="X9940" s="40"/>
      <c r="Y9940" s="40"/>
    </row>
    <row r="9941" spans="24:25" x14ac:dyDescent="0.35">
      <c r="X9941" s="40"/>
      <c r="Y9941" s="40"/>
    </row>
    <row r="9942" spans="24:25" x14ac:dyDescent="0.35">
      <c r="X9942" s="40"/>
      <c r="Y9942" s="40"/>
    </row>
    <row r="9943" spans="24:25" x14ac:dyDescent="0.35">
      <c r="X9943" s="40"/>
      <c r="Y9943" s="40"/>
    </row>
    <row r="9944" spans="24:25" x14ac:dyDescent="0.35">
      <c r="X9944" s="40"/>
      <c r="Y9944" s="40"/>
    </row>
    <row r="9945" spans="24:25" x14ac:dyDescent="0.35">
      <c r="X9945" s="40"/>
      <c r="Y9945" s="40"/>
    </row>
    <row r="9946" spans="24:25" x14ac:dyDescent="0.35">
      <c r="X9946" s="40"/>
      <c r="Y9946" s="40"/>
    </row>
    <row r="9947" spans="24:25" x14ac:dyDescent="0.35">
      <c r="X9947" s="40"/>
      <c r="Y9947" s="40"/>
    </row>
    <row r="9948" spans="24:25" x14ac:dyDescent="0.35">
      <c r="X9948" s="40"/>
      <c r="Y9948" s="40"/>
    </row>
    <row r="9949" spans="24:25" x14ac:dyDescent="0.35">
      <c r="X9949" s="40"/>
      <c r="Y9949" s="40"/>
    </row>
    <row r="9950" spans="24:25" x14ac:dyDescent="0.35">
      <c r="X9950" s="40"/>
      <c r="Y9950" s="40"/>
    </row>
    <row r="9951" spans="24:25" x14ac:dyDescent="0.35">
      <c r="X9951" s="40"/>
      <c r="Y9951" s="40"/>
    </row>
    <row r="9952" spans="24:25" x14ac:dyDescent="0.35">
      <c r="X9952" s="40"/>
      <c r="Y9952" s="40"/>
    </row>
    <row r="9953" spans="24:25" x14ac:dyDescent="0.35">
      <c r="X9953" s="40"/>
      <c r="Y9953" s="40"/>
    </row>
    <row r="9954" spans="24:25" x14ac:dyDescent="0.35">
      <c r="X9954" s="40"/>
      <c r="Y9954" s="40"/>
    </row>
    <row r="9955" spans="24:25" x14ac:dyDescent="0.35">
      <c r="X9955" s="40"/>
      <c r="Y9955" s="40"/>
    </row>
    <row r="9956" spans="24:25" x14ac:dyDescent="0.35">
      <c r="X9956" s="40"/>
      <c r="Y9956" s="40"/>
    </row>
    <row r="9957" spans="24:25" x14ac:dyDescent="0.35">
      <c r="X9957" s="40"/>
      <c r="Y9957" s="40"/>
    </row>
    <row r="9958" spans="24:25" x14ac:dyDescent="0.35">
      <c r="X9958" s="40"/>
      <c r="Y9958" s="40"/>
    </row>
    <row r="9959" spans="24:25" x14ac:dyDescent="0.35">
      <c r="X9959" s="40"/>
      <c r="Y9959" s="40"/>
    </row>
    <row r="9960" spans="24:25" x14ac:dyDescent="0.35">
      <c r="X9960" s="40"/>
      <c r="Y9960" s="40"/>
    </row>
    <row r="9961" spans="24:25" x14ac:dyDescent="0.35">
      <c r="X9961" s="40"/>
      <c r="Y9961" s="40"/>
    </row>
    <row r="9962" spans="24:25" x14ac:dyDescent="0.35">
      <c r="X9962" s="40"/>
      <c r="Y9962" s="40"/>
    </row>
    <row r="9963" spans="24:25" x14ac:dyDescent="0.35">
      <c r="X9963" s="40"/>
      <c r="Y9963" s="40"/>
    </row>
    <row r="9964" spans="24:25" x14ac:dyDescent="0.35">
      <c r="X9964" s="40"/>
      <c r="Y9964" s="40"/>
    </row>
    <row r="9965" spans="24:25" x14ac:dyDescent="0.35">
      <c r="X9965" s="40"/>
      <c r="Y9965" s="40"/>
    </row>
    <row r="9966" spans="24:25" x14ac:dyDescent="0.35">
      <c r="X9966" s="40"/>
      <c r="Y9966" s="40"/>
    </row>
    <row r="9967" spans="24:25" x14ac:dyDescent="0.35">
      <c r="X9967" s="40"/>
      <c r="Y9967" s="40"/>
    </row>
    <row r="9968" spans="24:25" x14ac:dyDescent="0.35">
      <c r="X9968" s="40"/>
      <c r="Y9968" s="40"/>
    </row>
    <row r="9969" spans="24:25" x14ac:dyDescent="0.35">
      <c r="X9969" s="40"/>
      <c r="Y9969" s="40"/>
    </row>
    <row r="9970" spans="24:25" x14ac:dyDescent="0.35">
      <c r="X9970" s="40"/>
      <c r="Y9970" s="40"/>
    </row>
    <row r="9971" spans="24:25" x14ac:dyDescent="0.35">
      <c r="X9971" s="40"/>
      <c r="Y9971" s="40"/>
    </row>
    <row r="9972" spans="24:25" x14ac:dyDescent="0.35">
      <c r="X9972" s="40"/>
      <c r="Y9972" s="40"/>
    </row>
    <row r="9973" spans="24:25" x14ac:dyDescent="0.35">
      <c r="X9973" s="40"/>
      <c r="Y9973" s="40"/>
    </row>
    <row r="9974" spans="24:25" x14ac:dyDescent="0.35">
      <c r="X9974" s="40"/>
      <c r="Y9974" s="40"/>
    </row>
    <row r="9975" spans="24:25" x14ac:dyDescent="0.35">
      <c r="X9975" s="40"/>
      <c r="Y9975" s="40"/>
    </row>
    <row r="9976" spans="24:25" x14ac:dyDescent="0.35">
      <c r="X9976" s="40"/>
      <c r="Y9976" s="40"/>
    </row>
    <row r="9977" spans="24:25" x14ac:dyDescent="0.35">
      <c r="X9977" s="40"/>
      <c r="Y9977" s="40"/>
    </row>
    <row r="9978" spans="24:25" x14ac:dyDescent="0.35">
      <c r="X9978" s="40"/>
      <c r="Y9978" s="40"/>
    </row>
    <row r="9979" spans="24:25" x14ac:dyDescent="0.35">
      <c r="X9979" s="40"/>
      <c r="Y9979" s="40"/>
    </row>
    <row r="9980" spans="24:25" x14ac:dyDescent="0.35">
      <c r="X9980" s="40"/>
      <c r="Y9980" s="40"/>
    </row>
    <row r="9981" spans="24:25" x14ac:dyDescent="0.35">
      <c r="X9981" s="40"/>
      <c r="Y9981" s="40"/>
    </row>
    <row r="9982" spans="24:25" x14ac:dyDescent="0.35">
      <c r="X9982" s="40"/>
      <c r="Y9982" s="40"/>
    </row>
    <row r="9983" spans="24:25" x14ac:dyDescent="0.35">
      <c r="X9983" s="40"/>
      <c r="Y9983" s="40"/>
    </row>
    <row r="9984" spans="24:25" x14ac:dyDescent="0.35">
      <c r="X9984" s="40"/>
      <c r="Y9984" s="40"/>
    </row>
    <row r="9985" spans="24:25" x14ac:dyDescent="0.35">
      <c r="X9985" s="40"/>
      <c r="Y9985" s="40"/>
    </row>
    <row r="9986" spans="24:25" x14ac:dyDescent="0.35">
      <c r="X9986" s="40"/>
      <c r="Y9986" s="40"/>
    </row>
    <row r="9987" spans="24:25" x14ac:dyDescent="0.35">
      <c r="X9987" s="40"/>
      <c r="Y9987" s="40"/>
    </row>
    <row r="9988" spans="24:25" x14ac:dyDescent="0.35">
      <c r="X9988" s="40"/>
      <c r="Y9988" s="40"/>
    </row>
    <row r="9989" spans="24:25" x14ac:dyDescent="0.35">
      <c r="X9989" s="40"/>
      <c r="Y9989" s="40"/>
    </row>
    <row r="9990" spans="24:25" x14ac:dyDescent="0.35">
      <c r="X9990" s="40"/>
      <c r="Y9990" s="40"/>
    </row>
    <row r="9991" spans="24:25" x14ac:dyDescent="0.35">
      <c r="X9991" s="40"/>
      <c r="Y9991" s="40"/>
    </row>
    <row r="9992" spans="24:25" x14ac:dyDescent="0.35">
      <c r="X9992" s="40"/>
      <c r="Y9992" s="40"/>
    </row>
    <row r="9993" spans="24:25" x14ac:dyDescent="0.35">
      <c r="X9993" s="40"/>
      <c r="Y9993" s="40"/>
    </row>
    <row r="9994" spans="24:25" x14ac:dyDescent="0.35">
      <c r="X9994" s="40"/>
      <c r="Y9994" s="40"/>
    </row>
    <row r="9995" spans="24:25" x14ac:dyDescent="0.35">
      <c r="X9995" s="40"/>
      <c r="Y9995" s="40"/>
    </row>
    <row r="9996" spans="24:25" x14ac:dyDescent="0.35">
      <c r="X9996" s="40"/>
      <c r="Y9996" s="40"/>
    </row>
    <row r="9997" spans="24:25" x14ac:dyDescent="0.35">
      <c r="X9997" s="40"/>
      <c r="Y9997" s="40"/>
    </row>
    <row r="9998" spans="24:25" x14ac:dyDescent="0.35">
      <c r="X9998" s="40"/>
      <c r="Y9998" s="40"/>
    </row>
    <row r="9999" spans="24:25" x14ac:dyDescent="0.35">
      <c r="X9999" s="40"/>
      <c r="Y9999" s="40"/>
    </row>
    <row r="10000" spans="24:25" x14ac:dyDescent="0.35">
      <c r="X10000" s="40"/>
      <c r="Y10000" s="40"/>
    </row>
    <row r="10001" spans="24:25" x14ac:dyDescent="0.35">
      <c r="X10001" s="40"/>
      <c r="Y10001" s="40"/>
    </row>
    <row r="10002" spans="24:25" x14ac:dyDescent="0.35">
      <c r="X10002" s="40"/>
      <c r="Y10002" s="40"/>
    </row>
    <row r="10003" spans="24:25" x14ac:dyDescent="0.35">
      <c r="X10003" s="40"/>
      <c r="Y10003" s="40"/>
    </row>
    <row r="10004" spans="24:25" x14ac:dyDescent="0.35">
      <c r="X10004" s="40"/>
      <c r="Y10004" s="40"/>
    </row>
    <row r="10005" spans="24:25" x14ac:dyDescent="0.35">
      <c r="X10005" s="40"/>
      <c r="Y10005" s="40"/>
    </row>
    <row r="10006" spans="24:25" x14ac:dyDescent="0.35">
      <c r="X10006" s="40"/>
      <c r="Y10006" s="40"/>
    </row>
    <row r="10007" spans="24:25" x14ac:dyDescent="0.35">
      <c r="X10007" s="40"/>
      <c r="Y10007" s="40"/>
    </row>
    <row r="10008" spans="24:25" x14ac:dyDescent="0.35">
      <c r="X10008" s="40"/>
      <c r="Y10008" s="40"/>
    </row>
    <row r="10009" spans="24:25" x14ac:dyDescent="0.35">
      <c r="X10009" s="40"/>
      <c r="Y10009" s="40"/>
    </row>
    <row r="10010" spans="24:25" x14ac:dyDescent="0.35">
      <c r="X10010" s="40"/>
      <c r="Y10010" s="40"/>
    </row>
    <row r="10011" spans="24:25" x14ac:dyDescent="0.35">
      <c r="X10011" s="40"/>
      <c r="Y10011" s="40"/>
    </row>
    <row r="10012" spans="24:25" x14ac:dyDescent="0.35">
      <c r="X10012" s="40"/>
      <c r="Y10012" s="40"/>
    </row>
    <row r="10013" spans="24:25" x14ac:dyDescent="0.35">
      <c r="X10013" s="40"/>
      <c r="Y10013" s="40"/>
    </row>
    <row r="10014" spans="24:25" x14ac:dyDescent="0.35">
      <c r="X10014" s="40"/>
      <c r="Y10014" s="40"/>
    </row>
    <row r="10015" spans="24:25" x14ac:dyDescent="0.35">
      <c r="X10015" s="40"/>
      <c r="Y10015" s="40"/>
    </row>
    <row r="10016" spans="24:25" x14ac:dyDescent="0.35">
      <c r="X10016" s="40"/>
      <c r="Y10016" s="40"/>
    </row>
    <row r="10017" spans="24:25" x14ac:dyDescent="0.35">
      <c r="X10017" s="40"/>
      <c r="Y10017" s="40"/>
    </row>
    <row r="10018" spans="24:25" x14ac:dyDescent="0.35">
      <c r="X10018" s="40"/>
      <c r="Y10018" s="40"/>
    </row>
    <row r="10019" spans="24:25" x14ac:dyDescent="0.35">
      <c r="X10019" s="40"/>
      <c r="Y10019" s="40"/>
    </row>
    <row r="10020" spans="24:25" x14ac:dyDescent="0.35">
      <c r="X10020" s="40"/>
      <c r="Y10020" s="40"/>
    </row>
    <row r="10021" spans="24:25" x14ac:dyDescent="0.35">
      <c r="X10021" s="40"/>
      <c r="Y10021" s="40"/>
    </row>
    <row r="10022" spans="24:25" x14ac:dyDescent="0.35">
      <c r="X10022" s="40"/>
      <c r="Y10022" s="40"/>
    </row>
    <row r="10023" spans="24:25" x14ac:dyDescent="0.35">
      <c r="X10023" s="40"/>
      <c r="Y10023" s="40"/>
    </row>
    <row r="10024" spans="24:25" x14ac:dyDescent="0.35">
      <c r="X10024" s="40"/>
      <c r="Y10024" s="40"/>
    </row>
    <row r="10025" spans="24:25" x14ac:dyDescent="0.35">
      <c r="X10025" s="40"/>
      <c r="Y10025" s="40"/>
    </row>
    <row r="10026" spans="24:25" x14ac:dyDescent="0.35">
      <c r="X10026" s="40"/>
      <c r="Y10026" s="40"/>
    </row>
    <row r="10027" spans="24:25" x14ac:dyDescent="0.35">
      <c r="X10027" s="40"/>
      <c r="Y10027" s="40"/>
    </row>
    <row r="10028" spans="24:25" x14ac:dyDescent="0.35">
      <c r="X10028" s="40"/>
      <c r="Y10028" s="40"/>
    </row>
    <row r="10029" spans="24:25" x14ac:dyDescent="0.35">
      <c r="X10029" s="40"/>
      <c r="Y10029" s="40"/>
    </row>
    <row r="10030" spans="24:25" x14ac:dyDescent="0.35">
      <c r="X10030" s="40"/>
      <c r="Y10030" s="40"/>
    </row>
    <row r="10031" spans="24:25" x14ac:dyDescent="0.35">
      <c r="X10031" s="40"/>
      <c r="Y10031" s="40"/>
    </row>
    <row r="10032" spans="24:25" x14ac:dyDescent="0.35">
      <c r="X10032" s="40"/>
      <c r="Y10032" s="40"/>
    </row>
    <row r="10033" spans="24:25" x14ac:dyDescent="0.35">
      <c r="X10033" s="40"/>
      <c r="Y10033" s="40"/>
    </row>
    <row r="10034" spans="24:25" x14ac:dyDescent="0.35">
      <c r="X10034" s="40"/>
      <c r="Y10034" s="40"/>
    </row>
    <row r="10035" spans="24:25" x14ac:dyDescent="0.35">
      <c r="X10035" s="40"/>
      <c r="Y10035" s="40"/>
    </row>
    <row r="10036" spans="24:25" x14ac:dyDescent="0.35">
      <c r="X10036" s="40"/>
      <c r="Y10036" s="40"/>
    </row>
    <row r="10037" spans="24:25" x14ac:dyDescent="0.35">
      <c r="X10037" s="40"/>
      <c r="Y10037" s="40"/>
    </row>
    <row r="10038" spans="24:25" x14ac:dyDescent="0.35">
      <c r="X10038" s="40"/>
      <c r="Y10038" s="40"/>
    </row>
    <row r="10039" spans="24:25" x14ac:dyDescent="0.35">
      <c r="X10039" s="40"/>
      <c r="Y10039" s="40"/>
    </row>
    <row r="10040" spans="24:25" x14ac:dyDescent="0.35">
      <c r="X10040" s="40"/>
      <c r="Y10040" s="40"/>
    </row>
    <row r="10041" spans="24:25" x14ac:dyDescent="0.35">
      <c r="X10041" s="40"/>
      <c r="Y10041" s="40"/>
    </row>
    <row r="10042" spans="24:25" x14ac:dyDescent="0.35">
      <c r="X10042" s="40"/>
      <c r="Y10042" s="40"/>
    </row>
    <row r="10043" spans="24:25" x14ac:dyDescent="0.35">
      <c r="X10043" s="40"/>
      <c r="Y10043" s="40"/>
    </row>
    <row r="10044" spans="24:25" x14ac:dyDescent="0.35">
      <c r="X10044" s="40"/>
      <c r="Y10044" s="40"/>
    </row>
    <row r="10045" spans="24:25" x14ac:dyDescent="0.35">
      <c r="X10045" s="40"/>
      <c r="Y10045" s="40"/>
    </row>
    <row r="10046" spans="24:25" x14ac:dyDescent="0.35">
      <c r="X10046" s="40"/>
      <c r="Y10046" s="40"/>
    </row>
    <row r="10047" spans="24:25" x14ac:dyDescent="0.35">
      <c r="X10047" s="40"/>
      <c r="Y10047" s="40"/>
    </row>
    <row r="10048" spans="24:25" x14ac:dyDescent="0.35">
      <c r="X10048" s="40"/>
      <c r="Y10048" s="40"/>
    </row>
    <row r="10049" spans="24:25" x14ac:dyDescent="0.35">
      <c r="X10049" s="40"/>
      <c r="Y10049" s="40"/>
    </row>
    <row r="10050" spans="24:25" x14ac:dyDescent="0.35">
      <c r="X10050" s="40"/>
      <c r="Y10050" s="40"/>
    </row>
    <row r="10051" spans="24:25" x14ac:dyDescent="0.35">
      <c r="X10051" s="40"/>
      <c r="Y10051" s="40"/>
    </row>
    <row r="10052" spans="24:25" x14ac:dyDescent="0.35">
      <c r="X10052" s="40"/>
      <c r="Y10052" s="40"/>
    </row>
    <row r="10053" spans="24:25" x14ac:dyDescent="0.35">
      <c r="X10053" s="40"/>
      <c r="Y10053" s="40"/>
    </row>
    <row r="10054" spans="24:25" x14ac:dyDescent="0.35">
      <c r="X10054" s="40"/>
      <c r="Y10054" s="40"/>
    </row>
    <row r="10055" spans="24:25" x14ac:dyDescent="0.35">
      <c r="X10055" s="40"/>
      <c r="Y10055" s="40"/>
    </row>
    <row r="10056" spans="24:25" x14ac:dyDescent="0.35">
      <c r="X10056" s="40"/>
      <c r="Y10056" s="40"/>
    </row>
    <row r="10057" spans="24:25" x14ac:dyDescent="0.35">
      <c r="X10057" s="40"/>
      <c r="Y10057" s="40"/>
    </row>
    <row r="10058" spans="24:25" x14ac:dyDescent="0.35">
      <c r="X10058" s="40"/>
      <c r="Y10058" s="40"/>
    </row>
    <row r="10059" spans="24:25" x14ac:dyDescent="0.35">
      <c r="X10059" s="40"/>
      <c r="Y10059" s="40"/>
    </row>
    <row r="10060" spans="24:25" x14ac:dyDescent="0.35">
      <c r="X10060" s="40"/>
      <c r="Y10060" s="40"/>
    </row>
    <row r="10061" spans="24:25" x14ac:dyDescent="0.35">
      <c r="X10061" s="40"/>
      <c r="Y10061" s="40"/>
    </row>
    <row r="10062" spans="24:25" x14ac:dyDescent="0.35">
      <c r="X10062" s="40"/>
      <c r="Y10062" s="40"/>
    </row>
    <row r="10063" spans="24:25" x14ac:dyDescent="0.35">
      <c r="X10063" s="40"/>
      <c r="Y10063" s="40"/>
    </row>
    <row r="10064" spans="24:25" x14ac:dyDescent="0.35">
      <c r="X10064" s="40"/>
      <c r="Y10064" s="40"/>
    </row>
    <row r="10065" spans="24:25" x14ac:dyDescent="0.35">
      <c r="X10065" s="40"/>
      <c r="Y10065" s="40"/>
    </row>
    <row r="10066" spans="24:25" x14ac:dyDescent="0.35">
      <c r="X10066" s="40"/>
      <c r="Y10066" s="40"/>
    </row>
    <row r="10067" spans="24:25" x14ac:dyDescent="0.35">
      <c r="X10067" s="40"/>
      <c r="Y10067" s="40"/>
    </row>
    <row r="10068" spans="24:25" x14ac:dyDescent="0.35">
      <c r="X10068" s="40"/>
      <c r="Y10068" s="40"/>
    </row>
    <row r="10069" spans="24:25" x14ac:dyDescent="0.35">
      <c r="X10069" s="40"/>
      <c r="Y10069" s="40"/>
    </row>
    <row r="10070" spans="24:25" x14ac:dyDescent="0.35">
      <c r="X10070" s="40"/>
      <c r="Y10070" s="40"/>
    </row>
    <row r="10071" spans="24:25" x14ac:dyDescent="0.35">
      <c r="X10071" s="40"/>
      <c r="Y10071" s="40"/>
    </row>
    <row r="10072" spans="24:25" x14ac:dyDescent="0.35">
      <c r="X10072" s="40"/>
      <c r="Y10072" s="40"/>
    </row>
    <row r="10073" spans="24:25" x14ac:dyDescent="0.35">
      <c r="X10073" s="40"/>
      <c r="Y10073" s="40"/>
    </row>
    <row r="10074" spans="24:25" x14ac:dyDescent="0.35">
      <c r="X10074" s="40"/>
      <c r="Y10074" s="40"/>
    </row>
    <row r="10075" spans="24:25" x14ac:dyDescent="0.35">
      <c r="X10075" s="40"/>
      <c r="Y10075" s="40"/>
    </row>
    <row r="10076" spans="24:25" x14ac:dyDescent="0.35">
      <c r="X10076" s="40"/>
      <c r="Y10076" s="40"/>
    </row>
    <row r="10077" spans="24:25" x14ac:dyDescent="0.35">
      <c r="X10077" s="40"/>
      <c r="Y10077" s="40"/>
    </row>
    <row r="10078" spans="24:25" x14ac:dyDescent="0.35">
      <c r="X10078" s="40"/>
      <c r="Y10078" s="40"/>
    </row>
    <row r="10079" spans="24:25" x14ac:dyDescent="0.35">
      <c r="X10079" s="40"/>
      <c r="Y10079" s="40"/>
    </row>
    <row r="10080" spans="24:25" x14ac:dyDescent="0.35">
      <c r="X10080" s="40"/>
      <c r="Y10080" s="40"/>
    </row>
    <row r="10081" spans="24:25" x14ac:dyDescent="0.35">
      <c r="X10081" s="40"/>
      <c r="Y10081" s="40"/>
    </row>
    <row r="10082" spans="24:25" x14ac:dyDescent="0.35">
      <c r="X10082" s="40"/>
      <c r="Y10082" s="40"/>
    </row>
    <row r="10083" spans="24:25" x14ac:dyDescent="0.35">
      <c r="X10083" s="40"/>
      <c r="Y10083" s="40"/>
    </row>
    <row r="10084" spans="24:25" x14ac:dyDescent="0.35">
      <c r="X10084" s="40"/>
      <c r="Y10084" s="40"/>
    </row>
    <row r="10085" spans="24:25" x14ac:dyDescent="0.35">
      <c r="X10085" s="40"/>
      <c r="Y10085" s="40"/>
    </row>
    <row r="10086" spans="24:25" x14ac:dyDescent="0.35">
      <c r="X10086" s="40"/>
      <c r="Y10086" s="40"/>
    </row>
    <row r="10087" spans="24:25" x14ac:dyDescent="0.35">
      <c r="X10087" s="40"/>
      <c r="Y10087" s="40"/>
    </row>
    <row r="10088" spans="24:25" x14ac:dyDescent="0.35">
      <c r="X10088" s="40"/>
      <c r="Y10088" s="40"/>
    </row>
    <row r="10089" spans="24:25" x14ac:dyDescent="0.35">
      <c r="X10089" s="40"/>
      <c r="Y10089" s="40"/>
    </row>
    <row r="10090" spans="24:25" x14ac:dyDescent="0.35">
      <c r="X10090" s="40"/>
      <c r="Y10090" s="40"/>
    </row>
    <row r="10091" spans="24:25" x14ac:dyDescent="0.35">
      <c r="X10091" s="40"/>
      <c r="Y10091" s="40"/>
    </row>
    <row r="10092" spans="24:25" x14ac:dyDescent="0.35">
      <c r="X10092" s="40"/>
      <c r="Y10092" s="40"/>
    </row>
    <row r="10093" spans="24:25" x14ac:dyDescent="0.35">
      <c r="X10093" s="40"/>
      <c r="Y10093" s="40"/>
    </row>
    <row r="10094" spans="24:25" x14ac:dyDescent="0.35">
      <c r="X10094" s="40"/>
      <c r="Y10094" s="40"/>
    </row>
    <row r="10095" spans="24:25" x14ac:dyDescent="0.35">
      <c r="X10095" s="40"/>
      <c r="Y10095" s="40"/>
    </row>
    <row r="10096" spans="24:25" x14ac:dyDescent="0.35">
      <c r="X10096" s="40"/>
      <c r="Y10096" s="40"/>
    </row>
    <row r="10097" spans="24:25" x14ac:dyDescent="0.35">
      <c r="X10097" s="40"/>
      <c r="Y10097" s="40"/>
    </row>
    <row r="10098" spans="24:25" x14ac:dyDescent="0.35">
      <c r="X10098" s="40"/>
      <c r="Y10098" s="40"/>
    </row>
    <row r="10099" spans="24:25" x14ac:dyDescent="0.35">
      <c r="X10099" s="40"/>
      <c r="Y10099" s="40"/>
    </row>
    <row r="10100" spans="24:25" x14ac:dyDescent="0.35">
      <c r="X10100" s="40"/>
      <c r="Y10100" s="40"/>
    </row>
    <row r="10101" spans="24:25" x14ac:dyDescent="0.35">
      <c r="X10101" s="40"/>
      <c r="Y10101" s="40"/>
    </row>
    <row r="10102" spans="24:25" x14ac:dyDescent="0.35">
      <c r="X10102" s="40"/>
      <c r="Y10102" s="40"/>
    </row>
    <row r="10103" spans="24:25" x14ac:dyDescent="0.35">
      <c r="X10103" s="40"/>
      <c r="Y10103" s="40"/>
    </row>
    <row r="10104" spans="24:25" x14ac:dyDescent="0.35">
      <c r="X10104" s="40"/>
      <c r="Y10104" s="40"/>
    </row>
    <row r="10105" spans="24:25" x14ac:dyDescent="0.35">
      <c r="X10105" s="40"/>
      <c r="Y10105" s="40"/>
    </row>
    <row r="10106" spans="24:25" x14ac:dyDescent="0.35">
      <c r="X10106" s="40"/>
      <c r="Y10106" s="40"/>
    </row>
    <row r="10107" spans="24:25" x14ac:dyDescent="0.35">
      <c r="X10107" s="40"/>
      <c r="Y10107" s="40"/>
    </row>
    <row r="10108" spans="24:25" x14ac:dyDescent="0.35">
      <c r="X10108" s="40"/>
      <c r="Y10108" s="40"/>
    </row>
    <row r="10109" spans="24:25" x14ac:dyDescent="0.35">
      <c r="X10109" s="40"/>
      <c r="Y10109" s="40"/>
    </row>
    <row r="10110" spans="24:25" x14ac:dyDescent="0.35">
      <c r="X10110" s="40"/>
      <c r="Y10110" s="40"/>
    </row>
    <row r="10111" spans="24:25" x14ac:dyDescent="0.35">
      <c r="X10111" s="40"/>
      <c r="Y10111" s="40"/>
    </row>
    <row r="10112" spans="24:25" x14ac:dyDescent="0.35">
      <c r="X10112" s="40"/>
      <c r="Y10112" s="40"/>
    </row>
    <row r="10113" spans="24:25" x14ac:dyDescent="0.35">
      <c r="X10113" s="40"/>
      <c r="Y10113" s="40"/>
    </row>
    <row r="10114" spans="24:25" x14ac:dyDescent="0.35">
      <c r="X10114" s="40"/>
      <c r="Y10114" s="40"/>
    </row>
    <row r="10115" spans="24:25" x14ac:dyDescent="0.35">
      <c r="X10115" s="40"/>
      <c r="Y10115" s="40"/>
    </row>
    <row r="10116" spans="24:25" x14ac:dyDescent="0.35">
      <c r="X10116" s="40"/>
      <c r="Y10116" s="40"/>
    </row>
    <row r="10117" spans="24:25" x14ac:dyDescent="0.35">
      <c r="X10117" s="40"/>
      <c r="Y10117" s="40"/>
    </row>
    <row r="10118" spans="24:25" x14ac:dyDescent="0.35">
      <c r="X10118" s="40"/>
      <c r="Y10118" s="40"/>
    </row>
    <row r="10119" spans="24:25" x14ac:dyDescent="0.35">
      <c r="X10119" s="40"/>
      <c r="Y10119" s="40"/>
    </row>
    <row r="10120" spans="24:25" x14ac:dyDescent="0.35">
      <c r="X10120" s="40"/>
      <c r="Y10120" s="40"/>
    </row>
    <row r="10121" spans="24:25" x14ac:dyDescent="0.35">
      <c r="X10121" s="40"/>
      <c r="Y10121" s="40"/>
    </row>
    <row r="10122" spans="24:25" x14ac:dyDescent="0.35">
      <c r="X10122" s="40"/>
      <c r="Y10122" s="40"/>
    </row>
    <row r="10123" spans="24:25" x14ac:dyDescent="0.35">
      <c r="X10123" s="40"/>
      <c r="Y10123" s="40"/>
    </row>
    <row r="10124" spans="24:25" x14ac:dyDescent="0.35">
      <c r="X10124" s="40"/>
      <c r="Y10124" s="40"/>
    </row>
    <row r="10125" spans="24:25" x14ac:dyDescent="0.35">
      <c r="X10125" s="40"/>
      <c r="Y10125" s="40"/>
    </row>
    <row r="10126" spans="24:25" x14ac:dyDescent="0.35">
      <c r="X10126" s="40"/>
      <c r="Y10126" s="40"/>
    </row>
    <row r="10127" spans="24:25" x14ac:dyDescent="0.35">
      <c r="X10127" s="40"/>
      <c r="Y10127" s="40"/>
    </row>
    <row r="10128" spans="24:25" x14ac:dyDescent="0.35">
      <c r="X10128" s="40"/>
      <c r="Y10128" s="40"/>
    </row>
    <row r="10129" spans="24:25" x14ac:dyDescent="0.35">
      <c r="X10129" s="40"/>
      <c r="Y10129" s="40"/>
    </row>
    <row r="10130" spans="24:25" x14ac:dyDescent="0.35">
      <c r="X10130" s="40"/>
      <c r="Y10130" s="40"/>
    </row>
    <row r="10131" spans="24:25" x14ac:dyDescent="0.35">
      <c r="X10131" s="40"/>
      <c r="Y10131" s="40"/>
    </row>
    <row r="10132" spans="24:25" x14ac:dyDescent="0.35">
      <c r="X10132" s="40"/>
      <c r="Y10132" s="40"/>
    </row>
    <row r="10133" spans="24:25" x14ac:dyDescent="0.35">
      <c r="X10133" s="40"/>
      <c r="Y10133" s="40"/>
    </row>
    <row r="10134" spans="24:25" x14ac:dyDescent="0.35">
      <c r="X10134" s="40"/>
      <c r="Y10134" s="40"/>
    </row>
    <row r="10135" spans="24:25" x14ac:dyDescent="0.35">
      <c r="X10135" s="40"/>
      <c r="Y10135" s="40"/>
    </row>
    <row r="10136" spans="24:25" x14ac:dyDescent="0.35">
      <c r="X10136" s="40"/>
      <c r="Y10136" s="40"/>
    </row>
    <row r="10137" spans="24:25" x14ac:dyDescent="0.35">
      <c r="X10137" s="40"/>
      <c r="Y10137" s="40"/>
    </row>
    <row r="10138" spans="24:25" x14ac:dyDescent="0.35">
      <c r="X10138" s="40"/>
      <c r="Y10138" s="40"/>
    </row>
    <row r="10139" spans="24:25" x14ac:dyDescent="0.35">
      <c r="X10139" s="40"/>
      <c r="Y10139" s="40"/>
    </row>
    <row r="10140" spans="24:25" x14ac:dyDescent="0.35">
      <c r="X10140" s="40"/>
      <c r="Y10140" s="40"/>
    </row>
    <row r="10141" spans="24:25" x14ac:dyDescent="0.35">
      <c r="X10141" s="40"/>
      <c r="Y10141" s="40"/>
    </row>
    <row r="10142" spans="24:25" x14ac:dyDescent="0.35">
      <c r="X10142" s="40"/>
      <c r="Y10142" s="40"/>
    </row>
    <row r="10143" spans="24:25" x14ac:dyDescent="0.35">
      <c r="X10143" s="40"/>
      <c r="Y10143" s="40"/>
    </row>
    <row r="10144" spans="24:25" x14ac:dyDescent="0.35">
      <c r="X10144" s="40"/>
      <c r="Y10144" s="40"/>
    </row>
    <row r="10145" spans="24:25" x14ac:dyDescent="0.35">
      <c r="X10145" s="40"/>
      <c r="Y10145" s="40"/>
    </row>
    <row r="10146" spans="24:25" x14ac:dyDescent="0.35">
      <c r="X10146" s="40"/>
      <c r="Y10146" s="40"/>
    </row>
    <row r="10147" spans="24:25" x14ac:dyDescent="0.35">
      <c r="X10147" s="40"/>
      <c r="Y10147" s="40"/>
    </row>
    <row r="10148" spans="24:25" x14ac:dyDescent="0.35">
      <c r="X10148" s="40"/>
      <c r="Y10148" s="40"/>
    </row>
    <row r="10149" spans="24:25" x14ac:dyDescent="0.35">
      <c r="X10149" s="40"/>
      <c r="Y10149" s="40"/>
    </row>
    <row r="10150" spans="24:25" x14ac:dyDescent="0.35">
      <c r="X10150" s="40"/>
      <c r="Y10150" s="40"/>
    </row>
    <row r="10151" spans="24:25" x14ac:dyDescent="0.35">
      <c r="X10151" s="40"/>
      <c r="Y10151" s="40"/>
    </row>
    <row r="10152" spans="24:25" x14ac:dyDescent="0.35">
      <c r="X10152" s="40"/>
      <c r="Y10152" s="40"/>
    </row>
    <row r="10153" spans="24:25" x14ac:dyDescent="0.35">
      <c r="X10153" s="40"/>
      <c r="Y10153" s="40"/>
    </row>
    <row r="10154" spans="24:25" x14ac:dyDescent="0.35">
      <c r="X10154" s="40"/>
      <c r="Y10154" s="40"/>
    </row>
    <row r="10155" spans="24:25" x14ac:dyDescent="0.35">
      <c r="X10155" s="40"/>
      <c r="Y10155" s="40"/>
    </row>
    <row r="10156" spans="24:25" x14ac:dyDescent="0.35">
      <c r="X10156" s="40"/>
      <c r="Y10156" s="40"/>
    </row>
    <row r="10157" spans="24:25" x14ac:dyDescent="0.35">
      <c r="X10157" s="40"/>
      <c r="Y10157" s="40"/>
    </row>
    <row r="10158" spans="24:25" x14ac:dyDescent="0.35">
      <c r="X10158" s="40"/>
      <c r="Y10158" s="40"/>
    </row>
    <row r="10159" spans="24:25" x14ac:dyDescent="0.35">
      <c r="X10159" s="40"/>
      <c r="Y10159" s="40"/>
    </row>
    <row r="10160" spans="24:25" x14ac:dyDescent="0.35">
      <c r="X10160" s="40"/>
      <c r="Y10160" s="40"/>
    </row>
    <row r="10161" spans="24:25" x14ac:dyDescent="0.35">
      <c r="X10161" s="40"/>
      <c r="Y10161" s="40"/>
    </row>
    <row r="10162" spans="24:25" x14ac:dyDescent="0.35">
      <c r="X10162" s="40"/>
      <c r="Y10162" s="40"/>
    </row>
    <row r="10163" spans="24:25" x14ac:dyDescent="0.35">
      <c r="X10163" s="40"/>
      <c r="Y10163" s="40"/>
    </row>
    <row r="10164" spans="24:25" x14ac:dyDescent="0.35">
      <c r="X10164" s="40"/>
      <c r="Y10164" s="40"/>
    </row>
    <row r="10165" spans="24:25" x14ac:dyDescent="0.35">
      <c r="X10165" s="40"/>
      <c r="Y10165" s="40"/>
    </row>
    <row r="10166" spans="24:25" x14ac:dyDescent="0.35">
      <c r="X10166" s="40"/>
      <c r="Y10166" s="40"/>
    </row>
    <row r="10167" spans="24:25" x14ac:dyDescent="0.35">
      <c r="X10167" s="40"/>
      <c r="Y10167" s="40"/>
    </row>
    <row r="10168" spans="24:25" x14ac:dyDescent="0.35">
      <c r="X10168" s="40"/>
      <c r="Y10168" s="40"/>
    </row>
    <row r="10169" spans="24:25" x14ac:dyDescent="0.35">
      <c r="X10169" s="40"/>
      <c r="Y10169" s="40"/>
    </row>
    <row r="10170" spans="24:25" x14ac:dyDescent="0.35">
      <c r="X10170" s="40"/>
      <c r="Y10170" s="40"/>
    </row>
    <row r="10171" spans="24:25" x14ac:dyDescent="0.35">
      <c r="X10171" s="40"/>
      <c r="Y10171" s="40"/>
    </row>
    <row r="10172" spans="24:25" x14ac:dyDescent="0.35">
      <c r="X10172" s="40"/>
      <c r="Y10172" s="40"/>
    </row>
    <row r="10173" spans="24:25" x14ac:dyDescent="0.35">
      <c r="X10173" s="40"/>
      <c r="Y10173" s="40"/>
    </row>
    <row r="10174" spans="24:25" x14ac:dyDescent="0.35">
      <c r="X10174" s="40"/>
      <c r="Y10174" s="40"/>
    </row>
    <row r="10175" spans="24:25" x14ac:dyDescent="0.35">
      <c r="X10175" s="40"/>
      <c r="Y10175" s="40"/>
    </row>
    <row r="10176" spans="24:25" x14ac:dyDescent="0.35">
      <c r="X10176" s="40"/>
      <c r="Y10176" s="40"/>
    </row>
    <row r="10177" spans="24:25" x14ac:dyDescent="0.35">
      <c r="X10177" s="40"/>
      <c r="Y10177" s="40"/>
    </row>
    <row r="10178" spans="24:25" x14ac:dyDescent="0.35">
      <c r="X10178" s="40"/>
      <c r="Y10178" s="40"/>
    </row>
    <row r="10179" spans="24:25" x14ac:dyDescent="0.35">
      <c r="X10179" s="40"/>
      <c r="Y10179" s="40"/>
    </row>
    <row r="10180" spans="24:25" x14ac:dyDescent="0.35">
      <c r="X10180" s="40"/>
      <c r="Y10180" s="40"/>
    </row>
    <row r="10181" spans="24:25" x14ac:dyDescent="0.35">
      <c r="X10181" s="40"/>
      <c r="Y10181" s="40"/>
    </row>
    <row r="10182" spans="24:25" x14ac:dyDescent="0.35">
      <c r="X10182" s="40"/>
      <c r="Y10182" s="40"/>
    </row>
    <row r="10183" spans="24:25" x14ac:dyDescent="0.35">
      <c r="X10183" s="40"/>
      <c r="Y10183" s="40"/>
    </row>
    <row r="10184" spans="24:25" x14ac:dyDescent="0.35">
      <c r="X10184" s="40"/>
      <c r="Y10184" s="40"/>
    </row>
    <row r="10185" spans="24:25" x14ac:dyDescent="0.35">
      <c r="X10185" s="40"/>
      <c r="Y10185" s="40"/>
    </row>
    <row r="10186" spans="24:25" x14ac:dyDescent="0.35">
      <c r="X10186" s="40"/>
      <c r="Y10186" s="40"/>
    </row>
    <row r="10187" spans="24:25" x14ac:dyDescent="0.35">
      <c r="X10187" s="40"/>
      <c r="Y10187" s="40"/>
    </row>
    <row r="10188" spans="24:25" x14ac:dyDescent="0.35">
      <c r="X10188" s="40"/>
      <c r="Y10188" s="40"/>
    </row>
    <row r="10189" spans="24:25" x14ac:dyDescent="0.35">
      <c r="X10189" s="40"/>
      <c r="Y10189" s="40"/>
    </row>
    <row r="10190" spans="24:25" x14ac:dyDescent="0.35">
      <c r="X10190" s="40"/>
      <c r="Y10190" s="40"/>
    </row>
    <row r="10191" spans="24:25" x14ac:dyDescent="0.35">
      <c r="X10191" s="40"/>
      <c r="Y10191" s="40"/>
    </row>
    <row r="10192" spans="24:25" x14ac:dyDescent="0.35">
      <c r="X10192" s="40"/>
      <c r="Y10192" s="40"/>
    </row>
    <row r="10193" spans="24:25" x14ac:dyDescent="0.35">
      <c r="X10193" s="40"/>
      <c r="Y10193" s="40"/>
    </row>
    <row r="10194" spans="24:25" x14ac:dyDescent="0.35">
      <c r="X10194" s="40"/>
      <c r="Y10194" s="40"/>
    </row>
    <row r="10195" spans="24:25" x14ac:dyDescent="0.35">
      <c r="X10195" s="40"/>
      <c r="Y10195" s="40"/>
    </row>
    <row r="10196" spans="24:25" x14ac:dyDescent="0.35">
      <c r="X10196" s="40"/>
      <c r="Y10196" s="40"/>
    </row>
    <row r="10197" spans="24:25" x14ac:dyDescent="0.35">
      <c r="X10197" s="40"/>
      <c r="Y10197" s="40"/>
    </row>
    <row r="10198" spans="24:25" x14ac:dyDescent="0.35">
      <c r="X10198" s="40"/>
      <c r="Y10198" s="40"/>
    </row>
    <row r="10199" spans="24:25" x14ac:dyDescent="0.35">
      <c r="X10199" s="40"/>
      <c r="Y10199" s="40"/>
    </row>
    <row r="10200" spans="24:25" x14ac:dyDescent="0.35">
      <c r="X10200" s="40"/>
      <c r="Y10200" s="40"/>
    </row>
    <row r="10201" spans="24:25" x14ac:dyDescent="0.35">
      <c r="X10201" s="40"/>
      <c r="Y10201" s="40"/>
    </row>
    <row r="10202" spans="24:25" x14ac:dyDescent="0.35">
      <c r="X10202" s="40"/>
      <c r="Y10202" s="40"/>
    </row>
    <row r="10203" spans="24:25" x14ac:dyDescent="0.35">
      <c r="X10203" s="40"/>
      <c r="Y10203" s="40"/>
    </row>
    <row r="10204" spans="24:25" x14ac:dyDescent="0.35">
      <c r="X10204" s="40"/>
      <c r="Y10204" s="40"/>
    </row>
    <row r="10205" spans="24:25" x14ac:dyDescent="0.35">
      <c r="X10205" s="40"/>
      <c r="Y10205" s="40"/>
    </row>
    <row r="10206" spans="24:25" x14ac:dyDescent="0.35">
      <c r="X10206" s="40"/>
      <c r="Y10206" s="40"/>
    </row>
    <row r="10207" spans="24:25" x14ac:dyDescent="0.35">
      <c r="X10207" s="40"/>
      <c r="Y10207" s="40"/>
    </row>
    <row r="10208" spans="24:25" x14ac:dyDescent="0.35">
      <c r="X10208" s="40"/>
      <c r="Y10208" s="40"/>
    </row>
    <row r="10209" spans="24:25" x14ac:dyDescent="0.35">
      <c r="X10209" s="40"/>
      <c r="Y10209" s="40"/>
    </row>
    <row r="10210" spans="24:25" x14ac:dyDescent="0.35">
      <c r="X10210" s="40"/>
      <c r="Y10210" s="40"/>
    </row>
    <row r="10211" spans="24:25" x14ac:dyDescent="0.35">
      <c r="X10211" s="40"/>
      <c r="Y10211" s="40"/>
    </row>
    <row r="10212" spans="24:25" x14ac:dyDescent="0.35">
      <c r="X10212" s="40"/>
      <c r="Y10212" s="40"/>
    </row>
    <row r="10213" spans="24:25" x14ac:dyDescent="0.35">
      <c r="X10213" s="40"/>
      <c r="Y10213" s="40"/>
    </row>
    <row r="10214" spans="24:25" x14ac:dyDescent="0.35">
      <c r="X10214" s="40"/>
      <c r="Y10214" s="40"/>
    </row>
    <row r="10215" spans="24:25" x14ac:dyDescent="0.35">
      <c r="X10215" s="40"/>
      <c r="Y10215" s="40"/>
    </row>
    <row r="10216" spans="24:25" x14ac:dyDescent="0.35">
      <c r="X10216" s="40"/>
      <c r="Y10216" s="40"/>
    </row>
    <row r="10217" spans="24:25" x14ac:dyDescent="0.35">
      <c r="X10217" s="40"/>
      <c r="Y10217" s="40"/>
    </row>
    <row r="10218" spans="24:25" x14ac:dyDescent="0.35">
      <c r="X10218" s="40"/>
      <c r="Y10218" s="40"/>
    </row>
    <row r="10219" spans="24:25" x14ac:dyDescent="0.35">
      <c r="X10219" s="40"/>
      <c r="Y10219" s="40"/>
    </row>
    <row r="10220" spans="24:25" x14ac:dyDescent="0.35">
      <c r="X10220" s="40"/>
      <c r="Y10220" s="40"/>
    </row>
    <row r="10221" spans="24:25" x14ac:dyDescent="0.35">
      <c r="X10221" s="40"/>
      <c r="Y10221" s="40"/>
    </row>
    <row r="10222" spans="24:25" x14ac:dyDescent="0.35">
      <c r="X10222" s="40"/>
      <c r="Y10222" s="40"/>
    </row>
    <row r="10223" spans="24:25" x14ac:dyDescent="0.35">
      <c r="X10223" s="40"/>
      <c r="Y10223" s="40"/>
    </row>
    <row r="10224" spans="24:25" x14ac:dyDescent="0.35">
      <c r="X10224" s="40"/>
      <c r="Y10224" s="40"/>
    </row>
    <row r="10225" spans="24:25" x14ac:dyDescent="0.35">
      <c r="X10225" s="40"/>
      <c r="Y10225" s="40"/>
    </row>
    <row r="10226" spans="24:25" x14ac:dyDescent="0.35">
      <c r="X10226" s="40"/>
      <c r="Y10226" s="40"/>
    </row>
    <row r="10227" spans="24:25" x14ac:dyDescent="0.35">
      <c r="X10227" s="40"/>
      <c r="Y10227" s="40"/>
    </row>
    <row r="10228" spans="24:25" x14ac:dyDescent="0.35">
      <c r="X10228" s="40"/>
      <c r="Y10228" s="40"/>
    </row>
    <row r="10229" spans="24:25" x14ac:dyDescent="0.35">
      <c r="X10229" s="40"/>
      <c r="Y10229" s="40"/>
    </row>
    <row r="10230" spans="24:25" x14ac:dyDescent="0.35">
      <c r="X10230" s="40"/>
      <c r="Y10230" s="40"/>
    </row>
    <row r="10231" spans="24:25" x14ac:dyDescent="0.35">
      <c r="X10231" s="40"/>
      <c r="Y10231" s="40"/>
    </row>
    <row r="10232" spans="24:25" x14ac:dyDescent="0.35">
      <c r="X10232" s="40"/>
      <c r="Y10232" s="40"/>
    </row>
    <row r="10233" spans="24:25" x14ac:dyDescent="0.35">
      <c r="X10233" s="40"/>
      <c r="Y10233" s="40"/>
    </row>
    <row r="10234" spans="24:25" x14ac:dyDescent="0.35">
      <c r="X10234" s="40"/>
      <c r="Y10234" s="40"/>
    </row>
    <row r="10235" spans="24:25" x14ac:dyDescent="0.35">
      <c r="X10235" s="40"/>
      <c r="Y10235" s="40"/>
    </row>
    <row r="10236" spans="24:25" x14ac:dyDescent="0.35">
      <c r="X10236" s="40"/>
      <c r="Y10236" s="40"/>
    </row>
    <row r="10237" spans="24:25" x14ac:dyDescent="0.35">
      <c r="X10237" s="40"/>
      <c r="Y10237" s="40"/>
    </row>
    <row r="10238" spans="24:25" x14ac:dyDescent="0.35">
      <c r="X10238" s="40"/>
      <c r="Y10238" s="40"/>
    </row>
    <row r="10239" spans="24:25" x14ac:dyDescent="0.35">
      <c r="X10239" s="40"/>
      <c r="Y10239" s="40"/>
    </row>
    <row r="10240" spans="24:25" x14ac:dyDescent="0.35">
      <c r="X10240" s="40"/>
      <c r="Y10240" s="40"/>
    </row>
    <row r="10241" spans="24:25" x14ac:dyDescent="0.35">
      <c r="X10241" s="40"/>
      <c r="Y10241" s="40"/>
    </row>
    <row r="10242" spans="24:25" x14ac:dyDescent="0.35">
      <c r="X10242" s="40"/>
      <c r="Y10242" s="40"/>
    </row>
    <row r="10243" spans="24:25" x14ac:dyDescent="0.35">
      <c r="X10243" s="40"/>
      <c r="Y10243" s="40"/>
    </row>
    <row r="10244" spans="24:25" x14ac:dyDescent="0.35">
      <c r="X10244" s="40"/>
      <c r="Y10244" s="40"/>
    </row>
    <row r="10245" spans="24:25" x14ac:dyDescent="0.35">
      <c r="X10245" s="40"/>
      <c r="Y10245" s="40"/>
    </row>
    <row r="10246" spans="24:25" x14ac:dyDescent="0.35">
      <c r="X10246" s="40"/>
      <c r="Y10246" s="40"/>
    </row>
    <row r="10247" spans="24:25" x14ac:dyDescent="0.35">
      <c r="X10247" s="40"/>
      <c r="Y10247" s="40"/>
    </row>
    <row r="10248" spans="24:25" x14ac:dyDescent="0.35">
      <c r="X10248" s="40"/>
      <c r="Y10248" s="40"/>
    </row>
    <row r="10249" spans="24:25" x14ac:dyDescent="0.35">
      <c r="X10249" s="40"/>
      <c r="Y10249" s="40"/>
    </row>
    <row r="10250" spans="24:25" x14ac:dyDescent="0.35">
      <c r="X10250" s="40"/>
      <c r="Y10250" s="40"/>
    </row>
    <row r="10251" spans="24:25" x14ac:dyDescent="0.35">
      <c r="X10251" s="40"/>
      <c r="Y10251" s="40"/>
    </row>
    <row r="10252" spans="24:25" x14ac:dyDescent="0.35">
      <c r="X10252" s="40"/>
      <c r="Y10252" s="40"/>
    </row>
    <row r="10253" spans="24:25" x14ac:dyDescent="0.35">
      <c r="X10253" s="40"/>
      <c r="Y10253" s="40"/>
    </row>
    <row r="10254" spans="24:25" x14ac:dyDescent="0.35">
      <c r="X10254" s="40"/>
      <c r="Y10254" s="40"/>
    </row>
    <row r="10255" spans="24:25" x14ac:dyDescent="0.35">
      <c r="X10255" s="40"/>
      <c r="Y10255" s="40"/>
    </row>
    <row r="10256" spans="24:25" x14ac:dyDescent="0.35">
      <c r="X10256" s="40"/>
      <c r="Y10256" s="40"/>
    </row>
    <row r="10257" spans="24:25" x14ac:dyDescent="0.35">
      <c r="X10257" s="40"/>
      <c r="Y10257" s="40"/>
    </row>
    <row r="10258" spans="24:25" x14ac:dyDescent="0.35">
      <c r="X10258" s="40"/>
      <c r="Y10258" s="40"/>
    </row>
    <row r="10259" spans="24:25" x14ac:dyDescent="0.35">
      <c r="X10259" s="40"/>
      <c r="Y10259" s="40"/>
    </row>
    <row r="10260" spans="24:25" x14ac:dyDescent="0.35">
      <c r="X10260" s="40"/>
      <c r="Y10260" s="40"/>
    </row>
    <row r="10261" spans="24:25" x14ac:dyDescent="0.35">
      <c r="X10261" s="40"/>
      <c r="Y10261" s="40"/>
    </row>
    <row r="10262" spans="24:25" x14ac:dyDescent="0.35">
      <c r="X10262" s="40"/>
      <c r="Y10262" s="40"/>
    </row>
    <row r="10263" spans="24:25" x14ac:dyDescent="0.35">
      <c r="X10263" s="40"/>
      <c r="Y10263" s="40"/>
    </row>
    <row r="10264" spans="24:25" x14ac:dyDescent="0.35">
      <c r="X10264" s="40"/>
      <c r="Y10264" s="40"/>
    </row>
    <row r="10265" spans="24:25" x14ac:dyDescent="0.35">
      <c r="X10265" s="40"/>
      <c r="Y10265" s="40"/>
    </row>
    <row r="10266" spans="24:25" x14ac:dyDescent="0.35">
      <c r="X10266" s="40"/>
      <c r="Y10266" s="40"/>
    </row>
    <row r="10267" spans="24:25" x14ac:dyDescent="0.35">
      <c r="X10267" s="40"/>
      <c r="Y10267" s="40"/>
    </row>
    <row r="10268" spans="24:25" x14ac:dyDescent="0.35">
      <c r="X10268" s="40"/>
      <c r="Y10268" s="40"/>
    </row>
    <row r="10269" spans="24:25" x14ac:dyDescent="0.35">
      <c r="X10269" s="40"/>
      <c r="Y10269" s="40"/>
    </row>
    <row r="10270" spans="24:25" x14ac:dyDescent="0.35">
      <c r="X10270" s="40"/>
      <c r="Y10270" s="40"/>
    </row>
    <row r="10271" spans="24:25" x14ac:dyDescent="0.35">
      <c r="X10271" s="40"/>
      <c r="Y10271" s="40"/>
    </row>
    <row r="10272" spans="24:25" x14ac:dyDescent="0.35">
      <c r="X10272" s="40"/>
      <c r="Y10272" s="40"/>
    </row>
    <row r="10273" spans="24:25" x14ac:dyDescent="0.35">
      <c r="X10273" s="40"/>
      <c r="Y10273" s="40"/>
    </row>
    <row r="10274" spans="24:25" x14ac:dyDescent="0.35">
      <c r="X10274" s="40"/>
      <c r="Y10274" s="40"/>
    </row>
    <row r="10275" spans="24:25" x14ac:dyDescent="0.35">
      <c r="X10275" s="40"/>
      <c r="Y10275" s="40"/>
    </row>
    <row r="10276" spans="24:25" x14ac:dyDescent="0.35">
      <c r="X10276" s="40"/>
      <c r="Y10276" s="40"/>
    </row>
    <row r="10277" spans="24:25" x14ac:dyDescent="0.35">
      <c r="X10277" s="40"/>
      <c r="Y10277" s="40"/>
    </row>
    <row r="10278" spans="24:25" x14ac:dyDescent="0.35">
      <c r="X10278" s="40"/>
      <c r="Y10278" s="40"/>
    </row>
    <row r="10279" spans="24:25" x14ac:dyDescent="0.35">
      <c r="X10279" s="40"/>
      <c r="Y10279" s="40"/>
    </row>
    <row r="10280" spans="24:25" x14ac:dyDescent="0.35">
      <c r="X10280" s="40"/>
      <c r="Y10280" s="40"/>
    </row>
    <row r="10281" spans="24:25" x14ac:dyDescent="0.35">
      <c r="X10281" s="40"/>
      <c r="Y10281" s="40"/>
    </row>
    <row r="10282" spans="24:25" x14ac:dyDescent="0.35">
      <c r="X10282" s="40"/>
      <c r="Y10282" s="40"/>
    </row>
    <row r="10283" spans="24:25" x14ac:dyDescent="0.35">
      <c r="X10283" s="40"/>
      <c r="Y10283" s="40"/>
    </row>
    <row r="10284" spans="24:25" x14ac:dyDescent="0.35">
      <c r="X10284" s="40"/>
      <c r="Y10284" s="40"/>
    </row>
    <row r="10285" spans="24:25" x14ac:dyDescent="0.35">
      <c r="X10285" s="40"/>
      <c r="Y10285" s="40"/>
    </row>
    <row r="10286" spans="24:25" x14ac:dyDescent="0.35">
      <c r="X10286" s="40"/>
      <c r="Y10286" s="40"/>
    </row>
    <row r="10287" spans="24:25" x14ac:dyDescent="0.35">
      <c r="X10287" s="40"/>
      <c r="Y10287" s="40"/>
    </row>
    <row r="10288" spans="24:25" x14ac:dyDescent="0.35">
      <c r="X10288" s="40"/>
      <c r="Y10288" s="40"/>
    </row>
    <row r="10289" spans="24:25" x14ac:dyDescent="0.35">
      <c r="X10289" s="40"/>
      <c r="Y10289" s="40"/>
    </row>
    <row r="10290" spans="24:25" x14ac:dyDescent="0.35">
      <c r="X10290" s="40"/>
      <c r="Y10290" s="40"/>
    </row>
    <row r="10291" spans="24:25" x14ac:dyDescent="0.35">
      <c r="X10291" s="40"/>
      <c r="Y10291" s="40"/>
    </row>
    <row r="10292" spans="24:25" x14ac:dyDescent="0.35">
      <c r="X10292" s="40"/>
      <c r="Y10292" s="40"/>
    </row>
    <row r="10293" spans="24:25" x14ac:dyDescent="0.35">
      <c r="X10293" s="40"/>
      <c r="Y10293" s="40"/>
    </row>
    <row r="10294" spans="24:25" x14ac:dyDescent="0.35">
      <c r="X10294" s="40"/>
      <c r="Y10294" s="40"/>
    </row>
    <row r="10295" spans="24:25" x14ac:dyDescent="0.35">
      <c r="X10295" s="40"/>
      <c r="Y10295" s="40"/>
    </row>
    <row r="10296" spans="24:25" x14ac:dyDescent="0.35">
      <c r="X10296" s="40"/>
      <c r="Y10296" s="40"/>
    </row>
    <row r="10297" spans="24:25" x14ac:dyDescent="0.35">
      <c r="X10297" s="40"/>
      <c r="Y10297" s="40"/>
    </row>
    <row r="10298" spans="24:25" x14ac:dyDescent="0.35">
      <c r="X10298" s="40"/>
      <c r="Y10298" s="40"/>
    </row>
    <row r="10299" spans="24:25" x14ac:dyDescent="0.35">
      <c r="X10299" s="40"/>
      <c r="Y10299" s="40"/>
    </row>
    <row r="10300" spans="24:25" x14ac:dyDescent="0.35">
      <c r="X10300" s="40"/>
      <c r="Y10300" s="40"/>
    </row>
    <row r="10301" spans="24:25" x14ac:dyDescent="0.35">
      <c r="X10301" s="40"/>
      <c r="Y10301" s="40"/>
    </row>
    <row r="10302" spans="24:25" x14ac:dyDescent="0.35">
      <c r="X10302" s="40"/>
      <c r="Y10302" s="40"/>
    </row>
    <row r="10303" spans="24:25" x14ac:dyDescent="0.35">
      <c r="X10303" s="40"/>
      <c r="Y10303" s="40"/>
    </row>
    <row r="10304" spans="24:25" x14ac:dyDescent="0.35">
      <c r="X10304" s="40"/>
      <c r="Y10304" s="40"/>
    </row>
    <row r="10305" spans="24:25" x14ac:dyDescent="0.35">
      <c r="X10305" s="40"/>
      <c r="Y10305" s="40"/>
    </row>
    <row r="10306" spans="24:25" x14ac:dyDescent="0.35">
      <c r="X10306" s="40"/>
      <c r="Y10306" s="40"/>
    </row>
    <row r="10307" spans="24:25" x14ac:dyDescent="0.35">
      <c r="X10307" s="40"/>
      <c r="Y10307" s="40"/>
    </row>
    <row r="10308" spans="24:25" x14ac:dyDescent="0.35">
      <c r="X10308" s="40"/>
      <c r="Y10308" s="40"/>
    </row>
    <row r="10309" spans="24:25" x14ac:dyDescent="0.35">
      <c r="X10309" s="40"/>
      <c r="Y10309" s="40"/>
    </row>
    <row r="10310" spans="24:25" x14ac:dyDescent="0.35">
      <c r="X10310" s="40"/>
      <c r="Y10310" s="40"/>
    </row>
    <row r="10311" spans="24:25" x14ac:dyDescent="0.35">
      <c r="X10311" s="40"/>
      <c r="Y10311" s="40"/>
    </row>
    <row r="10312" spans="24:25" x14ac:dyDescent="0.35">
      <c r="X10312" s="40"/>
      <c r="Y10312" s="40"/>
    </row>
    <row r="10313" spans="24:25" x14ac:dyDescent="0.35">
      <c r="X10313" s="40"/>
      <c r="Y10313" s="40"/>
    </row>
    <row r="10314" spans="24:25" x14ac:dyDescent="0.35">
      <c r="X10314" s="40"/>
      <c r="Y10314" s="40"/>
    </row>
    <row r="10315" spans="24:25" x14ac:dyDescent="0.35">
      <c r="X10315" s="40"/>
      <c r="Y10315" s="40"/>
    </row>
    <row r="10316" spans="24:25" x14ac:dyDescent="0.35">
      <c r="X10316" s="40"/>
      <c r="Y10316" s="40"/>
    </row>
    <row r="10317" spans="24:25" x14ac:dyDescent="0.35">
      <c r="X10317" s="40"/>
      <c r="Y10317" s="40"/>
    </row>
    <row r="10318" spans="24:25" x14ac:dyDescent="0.35">
      <c r="X10318" s="40"/>
      <c r="Y10318" s="40"/>
    </row>
    <row r="10319" spans="24:25" x14ac:dyDescent="0.35">
      <c r="X10319" s="40"/>
      <c r="Y10319" s="40"/>
    </row>
    <row r="10320" spans="24:25" x14ac:dyDescent="0.35">
      <c r="X10320" s="40"/>
      <c r="Y10320" s="40"/>
    </row>
    <row r="10321" spans="24:25" x14ac:dyDescent="0.35">
      <c r="X10321" s="40"/>
      <c r="Y10321" s="40"/>
    </row>
    <row r="10322" spans="24:25" x14ac:dyDescent="0.35">
      <c r="X10322" s="40"/>
      <c r="Y10322" s="40"/>
    </row>
    <row r="10323" spans="24:25" x14ac:dyDescent="0.35">
      <c r="X10323" s="40"/>
      <c r="Y10323" s="40"/>
    </row>
    <row r="10324" spans="24:25" x14ac:dyDescent="0.35">
      <c r="X10324" s="40"/>
      <c r="Y10324" s="40"/>
    </row>
    <row r="10325" spans="24:25" x14ac:dyDescent="0.35">
      <c r="X10325" s="40"/>
      <c r="Y10325" s="40"/>
    </row>
    <row r="10326" spans="24:25" x14ac:dyDescent="0.35">
      <c r="X10326" s="40"/>
      <c r="Y10326" s="40"/>
    </row>
    <row r="10327" spans="24:25" x14ac:dyDescent="0.35">
      <c r="X10327" s="40"/>
      <c r="Y10327" s="40"/>
    </row>
    <row r="10328" spans="24:25" x14ac:dyDescent="0.35">
      <c r="X10328" s="40"/>
      <c r="Y10328" s="40"/>
    </row>
    <row r="10329" spans="24:25" x14ac:dyDescent="0.35">
      <c r="X10329" s="40"/>
      <c r="Y10329" s="40"/>
    </row>
    <row r="10330" spans="24:25" x14ac:dyDescent="0.35">
      <c r="X10330" s="40"/>
      <c r="Y10330" s="40"/>
    </row>
    <row r="10331" spans="24:25" x14ac:dyDescent="0.35">
      <c r="X10331" s="40"/>
      <c r="Y10331" s="40"/>
    </row>
    <row r="10332" spans="24:25" x14ac:dyDescent="0.35">
      <c r="X10332" s="40"/>
      <c r="Y10332" s="40"/>
    </row>
    <row r="10333" spans="24:25" x14ac:dyDescent="0.35">
      <c r="X10333" s="40"/>
      <c r="Y10333" s="40"/>
    </row>
    <row r="10334" spans="24:25" x14ac:dyDescent="0.35">
      <c r="X10334" s="40"/>
      <c r="Y10334" s="40"/>
    </row>
    <row r="10335" spans="24:25" x14ac:dyDescent="0.35">
      <c r="X10335" s="40"/>
      <c r="Y10335" s="40"/>
    </row>
    <row r="10336" spans="24:25" x14ac:dyDescent="0.35">
      <c r="X10336" s="40"/>
      <c r="Y10336" s="40"/>
    </row>
    <row r="10337" spans="24:25" x14ac:dyDescent="0.35">
      <c r="X10337" s="40"/>
      <c r="Y10337" s="40"/>
    </row>
    <row r="10338" spans="24:25" x14ac:dyDescent="0.35">
      <c r="X10338" s="40"/>
      <c r="Y10338" s="40"/>
    </row>
    <row r="10339" spans="24:25" x14ac:dyDescent="0.35">
      <c r="X10339" s="40"/>
      <c r="Y10339" s="40"/>
    </row>
    <row r="10340" spans="24:25" x14ac:dyDescent="0.35">
      <c r="X10340" s="40"/>
      <c r="Y10340" s="40"/>
    </row>
    <row r="10341" spans="24:25" x14ac:dyDescent="0.35">
      <c r="X10341" s="40"/>
      <c r="Y10341" s="40"/>
    </row>
    <row r="10342" spans="24:25" x14ac:dyDescent="0.35">
      <c r="X10342" s="40"/>
      <c r="Y10342" s="40"/>
    </row>
    <row r="10343" spans="24:25" x14ac:dyDescent="0.35">
      <c r="X10343" s="40"/>
      <c r="Y10343" s="40"/>
    </row>
    <row r="10344" spans="24:25" x14ac:dyDescent="0.35">
      <c r="X10344" s="40"/>
      <c r="Y10344" s="40"/>
    </row>
    <row r="10345" spans="24:25" x14ac:dyDescent="0.35">
      <c r="X10345" s="40"/>
      <c r="Y10345" s="40"/>
    </row>
    <row r="10346" spans="24:25" x14ac:dyDescent="0.35">
      <c r="X10346" s="40"/>
      <c r="Y10346" s="40"/>
    </row>
    <row r="10347" spans="24:25" x14ac:dyDescent="0.35">
      <c r="X10347" s="40"/>
      <c r="Y10347" s="40"/>
    </row>
    <row r="10348" spans="24:25" x14ac:dyDescent="0.35">
      <c r="X10348" s="40"/>
      <c r="Y10348" s="40"/>
    </row>
    <row r="10349" spans="24:25" x14ac:dyDescent="0.35">
      <c r="X10349" s="40"/>
      <c r="Y10349" s="40"/>
    </row>
    <row r="10350" spans="24:25" x14ac:dyDescent="0.35">
      <c r="X10350" s="40"/>
      <c r="Y10350" s="40"/>
    </row>
    <row r="10351" spans="24:25" x14ac:dyDescent="0.35">
      <c r="X10351" s="40"/>
      <c r="Y10351" s="40"/>
    </row>
    <row r="10352" spans="24:25" x14ac:dyDescent="0.35">
      <c r="X10352" s="40"/>
      <c r="Y10352" s="40"/>
    </row>
    <row r="10353" spans="24:25" x14ac:dyDescent="0.35">
      <c r="X10353" s="40"/>
      <c r="Y10353" s="40"/>
    </row>
    <row r="10354" spans="24:25" x14ac:dyDescent="0.35">
      <c r="X10354" s="40"/>
      <c r="Y10354" s="40"/>
    </row>
    <row r="10355" spans="24:25" x14ac:dyDescent="0.35">
      <c r="X10355" s="40"/>
      <c r="Y10355" s="40"/>
    </row>
    <row r="10356" spans="24:25" x14ac:dyDescent="0.35">
      <c r="X10356" s="40"/>
      <c r="Y10356" s="40"/>
    </row>
    <row r="10357" spans="24:25" x14ac:dyDescent="0.35">
      <c r="X10357" s="40"/>
      <c r="Y10357" s="40"/>
    </row>
    <row r="10358" spans="24:25" x14ac:dyDescent="0.35">
      <c r="X10358" s="40"/>
      <c r="Y10358" s="40"/>
    </row>
    <row r="10359" spans="24:25" x14ac:dyDescent="0.35">
      <c r="X10359" s="40"/>
      <c r="Y10359" s="40"/>
    </row>
    <row r="10360" spans="24:25" x14ac:dyDescent="0.35">
      <c r="X10360" s="40"/>
      <c r="Y10360" s="40"/>
    </row>
    <row r="10361" spans="24:25" x14ac:dyDescent="0.35">
      <c r="X10361" s="40"/>
      <c r="Y10361" s="40"/>
    </row>
    <row r="10362" spans="24:25" x14ac:dyDescent="0.35">
      <c r="X10362" s="40"/>
      <c r="Y10362" s="40"/>
    </row>
    <row r="10363" spans="24:25" x14ac:dyDescent="0.35">
      <c r="X10363" s="40"/>
      <c r="Y10363" s="40"/>
    </row>
    <row r="10364" spans="24:25" x14ac:dyDescent="0.35">
      <c r="X10364" s="40"/>
      <c r="Y10364" s="40"/>
    </row>
    <row r="10365" spans="24:25" x14ac:dyDescent="0.35">
      <c r="X10365" s="40"/>
      <c r="Y10365" s="40"/>
    </row>
    <row r="10366" spans="24:25" x14ac:dyDescent="0.35">
      <c r="X10366" s="40"/>
      <c r="Y10366" s="40"/>
    </row>
    <row r="10367" spans="24:25" x14ac:dyDescent="0.35">
      <c r="X10367" s="40"/>
      <c r="Y10367" s="40"/>
    </row>
    <row r="10368" spans="24:25" x14ac:dyDescent="0.35">
      <c r="X10368" s="40"/>
      <c r="Y10368" s="40"/>
    </row>
    <row r="10369" spans="24:25" x14ac:dyDescent="0.35">
      <c r="X10369" s="40"/>
      <c r="Y10369" s="40"/>
    </row>
    <row r="10370" spans="24:25" x14ac:dyDescent="0.35">
      <c r="X10370" s="40"/>
      <c r="Y10370" s="40"/>
    </row>
    <row r="10371" spans="24:25" x14ac:dyDescent="0.35">
      <c r="X10371" s="40"/>
      <c r="Y10371" s="40"/>
    </row>
    <row r="10372" spans="24:25" x14ac:dyDescent="0.35">
      <c r="X10372" s="40"/>
      <c r="Y10372" s="40"/>
    </row>
    <row r="10373" spans="24:25" x14ac:dyDescent="0.35">
      <c r="X10373" s="40"/>
      <c r="Y10373" s="40"/>
    </row>
    <row r="10374" spans="24:25" x14ac:dyDescent="0.35">
      <c r="X10374" s="40"/>
      <c r="Y10374" s="40"/>
    </row>
    <row r="10375" spans="24:25" x14ac:dyDescent="0.35">
      <c r="X10375" s="40"/>
      <c r="Y10375" s="40"/>
    </row>
    <row r="10376" spans="24:25" x14ac:dyDescent="0.35">
      <c r="X10376" s="40"/>
      <c r="Y10376" s="40"/>
    </row>
    <row r="10377" spans="24:25" x14ac:dyDescent="0.35">
      <c r="X10377" s="40"/>
      <c r="Y10377" s="40"/>
    </row>
    <row r="10378" spans="24:25" x14ac:dyDescent="0.35">
      <c r="X10378" s="40"/>
      <c r="Y10378" s="40"/>
    </row>
    <row r="10379" spans="24:25" x14ac:dyDescent="0.35">
      <c r="X10379" s="40"/>
      <c r="Y10379" s="40"/>
    </row>
    <row r="10380" spans="24:25" x14ac:dyDescent="0.35">
      <c r="X10380" s="40"/>
      <c r="Y10380" s="40"/>
    </row>
    <row r="10381" spans="24:25" x14ac:dyDescent="0.35">
      <c r="X10381" s="40"/>
      <c r="Y10381" s="40"/>
    </row>
    <row r="10382" spans="24:25" x14ac:dyDescent="0.35">
      <c r="X10382" s="40"/>
      <c r="Y10382" s="40"/>
    </row>
    <row r="10383" spans="24:25" x14ac:dyDescent="0.35">
      <c r="X10383" s="40"/>
      <c r="Y10383" s="40"/>
    </row>
    <row r="10384" spans="24:25" x14ac:dyDescent="0.35">
      <c r="X10384" s="40"/>
      <c r="Y10384" s="40"/>
    </row>
    <row r="10385" spans="24:25" x14ac:dyDescent="0.35">
      <c r="X10385" s="40"/>
      <c r="Y10385" s="40"/>
    </row>
    <row r="10386" spans="24:25" x14ac:dyDescent="0.35">
      <c r="X10386" s="40"/>
      <c r="Y10386" s="40"/>
    </row>
    <row r="10387" spans="24:25" x14ac:dyDescent="0.35">
      <c r="X10387" s="40"/>
      <c r="Y10387" s="40"/>
    </row>
    <row r="10388" spans="24:25" x14ac:dyDescent="0.35">
      <c r="X10388" s="40"/>
      <c r="Y10388" s="40"/>
    </row>
    <row r="10389" spans="24:25" x14ac:dyDescent="0.35">
      <c r="X10389" s="40"/>
      <c r="Y10389" s="40"/>
    </row>
    <row r="10390" spans="24:25" x14ac:dyDescent="0.35">
      <c r="X10390" s="40"/>
      <c r="Y10390" s="40"/>
    </row>
    <row r="10391" spans="24:25" x14ac:dyDescent="0.35">
      <c r="X10391" s="40"/>
      <c r="Y10391" s="40"/>
    </row>
    <row r="10392" spans="24:25" x14ac:dyDescent="0.35">
      <c r="X10392" s="40"/>
      <c r="Y10392" s="40"/>
    </row>
    <row r="10393" spans="24:25" x14ac:dyDescent="0.35">
      <c r="X10393" s="40"/>
      <c r="Y10393" s="40"/>
    </row>
    <row r="10394" spans="24:25" x14ac:dyDescent="0.35">
      <c r="X10394" s="40"/>
      <c r="Y10394" s="40"/>
    </row>
    <row r="10395" spans="24:25" x14ac:dyDescent="0.35">
      <c r="X10395" s="40"/>
      <c r="Y10395" s="40"/>
    </row>
    <row r="10396" spans="24:25" x14ac:dyDescent="0.35">
      <c r="X10396" s="40"/>
      <c r="Y10396" s="40"/>
    </row>
    <row r="10397" spans="24:25" x14ac:dyDescent="0.35">
      <c r="X10397" s="40"/>
      <c r="Y10397" s="40"/>
    </row>
    <row r="10398" spans="24:25" x14ac:dyDescent="0.35">
      <c r="X10398" s="40"/>
      <c r="Y10398" s="40"/>
    </row>
    <row r="10399" spans="24:25" x14ac:dyDescent="0.35">
      <c r="X10399" s="40"/>
      <c r="Y10399" s="40"/>
    </row>
    <row r="10400" spans="24:25" x14ac:dyDescent="0.35">
      <c r="X10400" s="40"/>
      <c r="Y10400" s="40"/>
    </row>
    <row r="10401" spans="24:25" x14ac:dyDescent="0.35">
      <c r="X10401" s="40"/>
      <c r="Y10401" s="40"/>
    </row>
    <row r="10402" spans="24:25" x14ac:dyDescent="0.35">
      <c r="X10402" s="40"/>
      <c r="Y10402" s="40"/>
    </row>
    <row r="10403" spans="24:25" x14ac:dyDescent="0.35">
      <c r="X10403" s="40"/>
      <c r="Y10403" s="40"/>
    </row>
    <row r="10404" spans="24:25" x14ac:dyDescent="0.35">
      <c r="X10404" s="40"/>
      <c r="Y10404" s="40"/>
    </row>
    <row r="10405" spans="24:25" x14ac:dyDescent="0.35">
      <c r="X10405" s="40"/>
      <c r="Y10405" s="40"/>
    </row>
    <row r="10406" spans="24:25" x14ac:dyDescent="0.35">
      <c r="X10406" s="40"/>
      <c r="Y10406" s="40"/>
    </row>
    <row r="10407" spans="24:25" x14ac:dyDescent="0.35">
      <c r="X10407" s="40"/>
      <c r="Y10407" s="40"/>
    </row>
  </sheetData>
  <mergeCells count="2">
    <mergeCell ref="AF1:AO1"/>
    <mergeCell ref="BD1:BN1"/>
  </mergeCells>
  <dataValidations count="18">
    <dataValidation allowBlank="1" error="Please enter only date in this field._x000a_Date should be in MM/DD/YYYY format." errorTitle="Error:" operator="greaterThanOrEqual" prompt="Date should be in MM/DD/YYYY format." promptTitle="Required:" showErrorMessage="1" showInputMessage="1" sqref="AK3 BI3" type="date" xr:uid="{00000000-0002-0000-0200-000000000000}">
      <formula1>1</formula1>
    </dataValidation>
    <dataValidation allowBlank="1" error="Please select Is Married from the drop down only." errorTitle="Error:" prompt="Please select Is Married." promptTitle="Required:" showErrorMessage="1" showInputMessage="1" sqref="BN3" type="list" xr:uid="{00000000-0002-0000-0200-000001000000}">
      <formula1>"Yes,No"</formula1>
    </dataValidation>
    <dataValidation allowBlank="1" error="Please select Relationship from the drop down only." errorTitle="Error:" prompt="Please select Relationship." promptTitle="Required:" showErrorMessage="1" showInputMessage="1" sqref="AN3 BL3" type="list" xr:uid="{00000000-0002-0000-0200-000002000000}">
      <formula1>"Spouse,Child,Domestic Partner,Other dependent"</formula1>
    </dataValidation>
    <dataValidation allowBlank="1" error="Length should be 1 to 35 character." errorTitle="Error:" prompt="Please enter dependent's first name." promptTitle="Required:" showErrorMessage="1" showInputMessage="1" sqref="AG3 BE3" type="textLength" xr:uid="{00000000-0002-0000-0200-000003000000}">
      <formula1>1</formula1>
      <formula2>35</formula2>
    </dataValidation>
    <dataValidation allowBlank="1" error="Please enter only the first character of dependent's middle name." errorTitle="Error:" prompt="Please enter dependent's middle initial." promptTitle="Optional:" showErrorMessage="1" showInputMessage="1" sqref="AH3" type="custom" xr:uid="{00000000-0002-0000-0200-000004000000}">
      <formula1>AND(EXACT(AH3,AH3),LEN(AH3)=1)</formula1>
    </dataValidation>
    <dataValidation allowBlank="1" error="Please enter text length 1 to 60 characters only." errorTitle="Error:" prompt="Please enter dependent's last name." promptTitle="Required:" showErrorMessage="1" showInputMessage="1" sqref="AI3 BG3" type="textLength" xr:uid="{00000000-0002-0000-0200-000005000000}">
      <formula1>1</formula1>
      <formula2>60</formula2>
    </dataValidation>
    <dataValidation allowBlank="1" error="Please select employee's suffix from the drop down only." errorTitle="Error:" prompt="Please select dependent's suffix." promptTitle="Optional:" showErrorMessage="1" showInputMessage="1" sqref="BH3 AJ3" type="list" xr:uid="{00000000-0002-0000-0200-000006000000}">
      <formula1>"Jr., Sr., I, II, III, IV"</formula1>
    </dataValidation>
    <dataValidation allowBlank="1" error="Please select employee's gender from the drop down only." errorTitle="Error:" prompt="Please select dependent's gender." promptTitle="Optional:" showInputMessage="1" sqref="AL3" type="list" xr:uid="{00000000-0002-0000-0200-000007000000}">
      <formula1>"Male,Female"</formula1>
    </dataValidation>
    <dataValidation allowBlank="1" error="Please select Employee Tobacco usage in last 6 months from the drop down only." errorTitle="Error:" prompt="Please select YES if employee's dependent has used any tobacco product in the past six months." promptTitle="Optional:" showErrorMessage="1" showInputMessage="1" sqref="BK3 AM3" type="list" xr:uid="{00000000-0002-0000-0200-000008000000}">
      <formula1>"Yes,No"</formula1>
    </dataValidation>
    <dataValidation allowBlank="1" error="Please select Is Disabled from the drop down only." errorTitle="Error:" prompt="Please select Is Disabled." promptTitle="Required:" showErrorMessage="1" showInputMessage="1" sqref="BM3" type="list" xr:uid="{00000000-0002-0000-0200-000009000000}">
      <formula1>"Yes,No"</formula1>
    </dataValidation>
    <dataValidation allowBlank="1" error="Please select employee's prefix from the drop down only." errorTitle="Error:" prompt="Please select a prefix." promptTitle="Optional:" showErrorMessage="1" showInputMessage="1" sqref="BD3" type="list" xr:uid="{00000000-0002-0000-0200-00000A000000}">
      <formula1>"Mr.,Mrs.,Ms.,Miss.,Dr."</formula1>
    </dataValidation>
    <dataValidation allowBlank="1" error="Please enter only the first character of dependent's middle name." errorTitle="Error:" prompt="Please enter dependent's middle initial." promptTitle="Optional:" showErrorMessage="1" showInputMessage="1" sqref="BF3" type="custom" xr:uid="{00000000-0002-0000-0200-00000B000000}">
      <formula1>AND(ISNUMBER(BF3)=FALSE,LEN(BF3)=1)</formula1>
    </dataValidation>
    <dataValidation allowBlank="1" error="Please select employee's gender from the drop down only." errorTitle="Error:" prompt="Please select dependent's gender." promptTitle="Required:" showErrorMessage="1" showInputMessage="1" sqref="BJ3" type="list" xr:uid="{00000000-0002-0000-0200-00000C000000}">
      <formula1>"Male,Female"</formula1>
    </dataValidation>
    <dataValidation allowBlank="1" error="Please select Is Disabled from the drop down only." errorTitle="Error:" prompt="Please select dependent's disability status." promptTitle="Optional:" showErrorMessage="1" showInputMessage="1" sqref="AO3" type="list" xr:uid="{00000000-0002-0000-0200-00000D000000}">
      <formula1>"Yes,No"</formula1>
    </dataValidation>
    <dataValidation allowBlank="1" error="Please select employee's prefix from the drop down only." errorTitle="Error:" prompt="Please select dependent's prefix." promptTitle="Optional:" showErrorMessage="1" showInputMessage="1" sqref="AF3" type="list" xr:uid="{00000000-0002-0000-0200-00000E000000}">
      <formula1>"Mr.,Mrs.,Ms.,Miss.,Dr."</formula1>
    </dataValidation>
    <dataValidation allowBlank="1" prompt="Custom Fields" promptTitle="Custom Fields" showErrorMessage="1" sqref="BU1:BV1" xr:uid="{00000000-0002-0000-0200-00000F000000}"/>
    <dataValidation allowBlank="1" prompt="Custom Fields" promptTitle="Optional:" showErrorMessage="1" showInputMessage="1" sqref="BV2" xr:uid="{00000000-0002-0000-0200-000010000000}"/>
    <dataValidation allowBlank="1" prompt="Enter the value as per the format provided in the column header comment." showErrorMessage="1" showInputMessage="1" sqref="BU2" xr:uid="{35759F7A-BEEC-4598-9FD8-85ED480FE0BE}"/>
  </dataValidations>
  <pageMargins bottom="0.75" footer="0.3" header="0.3" left="0.7" right="0.7" top="0.75"/>
  <pageSetup orientation="portrait" r:id="rId1"/>
  <ignoredErrors>
    <ignoredError numberStoredAsText="1" sqref="CC5"/>
  </ignoredErrors>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I74"/>
  <sheetViews>
    <sheetView topLeftCell="A2" workbookViewId="0" zoomScale="115" zoomScaleNormal="115">
      <selection activeCell="A2" sqref="A2"/>
    </sheetView>
  </sheetViews>
  <sheetFormatPr customHeight="1" defaultColWidth="9.1796875" defaultRowHeight="15.75" x14ac:dyDescent="0.35"/>
  <cols>
    <col min="1" max="1" customWidth="true" style="1" width="45.0" collapsed="false"/>
    <col min="2" max="2" bestFit="true" customWidth="true" style="1" width="41.26953125" collapsed="false"/>
    <col min="3" max="3" customWidth="true" style="1" width="19.453125" collapsed="false"/>
    <col min="4" max="4" customWidth="true" style="1" width="23.7265625" collapsed="false"/>
    <col min="5" max="7" bestFit="true" customWidth="true" style="1" width="10.81640625" collapsed="false"/>
    <col min="8" max="8" customWidth="true" style="1" width="27.1796875" collapsed="false"/>
    <col min="9" max="16384" style="1" width="9.1796875" collapsed="false"/>
  </cols>
  <sheetData>
    <row customHeight="1" ht="15.75" r="2" spans="1:8" x14ac:dyDescent="0.35">
      <c r="A2" s="3" t="s">
        <v>68</v>
      </c>
      <c r="B2" s="3" t="s">
        <v>69</v>
      </c>
      <c r="C2" s="3" t="s">
        <v>70</v>
      </c>
      <c r="D2" s="3" t="s">
        <v>71</v>
      </c>
      <c r="E2" s="3" t="s">
        <v>72</v>
      </c>
      <c r="F2" s="3" t="s">
        <v>73</v>
      </c>
      <c r="G2" s="3" t="s">
        <v>74</v>
      </c>
      <c r="H2" s="3" t="s">
        <v>75</v>
      </c>
    </row>
    <row customHeight="1" ht="15.75" r="3" spans="1:8" x14ac:dyDescent="0.35">
      <c r="A3" s="4" t="s">
        <v>63</v>
      </c>
      <c r="B3" s="5" t="s">
        <v>64</v>
      </c>
      <c r="C3" s="6" t="s">
        <v>65</v>
      </c>
      <c r="D3" s="6" t="s">
        <v>66</v>
      </c>
      <c r="E3" s="7"/>
      <c r="F3" s="5" t="s">
        <v>67</v>
      </c>
      <c r="G3" s="5" t="s">
        <v>67</v>
      </c>
      <c r="H3" s="7"/>
    </row>
    <row customHeight="1" ht="15.75" r="4" spans="1:8" x14ac:dyDescent="0.35">
      <c r="A4" s="8" t="s">
        <v>0</v>
      </c>
      <c r="B4" s="5" t="s">
        <v>76</v>
      </c>
      <c r="C4" s="7"/>
      <c r="D4" s="7"/>
      <c r="E4" s="6" t="s">
        <v>77</v>
      </c>
      <c r="F4" s="5">
        <v>1</v>
      </c>
      <c r="G4" s="5">
        <v>35</v>
      </c>
      <c r="H4" s="9" t="s">
        <v>78</v>
      </c>
    </row>
    <row customHeight="1" ht="15.75" r="5" spans="1:8" x14ac:dyDescent="0.35">
      <c r="A5" s="10" t="s">
        <v>1</v>
      </c>
      <c r="B5" s="5" t="s">
        <v>64</v>
      </c>
      <c r="C5" s="6" t="s">
        <v>79</v>
      </c>
      <c r="D5" s="6" t="s">
        <v>80</v>
      </c>
      <c r="E5" s="6" t="s">
        <v>81</v>
      </c>
      <c r="F5" s="5">
        <v>1</v>
      </c>
      <c r="G5" s="5">
        <v>1</v>
      </c>
      <c r="H5" s="11"/>
    </row>
    <row customHeight="1" ht="15.75" r="6" spans="1:8" x14ac:dyDescent="0.35">
      <c r="A6" s="8" t="s">
        <v>2</v>
      </c>
      <c r="B6" s="5" t="s">
        <v>76</v>
      </c>
      <c r="C6" s="6" t="s">
        <v>79</v>
      </c>
      <c r="D6" s="6" t="s">
        <v>82</v>
      </c>
      <c r="E6" s="6" t="s">
        <v>77</v>
      </c>
      <c r="F6" s="5">
        <v>1</v>
      </c>
      <c r="G6" s="5">
        <v>60</v>
      </c>
      <c r="H6" s="9" t="s">
        <v>83</v>
      </c>
    </row>
    <row customHeight="1" ht="15.75" r="7" spans="1:8" x14ac:dyDescent="0.35">
      <c r="A7" s="11" t="s">
        <v>3</v>
      </c>
      <c r="B7" s="5" t="s">
        <v>64</v>
      </c>
      <c r="C7" s="6" t="s">
        <v>65</v>
      </c>
      <c r="D7" s="6" t="s">
        <v>84</v>
      </c>
      <c r="E7" s="7"/>
      <c r="F7" s="5" t="s">
        <v>67</v>
      </c>
      <c r="G7" s="5" t="s">
        <v>67</v>
      </c>
      <c r="H7" s="11"/>
    </row>
    <row customHeight="1" ht="15.75" r="8" spans="1:8" x14ac:dyDescent="0.35">
      <c r="A8" s="8" t="s">
        <v>4</v>
      </c>
      <c r="B8" s="12" t="s">
        <v>76</v>
      </c>
      <c r="C8" s="7" t="s">
        <v>85</v>
      </c>
      <c r="D8" s="7" t="s">
        <v>86</v>
      </c>
      <c r="E8" s="7"/>
      <c r="F8" s="5" t="s">
        <v>67</v>
      </c>
      <c r="G8" s="5" t="s">
        <v>67</v>
      </c>
      <c r="H8" s="9" t="s">
        <v>87</v>
      </c>
    </row>
    <row customHeight="1" ht="15.75" r="9" spans="1:8" x14ac:dyDescent="0.35">
      <c r="A9" s="8" t="s">
        <v>5</v>
      </c>
      <c r="B9" s="12" t="s">
        <v>76</v>
      </c>
      <c r="C9" s="7" t="s">
        <v>88</v>
      </c>
      <c r="D9" s="7" t="s">
        <v>89</v>
      </c>
      <c r="E9" s="7"/>
      <c r="F9" s="5">
        <v>1</v>
      </c>
      <c r="G9" s="5">
        <v>10</v>
      </c>
      <c r="H9" s="9" t="s">
        <v>90</v>
      </c>
    </row>
    <row customHeight="1" ht="15.75" r="10" spans="1:8" x14ac:dyDescent="0.35">
      <c r="A10" s="8" t="s">
        <v>6</v>
      </c>
      <c r="B10" s="5" t="s">
        <v>76</v>
      </c>
      <c r="C10" s="7" t="s">
        <v>79</v>
      </c>
      <c r="D10" s="7" t="s">
        <v>91</v>
      </c>
      <c r="E10" s="7"/>
      <c r="F10" s="5">
        <v>9</v>
      </c>
      <c r="G10" s="5">
        <v>9</v>
      </c>
      <c r="H10" s="9" t="s">
        <v>92</v>
      </c>
    </row>
    <row customHeight="1" ht="15.75" r="11" spans="1:8" x14ac:dyDescent="0.35">
      <c r="A11" s="8" t="s">
        <v>2344</v>
      </c>
      <c r="B11" s="12" t="s">
        <v>76</v>
      </c>
      <c r="C11" s="7" t="s">
        <v>88</v>
      </c>
      <c r="D11" s="7" t="s">
        <v>93</v>
      </c>
      <c r="E11" s="7"/>
      <c r="F11" s="5">
        <v>1</v>
      </c>
      <c r="G11" s="5">
        <v>5</v>
      </c>
      <c r="H11" s="9" t="s">
        <v>94</v>
      </c>
    </row>
    <row customHeight="1" ht="15.75" r="12" spans="1:8" x14ac:dyDescent="0.35">
      <c r="A12" s="8" t="s">
        <v>7</v>
      </c>
      <c r="B12" s="12" t="s">
        <v>76</v>
      </c>
      <c r="C12" s="7" t="s">
        <v>79</v>
      </c>
      <c r="D12" s="7"/>
      <c r="E12" s="7"/>
      <c r="F12" s="5">
        <v>1</v>
      </c>
      <c r="G12" s="5">
        <v>50</v>
      </c>
      <c r="H12" s="9" t="s">
        <v>95</v>
      </c>
    </row>
    <row customHeight="1" ht="15.75" r="13" spans="1:8" x14ac:dyDescent="0.35">
      <c r="A13" s="8" t="s">
        <v>8</v>
      </c>
      <c r="B13" s="12" t="s">
        <v>76</v>
      </c>
      <c r="C13" s="7" t="s">
        <v>65</v>
      </c>
      <c r="D13" s="7" t="s">
        <v>96</v>
      </c>
      <c r="E13" s="7"/>
      <c r="F13" s="5">
        <v>1</v>
      </c>
      <c r="G13" s="5">
        <v>20</v>
      </c>
      <c r="H13" s="9" t="s">
        <v>97</v>
      </c>
    </row>
    <row customHeight="1" ht="15.75" r="14" spans="1:8" x14ac:dyDescent="0.35">
      <c r="A14" s="8" t="s">
        <v>9</v>
      </c>
      <c r="B14" s="12" t="s">
        <v>76</v>
      </c>
      <c r="C14" s="7" t="s">
        <v>85</v>
      </c>
      <c r="D14" s="7" t="s">
        <v>98</v>
      </c>
      <c r="E14" s="13" t="s">
        <v>99</v>
      </c>
      <c r="F14" s="5" t="s">
        <v>67</v>
      </c>
      <c r="G14" s="5" t="s">
        <v>67</v>
      </c>
      <c r="H14" s="9" t="s">
        <v>100</v>
      </c>
    </row>
    <row customHeight="1" ht="15.75" r="15" spans="1:8" x14ac:dyDescent="0.35">
      <c r="A15" s="10" t="s">
        <v>10</v>
      </c>
      <c r="B15" s="12" t="s">
        <v>64</v>
      </c>
      <c r="C15" s="7" t="s">
        <v>101</v>
      </c>
      <c r="D15" s="7" t="s">
        <v>93</v>
      </c>
      <c r="E15" s="13" t="s">
        <v>102</v>
      </c>
      <c r="F15" s="5">
        <v>1</v>
      </c>
      <c r="G15" s="5">
        <v>5</v>
      </c>
      <c r="H15" s="7"/>
    </row>
    <row customHeight="1" ht="15.75" r="16" spans="1:8" x14ac:dyDescent="0.35">
      <c r="A16" s="8" t="s">
        <v>11</v>
      </c>
      <c r="B16" s="12" t="s">
        <v>76</v>
      </c>
      <c r="C16" s="7" t="s">
        <v>65</v>
      </c>
      <c r="D16" s="7" t="s">
        <v>103</v>
      </c>
      <c r="E16" s="7"/>
      <c r="F16" s="5">
        <v>1</v>
      </c>
      <c r="G16" s="5">
        <v>20</v>
      </c>
      <c r="H16" s="9" t="s">
        <v>94</v>
      </c>
    </row>
    <row customHeight="1" ht="15.75" r="17" spans="1:8" x14ac:dyDescent="0.35">
      <c r="A17" s="8" t="s">
        <v>2350</v>
      </c>
      <c r="B17" s="12" t="s">
        <v>104</v>
      </c>
      <c r="C17" s="7" t="s">
        <v>105</v>
      </c>
      <c r="D17" s="7"/>
      <c r="E17" s="13" t="s">
        <v>106</v>
      </c>
      <c r="F17" s="5">
        <v>1</v>
      </c>
      <c r="G17" s="5">
        <v>2</v>
      </c>
      <c r="H17" s="9" t="s">
        <v>107</v>
      </c>
    </row>
    <row customHeight="1" ht="15.75" r="18" spans="1:8" x14ac:dyDescent="0.35">
      <c r="A18" s="8" t="s">
        <v>12</v>
      </c>
      <c r="B18" s="12" t="s">
        <v>104</v>
      </c>
      <c r="C18" s="7" t="s">
        <v>79</v>
      </c>
      <c r="D18" s="7"/>
      <c r="E18" s="13" t="s">
        <v>108</v>
      </c>
      <c r="F18" s="5">
        <v>1</v>
      </c>
      <c r="G18" s="5">
        <v>50</v>
      </c>
      <c r="H18" s="9" t="s">
        <v>109</v>
      </c>
    </row>
    <row customHeight="1" ht="15.75" r="19" spans="1:8" x14ac:dyDescent="0.35">
      <c r="A19" s="8" t="s">
        <v>13</v>
      </c>
      <c r="B19" s="12" t="s">
        <v>104</v>
      </c>
      <c r="C19" s="7" t="s">
        <v>105</v>
      </c>
      <c r="D19" s="7"/>
      <c r="E19" s="13" t="s">
        <v>110</v>
      </c>
      <c r="F19" s="5">
        <v>1</v>
      </c>
      <c r="G19" s="5">
        <v>10</v>
      </c>
      <c r="H19" s="9" t="s">
        <v>111</v>
      </c>
    </row>
    <row customHeight="1" ht="15.75" r="20" spans="1:8" x14ac:dyDescent="0.35">
      <c r="A20" s="10" t="s">
        <v>14</v>
      </c>
      <c r="B20" s="12" t="s">
        <v>64</v>
      </c>
      <c r="C20" s="7" t="s">
        <v>65</v>
      </c>
      <c r="D20" s="7"/>
      <c r="E20" s="13" t="s">
        <v>112</v>
      </c>
      <c r="F20" s="5">
        <v>1</v>
      </c>
      <c r="G20" s="5">
        <v>50</v>
      </c>
      <c r="H20" s="7"/>
    </row>
    <row customHeight="1" ht="15.75" r="21" spans="1:8" x14ac:dyDescent="0.35">
      <c r="A21" s="8" t="s">
        <v>15</v>
      </c>
      <c r="B21" s="11"/>
      <c r="C21" s="11"/>
      <c r="D21" s="11"/>
      <c r="E21" s="11"/>
      <c r="F21" s="11"/>
      <c r="G21" s="11"/>
      <c r="H21" s="11"/>
    </row>
    <row customHeight="1" ht="15.75" r="22" spans="1:8" x14ac:dyDescent="0.35">
      <c r="A22" s="14" t="s">
        <v>16</v>
      </c>
      <c r="B22" s="12" t="s">
        <v>104</v>
      </c>
      <c r="C22" s="7" t="s">
        <v>65</v>
      </c>
      <c r="D22" s="7" t="s">
        <v>113</v>
      </c>
      <c r="E22" s="13" t="s">
        <v>114</v>
      </c>
      <c r="F22" s="5">
        <v>1</v>
      </c>
      <c r="G22" s="5">
        <v>20</v>
      </c>
      <c r="H22" s="9" t="s">
        <v>115</v>
      </c>
    </row>
    <row customHeight="1" ht="15.75" r="23" spans="1:8" x14ac:dyDescent="0.35">
      <c r="A23" s="14" t="s">
        <v>17</v>
      </c>
      <c r="B23" s="12" t="s">
        <v>104</v>
      </c>
      <c r="C23" s="7" t="s">
        <v>65</v>
      </c>
      <c r="D23" s="7" t="s">
        <v>116</v>
      </c>
      <c r="E23" s="13" t="s">
        <v>114</v>
      </c>
      <c r="F23" s="5">
        <v>1</v>
      </c>
      <c r="G23" s="5">
        <v>20</v>
      </c>
      <c r="H23" s="9" t="s">
        <v>117</v>
      </c>
    </row>
    <row customHeight="1" ht="15.75" r="24" spans="1:8" x14ac:dyDescent="0.35">
      <c r="A24" s="11" t="s">
        <v>18</v>
      </c>
      <c r="B24" s="12" t="s">
        <v>104</v>
      </c>
      <c r="C24" s="7" t="s">
        <v>65</v>
      </c>
      <c r="D24" s="7"/>
      <c r="E24" s="13" t="s">
        <v>118</v>
      </c>
      <c r="F24" s="5">
        <v>1</v>
      </c>
      <c r="G24" s="5">
        <v>30</v>
      </c>
      <c r="H24" s="9" t="s">
        <v>119</v>
      </c>
    </row>
    <row customHeight="1" ht="15.75" r="25" spans="1:8" x14ac:dyDescent="0.35">
      <c r="A25" s="11" t="s">
        <v>19</v>
      </c>
      <c r="B25" s="12" t="s">
        <v>64</v>
      </c>
      <c r="C25" s="7" t="s">
        <v>79</v>
      </c>
      <c r="D25" s="7"/>
      <c r="E25" s="7"/>
      <c r="F25" s="5">
        <v>1</v>
      </c>
      <c r="G25" s="5">
        <v>50</v>
      </c>
      <c r="H25" s="7"/>
    </row>
    <row customHeight="1" ht="15.75" r="26" spans="1:8" x14ac:dyDescent="0.35">
      <c r="A26" s="14" t="s">
        <v>20</v>
      </c>
      <c r="B26" s="12" t="s">
        <v>76</v>
      </c>
      <c r="C26" s="7" t="s">
        <v>79</v>
      </c>
      <c r="D26" s="7"/>
      <c r="E26" s="6" t="s">
        <v>120</v>
      </c>
      <c r="F26" s="5">
        <v>5</v>
      </c>
      <c r="G26" s="5">
        <v>100</v>
      </c>
      <c r="H26" s="9" t="s">
        <v>121</v>
      </c>
    </row>
    <row customHeight="1" ht="15.75" r="27" spans="1:8" x14ac:dyDescent="0.35">
      <c r="A27" s="8" t="s">
        <v>21</v>
      </c>
      <c r="B27" s="12" t="s">
        <v>76</v>
      </c>
      <c r="C27" s="7" t="s">
        <v>79</v>
      </c>
      <c r="D27" s="7"/>
      <c r="E27" s="6" t="s">
        <v>120</v>
      </c>
      <c r="F27" s="5">
        <v>5</v>
      </c>
      <c r="G27" s="5">
        <v>100</v>
      </c>
      <c r="H27" s="7"/>
    </row>
    <row customHeight="1" ht="15.75" r="28" spans="1:8" x14ac:dyDescent="0.35">
      <c r="A28" s="8" t="s">
        <v>22</v>
      </c>
      <c r="B28" s="5" t="s">
        <v>64</v>
      </c>
      <c r="C28" s="6" t="s">
        <v>105</v>
      </c>
      <c r="D28" s="6"/>
      <c r="E28" s="7"/>
      <c r="F28" s="5">
        <v>1</v>
      </c>
      <c r="G28" s="5">
        <v>10</v>
      </c>
      <c r="H28" s="9" t="s">
        <v>122</v>
      </c>
    </row>
    <row customHeight="1" ht="15.75" r="29" spans="1:8" x14ac:dyDescent="0.35">
      <c r="A29" s="8" t="s">
        <v>23</v>
      </c>
      <c r="B29" s="5" t="s">
        <v>76</v>
      </c>
      <c r="C29" s="6" t="s">
        <v>79</v>
      </c>
      <c r="D29" s="6" t="s">
        <v>82</v>
      </c>
      <c r="E29" s="7"/>
      <c r="F29" s="5">
        <v>1</v>
      </c>
      <c r="G29" s="5">
        <v>55</v>
      </c>
      <c r="H29" s="9" t="s">
        <v>123</v>
      </c>
    </row>
    <row customHeight="1" ht="15.75" r="30" spans="1:8" x14ac:dyDescent="0.35">
      <c r="A30" s="10" t="s">
        <v>24</v>
      </c>
      <c r="B30" s="5" t="s">
        <v>64</v>
      </c>
      <c r="C30" s="6" t="s">
        <v>79</v>
      </c>
      <c r="D30" s="6" t="s">
        <v>82</v>
      </c>
      <c r="E30" s="6" t="s">
        <v>124</v>
      </c>
      <c r="F30" s="5">
        <v>1</v>
      </c>
      <c r="G30" s="5">
        <v>55</v>
      </c>
      <c r="H30" s="9" t="s">
        <v>125</v>
      </c>
    </row>
    <row customHeight="1" ht="15.75" r="31" spans="1:8" x14ac:dyDescent="0.35">
      <c r="A31" s="8" t="s">
        <v>25</v>
      </c>
      <c r="B31" s="5" t="s">
        <v>76</v>
      </c>
      <c r="C31" s="6" t="s">
        <v>79</v>
      </c>
      <c r="D31" s="6" t="s">
        <v>82</v>
      </c>
      <c r="E31" s="7"/>
      <c r="F31" s="5">
        <v>2</v>
      </c>
      <c r="G31" s="5">
        <v>30</v>
      </c>
      <c r="H31" s="9" t="s">
        <v>126</v>
      </c>
    </row>
    <row customHeight="1" ht="15.75" r="32" spans="1:8" x14ac:dyDescent="0.35">
      <c r="A32" s="8" t="s">
        <v>26</v>
      </c>
      <c r="B32" s="5" t="s">
        <v>76</v>
      </c>
      <c r="C32" s="6" t="s">
        <v>79</v>
      </c>
      <c r="D32" s="13" t="s">
        <v>105</v>
      </c>
      <c r="E32" s="6" t="s">
        <v>127</v>
      </c>
      <c r="F32" s="15">
        <v>5</v>
      </c>
      <c r="G32" s="15">
        <v>5</v>
      </c>
      <c r="H32" s="16" t="s">
        <v>128</v>
      </c>
    </row>
    <row customHeight="1" ht="15.75" r="33" spans="1:8" x14ac:dyDescent="0.35">
      <c r="A33" s="8" t="s">
        <v>27</v>
      </c>
      <c r="B33" s="5" t="s">
        <v>76</v>
      </c>
      <c r="C33" s="6" t="s">
        <v>79</v>
      </c>
      <c r="D33" s="13" t="s">
        <v>67</v>
      </c>
      <c r="E33" s="17" t="s">
        <v>129</v>
      </c>
      <c r="F33" s="5">
        <v>2</v>
      </c>
      <c r="G33" s="5">
        <v>2</v>
      </c>
      <c r="H33" s="7"/>
    </row>
    <row customHeight="1" ht="15.75" r="34" spans="1:8" x14ac:dyDescent="0.35">
      <c r="A34" s="8" t="s">
        <v>28</v>
      </c>
      <c r="B34" s="5" t="s">
        <v>76</v>
      </c>
      <c r="C34" s="6" t="s">
        <v>65</v>
      </c>
      <c r="D34" s="13" t="s">
        <v>67</v>
      </c>
      <c r="E34" s="17" t="s">
        <v>130</v>
      </c>
      <c r="F34" s="5" t="s">
        <v>67</v>
      </c>
      <c r="G34" s="5" t="s">
        <v>67</v>
      </c>
      <c r="H34" s="9" t="s">
        <v>131</v>
      </c>
    </row>
    <row customHeight="1" ht="15.75" r="35" spans="1:8" x14ac:dyDescent="0.35">
      <c r="A35" s="18" t="s">
        <v>2349</v>
      </c>
      <c r="B35" s="12" t="s">
        <v>104</v>
      </c>
      <c r="C35" s="7" t="s">
        <v>105</v>
      </c>
      <c r="D35" s="7"/>
      <c r="E35" s="13" t="s">
        <v>132</v>
      </c>
      <c r="F35" s="5">
        <v>1</v>
      </c>
      <c r="G35" s="5">
        <v>5</v>
      </c>
      <c r="H35" s="7"/>
    </row>
    <row customHeight="1" ht="15.75" r="36" spans="1:8" x14ac:dyDescent="0.35">
      <c r="A36" s="19" t="s">
        <v>62</v>
      </c>
      <c r="B36" s="5" t="s">
        <v>133</v>
      </c>
      <c r="C36" s="11"/>
      <c r="D36" s="11"/>
      <c r="E36" s="11"/>
      <c r="F36" s="11"/>
      <c r="G36" s="11"/>
      <c r="H36" s="11"/>
    </row>
    <row customHeight="1" ht="15.75" r="37" spans="1:8" x14ac:dyDescent="0.35">
      <c r="A37" s="10" t="s">
        <v>29</v>
      </c>
      <c r="B37" s="5" t="s">
        <v>64</v>
      </c>
      <c r="C37" s="6" t="s">
        <v>65</v>
      </c>
      <c r="D37" s="6" t="s">
        <v>66</v>
      </c>
      <c r="E37" s="7"/>
      <c r="F37" s="5" t="s">
        <v>67</v>
      </c>
      <c r="G37" s="5" t="s">
        <v>67</v>
      </c>
      <c r="H37" s="7"/>
    </row>
    <row customHeight="1" ht="15.75" r="38" spans="1:8" x14ac:dyDescent="0.35">
      <c r="A38" s="8" t="s">
        <v>30</v>
      </c>
      <c r="B38" s="5" t="s">
        <v>76</v>
      </c>
      <c r="C38" s="7"/>
      <c r="D38" s="7"/>
      <c r="E38" s="6" t="s">
        <v>77</v>
      </c>
      <c r="F38" s="5">
        <v>1</v>
      </c>
      <c r="G38" s="5">
        <v>35</v>
      </c>
      <c r="H38" s="9" t="s">
        <v>78</v>
      </c>
    </row>
    <row customHeight="1" ht="15.75" r="39" spans="1:8" x14ac:dyDescent="0.35">
      <c r="A39" s="10" t="s">
        <v>31</v>
      </c>
      <c r="B39" s="5" t="s">
        <v>64</v>
      </c>
      <c r="C39" s="6" t="s">
        <v>79</v>
      </c>
      <c r="D39" s="6" t="s">
        <v>80</v>
      </c>
      <c r="E39" s="6" t="s">
        <v>81</v>
      </c>
      <c r="F39" s="5">
        <v>1</v>
      </c>
      <c r="G39" s="5">
        <v>1</v>
      </c>
      <c r="H39" s="11"/>
    </row>
    <row customHeight="1" ht="15.75" r="40" spans="1:8" x14ac:dyDescent="0.35">
      <c r="A40" s="8" t="s">
        <v>32</v>
      </c>
      <c r="B40" s="5" t="s">
        <v>76</v>
      </c>
      <c r="C40" s="6" t="s">
        <v>79</v>
      </c>
      <c r="D40" s="6" t="s">
        <v>82</v>
      </c>
      <c r="E40" s="6" t="s">
        <v>77</v>
      </c>
      <c r="F40" s="5">
        <v>1</v>
      </c>
      <c r="G40" s="5">
        <v>60</v>
      </c>
      <c r="H40" s="9" t="s">
        <v>83</v>
      </c>
    </row>
    <row customHeight="1" ht="15.75" r="41" spans="1:8" x14ac:dyDescent="0.35">
      <c r="A41" s="10" t="s">
        <v>33</v>
      </c>
      <c r="B41" s="5" t="s">
        <v>64</v>
      </c>
      <c r="C41" s="6" t="s">
        <v>65</v>
      </c>
      <c r="D41" s="6" t="s">
        <v>84</v>
      </c>
      <c r="E41" s="7"/>
      <c r="F41" s="5" t="s">
        <v>67</v>
      </c>
      <c r="G41" s="5" t="s">
        <v>67</v>
      </c>
      <c r="H41" s="11"/>
    </row>
    <row customHeight="1" ht="15.75" r="42" spans="1:8" x14ac:dyDescent="0.35">
      <c r="A42" s="8" t="s">
        <v>34</v>
      </c>
      <c r="B42" s="12" t="s">
        <v>76</v>
      </c>
      <c r="C42" s="7" t="s">
        <v>85</v>
      </c>
      <c r="D42" s="7" t="s">
        <v>86</v>
      </c>
      <c r="E42" s="7"/>
      <c r="F42" s="5" t="s">
        <v>67</v>
      </c>
      <c r="G42" s="5" t="s">
        <v>67</v>
      </c>
      <c r="H42" s="9" t="s">
        <v>87</v>
      </c>
    </row>
    <row customHeight="1" ht="15.75" r="43" spans="1:8" x14ac:dyDescent="0.35">
      <c r="A43" s="8" t="s">
        <v>35</v>
      </c>
      <c r="B43" s="12" t="s">
        <v>76</v>
      </c>
      <c r="C43" s="7" t="s">
        <v>88</v>
      </c>
      <c r="D43" s="7" t="s">
        <v>89</v>
      </c>
      <c r="E43" s="7"/>
      <c r="F43" s="5">
        <v>1</v>
      </c>
      <c r="G43" s="5">
        <v>10</v>
      </c>
      <c r="H43" s="9" t="s">
        <v>90</v>
      </c>
    </row>
    <row customHeight="1" ht="15.75" r="44" spans="1:8" x14ac:dyDescent="0.35">
      <c r="A44" s="8" t="s">
        <v>36</v>
      </c>
      <c r="B44" s="12" t="s">
        <v>76</v>
      </c>
      <c r="C44" s="7" t="s">
        <v>88</v>
      </c>
      <c r="D44" s="7" t="s">
        <v>93</v>
      </c>
      <c r="E44" s="7"/>
      <c r="F44" s="5">
        <v>1</v>
      </c>
      <c r="G44" s="5">
        <v>5</v>
      </c>
      <c r="H44" s="9" t="s">
        <v>94</v>
      </c>
    </row>
    <row customHeight="1" ht="15.75" r="45" spans="1:8" x14ac:dyDescent="0.35">
      <c r="A45" s="8" t="s">
        <v>37</v>
      </c>
      <c r="B45" s="11" t="s">
        <v>76</v>
      </c>
      <c r="C45" s="7" t="s">
        <v>65</v>
      </c>
      <c r="D45" s="7" t="s">
        <v>134</v>
      </c>
      <c r="E45" s="11"/>
      <c r="F45" s="11"/>
      <c r="G45" s="11"/>
      <c r="H45" s="9" t="s">
        <v>94</v>
      </c>
    </row>
    <row customHeight="1" ht="15.75" r="46" spans="1:8" x14ac:dyDescent="0.35">
      <c r="A46" s="8" t="s">
        <v>38</v>
      </c>
      <c r="B46" s="11" t="s">
        <v>76</v>
      </c>
      <c r="C46" s="11"/>
      <c r="D46" s="7" t="s">
        <v>93</v>
      </c>
      <c r="E46" s="11"/>
      <c r="F46" s="11"/>
      <c r="G46" s="11"/>
      <c r="H46" s="9" t="s">
        <v>94</v>
      </c>
    </row>
    <row customHeight="1" ht="15.75" r="47" spans="1:8" x14ac:dyDescent="0.35">
      <c r="A47" s="8" t="s">
        <v>39</v>
      </c>
      <c r="B47" s="11" t="s">
        <v>76</v>
      </c>
      <c r="C47" s="11"/>
      <c r="D47" s="7" t="s">
        <v>93</v>
      </c>
      <c r="E47" s="11"/>
      <c r="F47" s="11"/>
      <c r="G47" s="11"/>
      <c r="H47" s="9" t="s">
        <v>94</v>
      </c>
    </row>
    <row customHeight="1" ht="15.75" r="48" spans="1:8" x14ac:dyDescent="0.35">
      <c r="A48" s="10" t="s">
        <v>40</v>
      </c>
      <c r="B48" s="5" t="s">
        <v>64</v>
      </c>
      <c r="C48" s="6" t="s">
        <v>65</v>
      </c>
      <c r="D48" s="6" t="s">
        <v>66</v>
      </c>
      <c r="E48" s="7"/>
      <c r="F48" s="5" t="s">
        <v>67</v>
      </c>
      <c r="G48" s="5" t="s">
        <v>67</v>
      </c>
      <c r="H48" s="7"/>
    </row>
    <row customHeight="1" ht="15.75" r="49" spans="1:8" x14ac:dyDescent="0.35">
      <c r="A49" s="8" t="s">
        <v>41</v>
      </c>
      <c r="B49" s="5" t="s">
        <v>76</v>
      </c>
      <c r="C49" s="7"/>
      <c r="D49" s="7"/>
      <c r="E49" s="6" t="s">
        <v>77</v>
      </c>
      <c r="F49" s="5">
        <v>1</v>
      </c>
      <c r="G49" s="5">
        <v>35</v>
      </c>
      <c r="H49" s="9" t="s">
        <v>78</v>
      </c>
    </row>
    <row customHeight="1" ht="15.75" r="50" spans="1:8" x14ac:dyDescent="0.35">
      <c r="A50" s="10" t="s">
        <v>42</v>
      </c>
      <c r="B50" s="5" t="s">
        <v>64</v>
      </c>
      <c r="C50" s="6" t="s">
        <v>79</v>
      </c>
      <c r="D50" s="6" t="s">
        <v>80</v>
      </c>
      <c r="E50" s="6" t="s">
        <v>81</v>
      </c>
      <c r="F50" s="5">
        <v>1</v>
      </c>
      <c r="G50" s="5">
        <v>1</v>
      </c>
      <c r="H50" s="11"/>
    </row>
    <row customHeight="1" ht="15.75" r="51" spans="1:8" x14ac:dyDescent="0.35">
      <c r="A51" s="8" t="s">
        <v>43</v>
      </c>
      <c r="B51" s="5" t="s">
        <v>76</v>
      </c>
      <c r="C51" s="6" t="s">
        <v>79</v>
      </c>
      <c r="D51" s="6" t="s">
        <v>82</v>
      </c>
      <c r="E51" s="6" t="s">
        <v>77</v>
      </c>
      <c r="F51" s="5">
        <v>1</v>
      </c>
      <c r="G51" s="5">
        <v>60</v>
      </c>
      <c r="H51" s="9" t="s">
        <v>83</v>
      </c>
    </row>
    <row customHeight="1" ht="15.75" r="52" spans="1:8" x14ac:dyDescent="0.35">
      <c r="A52" s="10" t="s">
        <v>44</v>
      </c>
      <c r="B52" s="5" t="s">
        <v>64</v>
      </c>
      <c r="C52" s="6" t="s">
        <v>65</v>
      </c>
      <c r="D52" s="6" t="s">
        <v>84</v>
      </c>
      <c r="E52" s="7"/>
      <c r="F52" s="5" t="s">
        <v>67</v>
      </c>
      <c r="G52" s="5" t="s">
        <v>67</v>
      </c>
      <c r="H52" s="11"/>
    </row>
    <row customHeight="1" ht="15.75" r="53" spans="1:8" x14ac:dyDescent="0.35">
      <c r="A53" s="8" t="s">
        <v>45</v>
      </c>
      <c r="B53" s="12" t="s">
        <v>76</v>
      </c>
      <c r="C53" s="7" t="s">
        <v>85</v>
      </c>
      <c r="D53" s="7" t="s">
        <v>86</v>
      </c>
      <c r="E53" s="7"/>
      <c r="F53" s="5" t="s">
        <v>67</v>
      </c>
      <c r="G53" s="5" t="s">
        <v>67</v>
      </c>
      <c r="H53" s="9" t="s">
        <v>87</v>
      </c>
    </row>
    <row customHeight="1" ht="15.75" r="54" spans="1:8" x14ac:dyDescent="0.35">
      <c r="A54" s="8" t="s">
        <v>46</v>
      </c>
      <c r="B54" s="12" t="s">
        <v>76</v>
      </c>
      <c r="C54" s="7" t="s">
        <v>88</v>
      </c>
      <c r="D54" s="7" t="s">
        <v>89</v>
      </c>
      <c r="E54" s="7"/>
      <c r="F54" s="5">
        <v>1</v>
      </c>
      <c r="G54" s="5">
        <v>10</v>
      </c>
      <c r="H54" s="9" t="s">
        <v>90</v>
      </c>
    </row>
    <row customHeight="1" ht="15.75" r="55" spans="1:8" x14ac:dyDescent="0.35">
      <c r="A55" s="8" t="s">
        <v>47</v>
      </c>
      <c r="B55" s="12" t="s">
        <v>76</v>
      </c>
      <c r="C55" s="7" t="s">
        <v>88</v>
      </c>
      <c r="D55" s="7" t="s">
        <v>93</v>
      </c>
      <c r="E55" s="7"/>
      <c r="F55" s="5">
        <v>1</v>
      </c>
      <c r="G55" s="5">
        <v>5</v>
      </c>
      <c r="H55" s="9" t="s">
        <v>94</v>
      </c>
    </row>
    <row customHeight="1" ht="15.75" r="56" spans="1:8" x14ac:dyDescent="0.35">
      <c r="A56" s="8" t="s">
        <v>48</v>
      </c>
      <c r="B56" s="11" t="s">
        <v>76</v>
      </c>
      <c r="C56" s="7" t="s">
        <v>65</v>
      </c>
      <c r="D56" s="7" t="s">
        <v>134</v>
      </c>
      <c r="E56" s="11"/>
      <c r="F56" s="11"/>
      <c r="G56" s="11"/>
      <c r="H56" s="9" t="s">
        <v>94</v>
      </c>
    </row>
    <row customHeight="1" ht="15.75" r="57" spans="1:8" x14ac:dyDescent="0.35">
      <c r="A57" s="8" t="s">
        <v>49</v>
      </c>
      <c r="B57" s="11" t="s">
        <v>76</v>
      </c>
      <c r="C57" s="11"/>
      <c r="D57" s="7" t="s">
        <v>93</v>
      </c>
      <c r="E57" s="11"/>
      <c r="F57" s="11"/>
      <c r="G57" s="11"/>
      <c r="H57" s="9" t="s">
        <v>94</v>
      </c>
    </row>
    <row customHeight="1" ht="15.75" r="58" spans="1:8" x14ac:dyDescent="0.35">
      <c r="A58" s="8" t="s">
        <v>50</v>
      </c>
      <c r="B58" s="11" t="s">
        <v>76</v>
      </c>
      <c r="C58" s="11"/>
      <c r="D58" s="7" t="s">
        <v>93</v>
      </c>
      <c r="E58" s="11"/>
      <c r="F58" s="11"/>
      <c r="G58" s="11"/>
      <c r="H58" s="9" t="s">
        <v>94</v>
      </c>
    </row>
    <row customHeight="1" ht="15.75" r="59" spans="1:8" x14ac:dyDescent="0.35">
      <c r="A59" s="10" t="s">
        <v>51</v>
      </c>
      <c r="B59" s="5" t="s">
        <v>64</v>
      </c>
      <c r="C59" s="6" t="s">
        <v>65</v>
      </c>
      <c r="D59" s="6" t="s">
        <v>66</v>
      </c>
      <c r="E59" s="7"/>
      <c r="F59" s="5" t="s">
        <v>67</v>
      </c>
      <c r="G59" s="5" t="s">
        <v>67</v>
      </c>
      <c r="H59" s="7"/>
    </row>
    <row customHeight="1" ht="15.75" r="60" spans="1:8" x14ac:dyDescent="0.35">
      <c r="A60" s="8" t="s">
        <v>52</v>
      </c>
      <c r="B60" s="5" t="s">
        <v>76</v>
      </c>
      <c r="C60" s="7"/>
      <c r="D60" s="7"/>
      <c r="E60" s="6" t="s">
        <v>77</v>
      </c>
      <c r="F60" s="5">
        <v>1</v>
      </c>
      <c r="G60" s="5">
        <v>35</v>
      </c>
      <c r="H60" s="9" t="s">
        <v>78</v>
      </c>
    </row>
    <row customHeight="1" ht="15.75" r="61" spans="1:8" x14ac:dyDescent="0.35">
      <c r="A61" s="10" t="s">
        <v>53</v>
      </c>
      <c r="B61" s="5" t="s">
        <v>64</v>
      </c>
      <c r="C61" s="6" t="s">
        <v>79</v>
      </c>
      <c r="D61" s="6" t="s">
        <v>80</v>
      </c>
      <c r="E61" s="6" t="s">
        <v>81</v>
      </c>
      <c r="F61" s="5">
        <v>1</v>
      </c>
      <c r="G61" s="5">
        <v>1</v>
      </c>
      <c r="H61" s="11"/>
    </row>
    <row customHeight="1" ht="15.75" r="62" spans="1:8" x14ac:dyDescent="0.35">
      <c r="A62" s="8" t="s">
        <v>54</v>
      </c>
      <c r="B62" s="5" t="s">
        <v>76</v>
      </c>
      <c r="C62" s="6" t="s">
        <v>79</v>
      </c>
      <c r="D62" s="6" t="s">
        <v>82</v>
      </c>
      <c r="E62" s="6" t="s">
        <v>77</v>
      </c>
      <c r="F62" s="5">
        <v>1</v>
      </c>
      <c r="G62" s="5">
        <v>60</v>
      </c>
      <c r="H62" s="9" t="s">
        <v>83</v>
      </c>
    </row>
    <row customHeight="1" ht="15.75" r="63" spans="1:8" x14ac:dyDescent="0.35">
      <c r="A63" s="10" t="s">
        <v>55</v>
      </c>
      <c r="B63" s="5" t="s">
        <v>64</v>
      </c>
      <c r="C63" s="6" t="s">
        <v>65</v>
      </c>
      <c r="D63" s="6" t="s">
        <v>84</v>
      </c>
      <c r="E63" s="7"/>
      <c r="F63" s="5" t="s">
        <v>67</v>
      </c>
      <c r="G63" s="5" t="s">
        <v>67</v>
      </c>
      <c r="H63" s="11"/>
    </row>
    <row customHeight="1" ht="15.75" r="64" spans="1:8" x14ac:dyDescent="0.35">
      <c r="A64" s="8" t="s">
        <v>56</v>
      </c>
      <c r="B64" s="12" t="s">
        <v>76</v>
      </c>
      <c r="C64" s="7" t="s">
        <v>85</v>
      </c>
      <c r="D64" s="7" t="s">
        <v>86</v>
      </c>
      <c r="E64" s="7"/>
      <c r="F64" s="5" t="s">
        <v>67</v>
      </c>
      <c r="G64" s="5" t="s">
        <v>67</v>
      </c>
      <c r="H64" s="9" t="s">
        <v>87</v>
      </c>
    </row>
    <row customHeight="1" ht="15.75" r="65" spans="1:8" x14ac:dyDescent="0.35">
      <c r="A65" s="8" t="s">
        <v>57</v>
      </c>
      <c r="B65" s="12" t="s">
        <v>76</v>
      </c>
      <c r="C65" s="7" t="s">
        <v>88</v>
      </c>
      <c r="D65" s="7" t="s">
        <v>89</v>
      </c>
      <c r="E65" s="7"/>
      <c r="F65" s="5">
        <v>1</v>
      </c>
      <c r="G65" s="5">
        <v>10</v>
      </c>
      <c r="H65" s="9" t="s">
        <v>90</v>
      </c>
    </row>
    <row customHeight="1" ht="15.75" r="66" spans="1:8" x14ac:dyDescent="0.35">
      <c r="A66" s="8" t="s">
        <v>58</v>
      </c>
      <c r="B66" s="12" t="s">
        <v>76</v>
      </c>
      <c r="C66" s="7" t="s">
        <v>88</v>
      </c>
      <c r="D66" s="7" t="s">
        <v>93</v>
      </c>
      <c r="E66" s="7"/>
      <c r="F66" s="5">
        <v>1</v>
      </c>
      <c r="G66" s="5">
        <v>5</v>
      </c>
      <c r="H66" s="9" t="s">
        <v>94</v>
      </c>
    </row>
    <row customHeight="1" ht="15.75" r="67" spans="1:8" x14ac:dyDescent="0.35">
      <c r="A67" s="8" t="s">
        <v>59</v>
      </c>
      <c r="B67" s="11" t="s">
        <v>76</v>
      </c>
      <c r="C67" s="7" t="s">
        <v>65</v>
      </c>
      <c r="D67" s="7" t="s">
        <v>134</v>
      </c>
      <c r="E67" s="11"/>
      <c r="F67" s="11"/>
      <c r="G67" s="11"/>
      <c r="H67" s="9" t="s">
        <v>94</v>
      </c>
    </row>
    <row customHeight="1" ht="15.75" r="68" spans="1:8" x14ac:dyDescent="0.35">
      <c r="A68" s="8" t="s">
        <v>60</v>
      </c>
      <c r="B68" s="11" t="s">
        <v>76</v>
      </c>
      <c r="C68" s="11"/>
      <c r="D68" s="7" t="s">
        <v>93</v>
      </c>
      <c r="E68" s="11"/>
      <c r="F68" s="11"/>
      <c r="G68" s="11"/>
      <c r="H68" s="9" t="s">
        <v>94</v>
      </c>
    </row>
    <row customHeight="1" ht="15.75" r="69" spans="1:8" x14ac:dyDescent="0.35">
      <c r="A69" s="8" t="s">
        <v>61</v>
      </c>
      <c r="B69" s="11" t="s">
        <v>76</v>
      </c>
      <c r="C69" s="11"/>
      <c r="D69" s="7" t="s">
        <v>93</v>
      </c>
      <c r="E69" s="11"/>
      <c r="F69" s="11"/>
      <c r="G69" s="11"/>
      <c r="H69" s="9" t="s">
        <v>94</v>
      </c>
    </row>
    <row customHeight="1" ht="15.75" r="70" spans="1:8" x14ac:dyDescent="0.35">
      <c r="A70" s="2"/>
    </row>
    <row customHeight="1" ht="36.75" r="71" spans="1:8" x14ac:dyDescent="0.35">
      <c r="A71" s="93" t="s">
        <v>135</v>
      </c>
      <c r="B71" s="93"/>
      <c r="C71" s="93"/>
    </row>
    <row customHeight="1" ht="15.75" r="72" spans="1:8" x14ac:dyDescent="0.35">
      <c r="A72" s="2"/>
    </row>
    <row customHeight="1" ht="15.75" r="73" spans="1:8" x14ac:dyDescent="0.35">
      <c r="A73" s="2"/>
    </row>
    <row customHeight="1" ht="15.75" r="74" spans="1:8" x14ac:dyDescent="0.35">
      <c r="A74" s="2"/>
    </row>
  </sheetData>
  <mergeCells count="1">
    <mergeCell ref="A71:C71"/>
  </mergeCells>
  <dataValidations count="3">
    <dataValidation allowBlank="1" operator="equal" prompt="Hourly, Salaried" promptTitle="Pay Type" showInputMessage="1" sqref="A23" xr:uid="{00000000-0002-0000-0300-000000000000}">
      <formula1>0</formula1>
      <formula2>0</formula2>
    </dataValidation>
    <dataValidation allowBlank="1" operator="equal" prompt="Monthly, Semi Monthly, Bi-Weekly, Weekly" promptTitle="Pay Frequency" showErrorMessage="1" showInputMessage="1" sqref="A22" xr:uid="{00000000-0002-0000-0300-000001000000}">
      <formula1>0</formula1>
      <formula2>0</formula2>
    </dataValidation>
    <dataValidation allowBlank="1" prompt="Yes, No " promptTitle="Re-Hired Employee" showErrorMessage="1" showInputMessage="1" sqref="A15" xr:uid="{00000000-0002-0000-0300-000002000000}">
      <formula1>0</formula1>
      <formula2>0</formula2>
    </dataValidation>
  </dataValidations>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4</vt:i4>
      </vt:variant>
      <vt:variant>
        <vt:lpstr>Named Ranges</vt:lpstr>
      </vt:variant>
      <vt:variant>
        <vt:i4>39</vt:i4>
      </vt:variant>
    </vt:vector>
  </HeadingPairs>
  <TitlesOfParts>
    <vt:vector baseType="lpstr" size="43">
      <vt:lpstr>Instructions</vt:lpstr>
      <vt:lpstr>Employee Details</vt:lpstr>
      <vt:lpstr>Setting</vt:lpstr>
      <vt:lpstr>Data specs</vt:lpstr>
      <vt:lpstr>City_Unique</vt:lpstr>
      <vt:lpstr>City_Unique_Val</vt:lpstr>
      <vt:lpstr>Col_Heading</vt:lpstr>
      <vt:lpstr>Col_No_Insert</vt:lpstr>
      <vt:lpstr>Setting!Criteria</vt:lpstr>
      <vt:lpstr>Custom_Add_Row</vt:lpstr>
      <vt:lpstr>Custom_CopyPaste</vt:lpstr>
      <vt:lpstr>Custom_CopyPaste_Validation</vt:lpstr>
      <vt:lpstr>Data_Starts</vt:lpstr>
      <vt:lpstr>Dep_FirstCol_Search</vt:lpstr>
      <vt:lpstr>Depen_Conversion_Range</vt:lpstr>
      <vt:lpstr>Depen_FirstPrefixColNo</vt:lpstr>
      <vt:lpstr>Dependent_Format</vt:lpstr>
      <vt:lpstr>Dependent_Format_Alter</vt:lpstr>
      <vt:lpstr>Dependent_Val</vt:lpstr>
      <vt:lpstr>employee</vt:lpstr>
      <vt:lpstr>Employee_SSN</vt:lpstr>
      <vt:lpstr>Employment_Status_ColNo</vt:lpstr>
      <vt:lpstr>Employment_Type</vt:lpstr>
      <vt:lpstr>Error_Sheet_Format_Copy</vt:lpstr>
      <vt:lpstr>ett</vt:lpstr>
      <vt:lpstr>Setting!Extract</vt:lpstr>
      <vt:lpstr>Format_Heading_Copy_Paste</vt:lpstr>
      <vt:lpstr>HourlyPayRate</vt:lpstr>
      <vt:lpstr>Oth_Employement_Type</vt:lpstr>
      <vt:lpstr>Pay_Frequency_ColNo</vt:lpstr>
      <vt:lpstr>Pay_Type_ColNo</vt:lpstr>
      <vt:lpstr>State_City_Data</vt:lpstr>
      <vt:lpstr>State_County</vt:lpstr>
      <vt:lpstr>State_Criteria</vt:lpstr>
      <vt:lpstr>State_Val_Col_Num</vt:lpstr>
      <vt:lpstr>SystemCustomFields</vt:lpstr>
      <vt:lpstr>Termination_Date_Col_No</vt:lpstr>
      <vt:lpstr>Termination_Reason</vt:lpstr>
      <vt:lpstr>Termination_Type_Col_No</vt:lpstr>
      <vt:lpstr>Unique_County_Copy</vt:lpstr>
      <vt:lpstr>Validation_Fill_Range</vt:lpstr>
      <vt:lpstr>VBA_SH_Password</vt:lpstr>
      <vt:lpstr>Working_Hours_per_Week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2015-02-27T11:15:04Z</dcterms:created>
  <dc:creator>Suresh Bisht</dc:creator>
  <cp:lastModifiedBy>Anil Mishra</cp:lastModifiedBy>
  <cp:lastPrinted>2015-03-16T09:23:00Z</cp:lastPrinted>
  <dcterms:modified xsi:type="dcterms:W3CDTF">2026-01-02T12:28:11Z</dcterms:modified>
  <dc:title>ER-Employee Upload</dc:title>
</cp:coreProperties>
</file>